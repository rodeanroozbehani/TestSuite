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odean\Desktop\"/>
    </mc:Choice>
  </mc:AlternateContent>
  <xr:revisionPtr revIDLastSave="0" documentId="8_{D34588C2-AB32-4A6E-8955-22D21A308CE2}" xr6:coauthVersionLast="47" xr6:coauthVersionMax="47" xr10:uidLastSave="{00000000-0000-0000-0000-000000000000}"/>
  <bookViews>
    <workbookView xWindow="2910" yWindow="490" windowWidth="29220" windowHeight="13910" tabRatio="857" firstSheet="1" activeTab="1" xr2:uid="{00000000-000D-0000-FFFF-FFFF00000000}"/>
  </bookViews>
  <sheets>
    <sheet name="PT - RR Dashboard" sheetId="55" state="hidden" r:id="rId1"/>
    <sheet name="RR Personal Dataset" sheetId="44" r:id="rId2"/>
    <sheet name="Credit Card" sheetId="51" state="hidden" r:id="rId3"/>
    <sheet name="Crypto Dataset" sheetId="45" state="hidden" r:id="rId4"/>
  </sheets>
  <externalReferences>
    <externalReference r:id="rId5"/>
  </externalReferences>
  <definedNames>
    <definedName name="Crypto">Crypto_Dataset[]</definedName>
    <definedName name="HouseChartAxis">#REF!                                                                                                   : INDEX(#REF!,,COUNTA(#REF!))</definedName>
    <definedName name="HouseEffectiveLoanBalance">#REF!                                                                                                     : INDEX(#REF!,,COUNTA(#REF!))</definedName>
    <definedName name="HouseOffsetAmt">#REF!                                                                                                       : INDEX(#REF!,,COUNTA(#REF!))</definedName>
    <definedName name="HouseTotalPrinciple">#REF!                                                                                                       : INDEX(#REF!,,COUNTA(#REF!))</definedName>
    <definedName name="LoanRate">#REF!</definedName>
    <definedName name="payment_due">'[1]Named Ranges'!$A$2:$A$9</definedName>
    <definedName name="payment_frequency">'[1]Payoff Calc. (Extra Payment)'!$E$12</definedName>
    <definedName name="payment_types">'[1]Named Ranges'!$G$1:$G$2</definedName>
    <definedName name="periodic_table">'[1]Named Ranges'!$A$1:$E$9</definedName>
    <definedName name="register">#REF!</definedName>
    <definedName name="register2">#REF!</definedName>
    <definedName name="Wallets">#REF!</definedName>
  </definedNames>
  <calcPr calcId="191029"/>
  <pivotCaches>
    <pivotCache cacheId="0" r:id="rId6"/>
  </pivotCaches>
  <fileRecoveryPr repairLoad="1"/>
</workbook>
</file>

<file path=xl/calcChain.xml><?xml version="1.0" encoding="utf-8"?>
<calcChain xmlns="http://schemas.openxmlformats.org/spreadsheetml/2006/main">
  <c r="M150" i="45" l="1"/>
  <c r="L150" i="45"/>
  <c r="M149" i="45"/>
  <c r="L149" i="45"/>
  <c r="M148" i="45"/>
  <c r="L148" i="45"/>
  <c r="M147" i="45"/>
  <c r="L147" i="45"/>
  <c r="M146" i="45"/>
  <c r="L146" i="45"/>
  <c r="M145" i="45"/>
  <c r="L145" i="45"/>
  <c r="M144" i="45"/>
  <c r="L144" i="45"/>
  <c r="M143" i="45"/>
  <c r="L143" i="45"/>
  <c r="M142" i="45"/>
  <c r="L142" i="45"/>
  <c r="M141" i="45"/>
  <c r="L141" i="45"/>
  <c r="M140" i="45"/>
  <c r="L140" i="45"/>
  <c r="M139" i="45"/>
  <c r="L139" i="45"/>
  <c r="M138" i="45"/>
  <c r="L138" i="45"/>
  <c r="M137" i="45"/>
  <c r="L137" i="45"/>
  <c r="M136" i="45"/>
  <c r="L136" i="45"/>
  <c r="M135" i="45"/>
  <c r="L135" i="45"/>
  <c r="M134" i="45"/>
  <c r="L134" i="45"/>
  <c r="M133" i="45"/>
  <c r="L133" i="45"/>
  <c r="M132" i="45"/>
  <c r="L132" i="45"/>
  <c r="M131" i="45"/>
  <c r="L131" i="45"/>
  <c r="M130" i="45"/>
  <c r="L130" i="45"/>
  <c r="M129" i="45"/>
  <c r="L129" i="45"/>
  <c r="M128" i="45"/>
  <c r="L128" i="45"/>
  <c r="M127" i="45"/>
  <c r="L127" i="45"/>
  <c r="M126" i="45"/>
  <c r="L126" i="45"/>
  <c r="M125" i="45"/>
  <c r="L125" i="45"/>
  <c r="M124" i="45"/>
  <c r="L124" i="45"/>
  <c r="M123" i="45"/>
  <c r="L123" i="45"/>
  <c r="M122" i="45"/>
  <c r="L122" i="45"/>
  <c r="M121" i="45"/>
  <c r="L121" i="45"/>
  <c r="M120" i="45"/>
  <c r="L120" i="45"/>
  <c r="M119" i="45"/>
  <c r="L119" i="45"/>
  <c r="M118" i="45"/>
  <c r="L118" i="45"/>
  <c r="M117" i="45"/>
  <c r="L117" i="45"/>
  <c r="M116" i="45"/>
  <c r="L116" i="45"/>
  <c r="M115" i="45"/>
  <c r="L115" i="45"/>
  <c r="M114" i="45"/>
  <c r="L114" i="45"/>
  <c r="M113" i="45"/>
  <c r="L113" i="45"/>
  <c r="M112" i="45"/>
  <c r="L112" i="45"/>
  <c r="M111" i="45"/>
  <c r="L111" i="45"/>
  <c r="M110" i="45"/>
  <c r="L110" i="45"/>
  <c r="M109" i="45"/>
  <c r="L109" i="45"/>
  <c r="M108" i="45"/>
  <c r="L108" i="45"/>
  <c r="M107" i="45"/>
  <c r="L107" i="45"/>
  <c r="M106" i="45"/>
  <c r="L106" i="45"/>
  <c r="M105" i="45"/>
  <c r="L105" i="45"/>
  <c r="M104" i="45"/>
  <c r="L104" i="45"/>
  <c r="M103" i="45"/>
  <c r="L103" i="45"/>
  <c r="M102" i="45"/>
  <c r="L102" i="45"/>
  <c r="M101" i="45"/>
  <c r="L101" i="45"/>
  <c r="M100" i="45"/>
  <c r="L100" i="45"/>
  <c r="M99" i="45"/>
  <c r="L99" i="45"/>
  <c r="M98" i="45"/>
  <c r="L98" i="45"/>
  <c r="M97" i="45"/>
  <c r="L97" i="45"/>
  <c r="M96" i="45"/>
  <c r="L96" i="45"/>
  <c r="M95" i="45"/>
  <c r="L95" i="45"/>
  <c r="M94" i="45"/>
  <c r="L94" i="45"/>
  <c r="M93" i="45"/>
  <c r="L93" i="45"/>
  <c r="M92" i="45"/>
  <c r="L92" i="45"/>
  <c r="M91" i="45"/>
  <c r="L91" i="45"/>
  <c r="M90" i="45"/>
  <c r="L90" i="45"/>
  <c r="M89" i="45"/>
  <c r="L89" i="45"/>
  <c r="M88" i="45"/>
  <c r="L88" i="45"/>
  <c r="M87" i="45"/>
  <c r="L87" i="45"/>
  <c r="M86" i="45"/>
  <c r="L86" i="45"/>
  <c r="M85" i="45"/>
  <c r="L85" i="45"/>
  <c r="M84" i="45"/>
  <c r="L84" i="45"/>
  <c r="M83" i="45"/>
  <c r="L83" i="45"/>
  <c r="M82" i="45"/>
  <c r="L82" i="45"/>
  <c r="M81" i="45"/>
  <c r="L81" i="45"/>
  <c r="M80" i="45"/>
  <c r="L80" i="45"/>
  <c r="M79" i="45"/>
  <c r="L79" i="45"/>
  <c r="M78" i="45"/>
  <c r="L78" i="45"/>
  <c r="M77" i="45"/>
  <c r="L77" i="45"/>
  <c r="M76" i="45"/>
  <c r="L76" i="45"/>
  <c r="M75" i="45"/>
  <c r="L75" i="45"/>
  <c r="M74" i="45"/>
  <c r="L74" i="45"/>
  <c r="M73" i="45"/>
  <c r="L73" i="45"/>
  <c r="M72" i="45"/>
  <c r="L72" i="45"/>
  <c r="M71" i="45"/>
  <c r="L71" i="45"/>
  <c r="M70" i="45"/>
  <c r="L70" i="45"/>
  <c r="M69" i="45"/>
  <c r="L69" i="45"/>
  <c r="M68" i="45"/>
  <c r="L68" i="45"/>
  <c r="M67" i="45"/>
  <c r="L67" i="45"/>
  <c r="M66" i="45"/>
  <c r="L66" i="45"/>
  <c r="M65" i="45"/>
  <c r="L65" i="45"/>
  <c r="M64" i="45"/>
  <c r="L64" i="45"/>
  <c r="M63" i="45"/>
  <c r="L63" i="45"/>
  <c r="M62" i="45"/>
  <c r="L62" i="45"/>
  <c r="M61" i="45"/>
  <c r="L61" i="45"/>
  <c r="M60" i="45"/>
  <c r="L60" i="45"/>
  <c r="M59" i="45"/>
  <c r="L59" i="45"/>
  <c r="M58" i="45"/>
  <c r="L58" i="45"/>
  <c r="M57" i="45"/>
  <c r="L57" i="45"/>
  <c r="M56" i="45"/>
  <c r="L56" i="45"/>
  <c r="M55" i="45"/>
  <c r="L55" i="45"/>
  <c r="M54" i="45"/>
  <c r="L54" i="45"/>
  <c r="M53" i="45"/>
  <c r="L53" i="45"/>
  <c r="M52" i="45"/>
  <c r="L52" i="45"/>
  <c r="M51" i="45"/>
  <c r="L51" i="45"/>
  <c r="M50" i="45"/>
  <c r="L50" i="45"/>
  <c r="M49" i="45"/>
  <c r="L49" i="45"/>
  <c r="M48" i="45"/>
  <c r="L48" i="45"/>
  <c r="M47" i="45"/>
  <c r="L47" i="45"/>
  <c r="M46" i="45"/>
  <c r="L46" i="45"/>
  <c r="M45" i="45"/>
  <c r="L45" i="45"/>
  <c r="M44" i="45"/>
  <c r="L44" i="45"/>
  <c r="M43" i="45"/>
  <c r="L43" i="45"/>
  <c r="M42" i="45"/>
  <c r="L42" i="45"/>
  <c r="M41" i="45"/>
  <c r="L41" i="45"/>
  <c r="M40" i="45"/>
  <c r="L40" i="45"/>
  <c r="M39" i="45"/>
  <c r="L39" i="45"/>
  <c r="M38" i="45"/>
  <c r="L38" i="45"/>
  <c r="M37" i="45"/>
  <c r="L37" i="45"/>
  <c r="M36" i="45"/>
  <c r="L36" i="45"/>
  <c r="M35" i="45"/>
  <c r="L35" i="45"/>
  <c r="M34" i="45"/>
  <c r="L34" i="45"/>
  <c r="M33" i="45"/>
  <c r="L33" i="45"/>
  <c r="M32" i="45"/>
  <c r="L32" i="45"/>
  <c r="M31" i="45"/>
  <c r="L31" i="45"/>
  <c r="M30" i="45"/>
  <c r="L30" i="45"/>
  <c r="M29" i="45"/>
  <c r="L29" i="45"/>
  <c r="M28" i="45"/>
  <c r="L28" i="45"/>
  <c r="M27" i="45"/>
  <c r="L27" i="45"/>
  <c r="M26" i="45"/>
  <c r="L26" i="45"/>
  <c r="M25" i="45"/>
  <c r="L25" i="45"/>
  <c r="M24" i="45"/>
  <c r="L24" i="45"/>
  <c r="M23" i="45"/>
  <c r="L23" i="45"/>
  <c r="M22" i="45"/>
  <c r="L22" i="45"/>
  <c r="M21" i="45"/>
  <c r="L21" i="45"/>
  <c r="M20" i="45"/>
  <c r="L20" i="45"/>
  <c r="M19" i="45"/>
  <c r="L19" i="45"/>
  <c r="M18" i="45"/>
  <c r="L18" i="45"/>
  <c r="M17" i="45"/>
  <c r="L17" i="45"/>
  <c r="M16" i="45"/>
  <c r="L16" i="45"/>
  <c r="M15" i="45"/>
  <c r="L15" i="45"/>
  <c r="M14" i="45"/>
  <c r="L14" i="45"/>
  <c r="M13" i="45"/>
  <c r="L13" i="45"/>
  <c r="M12" i="45"/>
  <c r="L12" i="45"/>
  <c r="M11" i="45"/>
  <c r="L11" i="45"/>
  <c r="M10" i="45"/>
  <c r="L10" i="45"/>
  <c r="M9" i="45"/>
  <c r="L9" i="45"/>
  <c r="M8" i="45"/>
  <c r="L8" i="45"/>
  <c r="M7" i="45"/>
  <c r="L7" i="45"/>
  <c r="M6" i="45"/>
  <c r="L6" i="45"/>
  <c r="M5" i="45"/>
  <c r="L5" i="45"/>
  <c r="M4" i="45"/>
  <c r="L4" i="45"/>
  <c r="M3" i="45"/>
  <c r="L3" i="45"/>
  <c r="M2" i="45"/>
  <c r="L2" i="45"/>
  <c r="F17" i="51"/>
  <c r="E17" i="51"/>
  <c r="D17" i="51"/>
  <c r="C17" i="51"/>
  <c r="F16" i="51"/>
  <c r="E16" i="51"/>
  <c r="D16" i="51"/>
</calcChain>
</file>

<file path=xl/sharedStrings.xml><?xml version="1.0" encoding="utf-8"?>
<sst xmlns="http://schemas.openxmlformats.org/spreadsheetml/2006/main" count="14459" uniqueCount="4707">
  <si>
    <t>BWS LIQUOR W1601         DRUMMOYNE    AU Card xx8882</t>
  </si>
  <si>
    <t>IGA DRUMMOYNE            DRUMMOYNE    AU Card xx8882</t>
  </si>
  <si>
    <t>DUMPLING HUT AUS PL SURRY HILLS NS AUS Card xx8882 Value Date: 25/06/2019</t>
  </si>
  <si>
    <t>MELANIE AND ANNIE PT     HAYMARKET    AU Card xx8882</t>
  </si>
  <si>
    <t>WOOLWORTHS 1669          SURRY HILLS  AU Card xx8882</t>
  </si>
  <si>
    <t>DUMPLING HUT AUS PL SURRY HILLS NS AUS Card xx8882 Value Date: 24/06/2019</t>
  </si>
  <si>
    <t>CASH DEPOSIT CBA ATM  300ELIZABETH A NSW 203301   AUS</t>
  </si>
  <si>
    <t>UNIVERSAL HOTELS PTY DARLINGHURST  AUS Card xx8882 Value Date: 22/06/2019</t>
  </si>
  <si>
    <t>GM CABS PTY LTD MASCOT  AUS Card xx8882 Value Date: 22/06/2019</t>
  </si>
  <si>
    <t>TRANSPORTFORNSW OPAL CHIPPENDALE  AUS Card xx8882 Value Date: 26/06/2019</t>
  </si>
  <si>
    <t>Salary HAYSPERS 676442</t>
  </si>
  <si>
    <t>Camy's Chargrill SH      Surry Hills  AU</t>
  </si>
  <si>
    <t>Goodbar Paddington NS AUS Card xx8882 Value Date: 23/06/2019</t>
  </si>
  <si>
    <t>WW TOWN HALL  W1248      SYDNEY       AU Card xx8882</t>
  </si>
  <si>
    <t>NJ GROUP PTY LTD         MELBOURNE AIRAU Card xx8882</t>
  </si>
  <si>
    <t>SKYBUS COACH SERVICE     MELBOURNE AIRAU Card xx8882</t>
  </si>
  <si>
    <t>Camy's Chargrill SH Surry Hills NS AUS Card xx8882 Value Date: 20/06/2019</t>
  </si>
  <si>
    <t>7-ELEVEN 2048 DRUMMOYNE NS AUS Card xx8882 Value Date: 19/06/2019</t>
  </si>
  <si>
    <t>Camy's Chargrill SH Surry Hills NS AUS Card xx8882 Value Date: 19/06/2019</t>
  </si>
  <si>
    <t>Direct Debit 165969 FITNESS PLAY SH 20197196210</t>
  </si>
  <si>
    <t>TRANSPORTFORNSW OPAL     CHIPPENDALE  AU Card xx8882</t>
  </si>
  <si>
    <t>Camy's Chargrill SH Surry Hills NS AUS Card xx8882 Value Date: 18/06/2019</t>
  </si>
  <si>
    <t>DUMPLING HUT AUS PL SURRY HILLS NS AUS Card xx8882 Value Date: 17/06/2019</t>
  </si>
  <si>
    <t>Direct Credit 371474 RENTALBONDBOARD S162210-X 1 / 9</t>
  </si>
  <si>
    <t>Non CBA ATM Withdrawal Fee</t>
  </si>
  <si>
    <t>BKNG SNSTN BKRY CF DRUMMOYNE NS AUS Card xx8882 Value Date: 15/06/2019</t>
  </si>
  <si>
    <t>Camy's Chargrill SH Surry Hills NS AUS Card xx8882 Value Date: 14/06/2019</t>
  </si>
  <si>
    <t>DUMPLING HUT AUS PL SURRY HILLS NS AUS Card xx8882 Value Date: 13/06/2019</t>
  </si>
  <si>
    <t>Refund of Disputes Fees and or interest</t>
  </si>
  <si>
    <t>Camy's Chargrill SH Surry Hills NS AUS Card xx8882 Value Date: 12/06/2019</t>
  </si>
  <si>
    <t>TWG AT JOAN SUTHERLAND SYDNEY  AUS Tap and Pay xx6067 Value Date: 10/06/2019</t>
  </si>
  <si>
    <t>Annandale Hotel          Annandale    AU</t>
  </si>
  <si>
    <t>Camy's Chargrill SH Surry Hills NS AUS Card xx8882 Value Date: 11/06/2019</t>
  </si>
  <si>
    <t>MENYA CHINATOWN HAYMARKET NS AUS Card xx8882 Value Date: 10/06/2019</t>
  </si>
  <si>
    <t>TFNSW RAIL OPAL          HAYMARKET    AU Card xx8882</t>
  </si>
  <si>
    <t>Cash Dep Branch 300ElizabethSt Syd</t>
  </si>
  <si>
    <t>Camy's Chargrill SH Surry Hills NS AUS Card xx8882 Value Date: 07/06/2019</t>
  </si>
  <si>
    <t>Direct Debit 494894 OPTUS BILLING 62103618682</t>
  </si>
  <si>
    <t>TWG AT JOAN SUTHERLAND   SYDNEY       AU Card xx8882</t>
  </si>
  <si>
    <t>Opera Bar                Sydney       AU</t>
  </si>
  <si>
    <t>WW METRO 1360            BORONIA PARK AU Card xx8882</t>
  </si>
  <si>
    <t>HFM BORONIA PARK         BORONIA PARK AU Card xx8882</t>
  </si>
  <si>
    <t>Camy's Chargrill SH Surry Hills NS AUS Card xx8882 Value Date: 06/06/2019</t>
  </si>
  <si>
    <t>SUTTONS MOTORS ARNCL ARNCLIFFE NS AUS Card xx8882 Value Date: 05/06/2019</t>
  </si>
  <si>
    <t>Camy's Chargrill SH Surry Hills NS AUS Card xx8882 Value Date: 05/06/2019</t>
  </si>
  <si>
    <t>DUMPLING HUT AUS PL SURRY HILLS NS AUS Tap and Pay xx6067 Value Date: 04/06/2019</t>
  </si>
  <si>
    <t>Direct Debit 165969 FITNESS PLAY SH 20196685299</t>
  </si>
  <si>
    <t>RMSTOLLNOTICEPH13186 PARRAMATTA  AUS Card xx8882 Value Date: 31/05/2019</t>
  </si>
  <si>
    <t>MCDONALDS DRUMMOYNE DRUMMOYNE  AUS Card xx8882 Value Date: 01/06/2019</t>
  </si>
  <si>
    <t>COLES 4788 FIVE DOCK AU AUS Card xx8882 Value Date: 03/06/2019</t>
  </si>
  <si>
    <t>7-ELEVEN 2048 DRUMMOYNE NS AUS Card xx8882 Value Date: 31/05/2019</t>
  </si>
  <si>
    <t>GREAT LIGHTING AUSTR LEICHHARDT NS AUS Card xx8882 Value Date: 03/06/2019</t>
  </si>
  <si>
    <t>UBER   *EATS SYDNEY NS AUS Card xx8882 Value Date: 01/06/2019</t>
  </si>
  <si>
    <t>SQ *THE TASTE OF BEES Drummoyne AU AUS Card xx8882 Value Date: 02/06/2019</t>
  </si>
  <si>
    <t>Camy's Chargrill SH Surry Hills NS AUS Card xx8882 Value Date: 03/06/2019</t>
  </si>
  <si>
    <t>Return UBER   *EATS SYDNEY NS AUS Card xx8882 Value Date: 02/06/2019</t>
  </si>
  <si>
    <t>PRIME QUALITY MEATS LEICHHARDT NS AUS Card xx8882 Value Date: 29/05/2019</t>
  </si>
  <si>
    <t>BOND CLEANING IN YOUR ASHMORE AU AUS Card xx8882 Value Date: 01/06/2019</t>
  </si>
  <si>
    <t>DUMPLING HUT AUS PL SURRY HILLS NS AUS Card xx8882 Value Date: 31/05/2019</t>
  </si>
  <si>
    <t>Direct Debit 245164 HCF 5723396980138A0000</t>
  </si>
  <si>
    <t>PETERSHAM PHARMACY       PETERSHAM    AU Card xx8882</t>
  </si>
  <si>
    <t>Camy's Chargrill SH Surry Hills NS AUS Card xx8882 Value Date: 30/05/2019</t>
  </si>
  <si>
    <t>PRIME QUALITY MEATS LEICHHARDT NS AUS Card xx8882 Value Date: 28/05/2019</t>
  </si>
  <si>
    <t>CENTENNIAL PLAZA PHR SYDNEY NS AUS Card xx8882 Value Date: 28/05/2019</t>
  </si>
  <si>
    <t>DMD FUELS PTY LTD        PETERSHAM    AU Card xx8882</t>
  </si>
  <si>
    <t>COLES 0846 LEICHHARDT AU AUS Card xx8882 Value Date: 28/05/2019</t>
  </si>
  <si>
    <t>SILVER SPOON BISTRO SURRY HILLS NS AUS Card xx8882 Value Date: 24/05/2019</t>
  </si>
  <si>
    <t>CIVIC HOTEL SYDNEY  AUS Card xx8882 Value Date: 24/05/2019</t>
  </si>
  <si>
    <t>CIVIC HOTEL SYDNEY  AUS Card xx8882 Value Date: 25/05/2019</t>
  </si>
  <si>
    <t>CIVIC HOTEL SYDNEY  AUS Tap and Pay xx6067 Value Date: 25/05/2019</t>
  </si>
  <si>
    <t>KENNARDS SELF STORAGE    PETERSHAM    AU Card xx8882</t>
  </si>
  <si>
    <t>CULTIVATE (T1) PTY L DARLINGHURST NS AUS Card xx8882 Value Date: 25/05/2019</t>
  </si>
  <si>
    <t>CULTIVATE (T1) PTY L DARLINGHURST NS AUS Card xx8882 Value Date: 26/05/2019</t>
  </si>
  <si>
    <t>MED CAFE PETERSHAM NS AUS Card xx8882 Value Date: 25/05/2019</t>
  </si>
  <si>
    <t>Camy's Chargrill SH Surry Hills NS AUS Card xx8882 Value Date: 27/05/2019</t>
  </si>
  <si>
    <t>UBER   *TRIP SYDNEY NS AUS Card xx8882 Value Date: 26/05/2019</t>
  </si>
  <si>
    <t>UBER   *EATS SYDNEY NS AUS Card xx8882 Value Date: 26/05/2019</t>
  </si>
  <si>
    <t>TAXI COMBINED 133300 ALEXANDRIA NS AUS Card xx8882 Value Date: 25/05/2019</t>
  </si>
  <si>
    <t>UBER EATS HELP.UBER.CO 14518236738 AU AUS Card xx8882 Value Date: 26/05/2019</t>
  </si>
  <si>
    <t>TAXI4UR SERVICE PTYLTD CROYDON PARK NS AUS Card xx8882 Value Date: 25/05/2019</t>
  </si>
  <si>
    <t>LEGION CAB SY 131451 DARLINGHURST NS AUS Card xx8882 Value Date: 24/05/2019</t>
  </si>
  <si>
    <t>THE FAT CHOOK LEICHHAR   LEICHHARDT   AU Card xx8882</t>
  </si>
  <si>
    <t>MR CRACKLES              DARLINGHURST AU Card xx8882</t>
  </si>
  <si>
    <t>The Winery               Surry Hills  AU</t>
  </si>
  <si>
    <t>7-ELEVEN 2153 PETERSHAM NS AUS Card xx8882 Value Date: 23/05/2019</t>
  </si>
  <si>
    <t>Camy's Chargrill SH Surry Hills NS AUS Card xx8882 Value Date: 23/05/2019</t>
  </si>
  <si>
    <t>COLES 0846 LEICHHARDT AU AUS Card xx8882 Value Date: 21/05/2019</t>
  </si>
  <si>
    <t>Direct Debit 165969 FITNESS PLAY SH 20196177772</t>
  </si>
  <si>
    <t>Camy's Chargrill SH Surry Hills NS AUS Card xx8882 Value Date: 21/05/2019</t>
  </si>
  <si>
    <t>MASSAGE LINK BROADWA ULTIMO NS AUS Card xx8882 Value Date: 18/05/2019</t>
  </si>
  <si>
    <t>PRIME QUALITY MEATS LEICHHARDT NS AUS Card xx8882 Value Date: 19/05/2019</t>
  </si>
  <si>
    <t>HARRIS FARM MARKETS      LEICHHARDT   AU Card xx8882</t>
  </si>
  <si>
    <t>WW METRO        1669 CENTRAL STAT NSW AU</t>
  </si>
  <si>
    <t>H&amp;M AUSTRALIA 0011 SYDNEY NS AUS Card xx8882 Value Date: 18/05/2019</t>
  </si>
  <si>
    <t>Camy's Chargrill SH Surry Hills NS AUS Card xx8882 Value Date: 20/05/2019</t>
  </si>
  <si>
    <t>NETFLIX.COM Melbourne AU AUS Card xx8882 Value Date: 19/05/2019</t>
  </si>
  <si>
    <t>Camy's Chargrill SH Surry Hills NS AUS Card xx8882 Value Date: 17/05/2019</t>
  </si>
  <si>
    <t>PRIME QUALITY MEATS LEICHHARDT NS AUS Card xx8882 Value Date: 15/05/2019</t>
  </si>
  <si>
    <t>COLES 0846 LEICHHARDT AU AUS Card xx8882 Value Date: 17/05/2019</t>
  </si>
  <si>
    <t>CITYOFSYDNEY PARKING SYDNEY  AUS Card xx8882 Value Date: 16/05/2019</t>
  </si>
  <si>
    <t>LAS VEGAS GAMING INT     NEWTOWN      AU Card xx8882</t>
  </si>
  <si>
    <t>JUST CUTS BROADWAY BROADWAY NSW       AU</t>
  </si>
  <si>
    <t>JOJOS VENTURE PTY LT     PETERSHAM    AU Card xx8882</t>
  </si>
  <si>
    <t>CAFE SYDNEY NSW Sydney NS AUS Card xx8882 Value Date: 16/05/2019</t>
  </si>
  <si>
    <t>LINKT SYDNEY SYDNEY  AUS Card xx8882 Value Date: 17/05/2019</t>
  </si>
  <si>
    <t>COLES 0846 LEICHHARDT AU AUS Card xx8882 Value Date: 15/05/2019</t>
  </si>
  <si>
    <t>Camy's Chargrill SH Surry Hills NS AUS Card xx8882 Value Date: 15/05/2019</t>
  </si>
  <si>
    <t>PRIME QUALITY MEATS LEICHHARDT NS AUS Card xx8882 Value Date: 13/05/2019</t>
  </si>
  <si>
    <t>TASTE BAKERY &amp; RESTAU SURRY HILLS  AUS Card xx8882 Value Date: 14/05/2019</t>
  </si>
  <si>
    <t>TASTE BAKERY &amp; RESTAU SURRY HILLS  AUS Card xx8882 Value Date: 13/05/2019</t>
  </si>
  <si>
    <t>COLES 0846 LEICHHARDT AU AUS Card xx8882 Value Date: 13/05/2019</t>
  </si>
  <si>
    <t>UBER   *EATS SYDNEY NS AUS Card xx8882 Value Date: 11/05/2019</t>
  </si>
  <si>
    <t>UBER EATS HELP.UBER.CO 14518236738 AU AUS Card xx8882 Value Date: 12/05/2019</t>
  </si>
  <si>
    <t>UBER EATS HELP.UBER.CO 14518236738 AU AUS Card xx8882 Value Date: 11/05/2019</t>
  </si>
  <si>
    <t>POWERDIRECT PTY LTD NORTH SYDNEY  AUS Card xx8882 Value Date: 09/05/2019</t>
  </si>
  <si>
    <t>TASTE BAKERY &amp; RESTAU SURRY HILLS  AUS Card xx8882 Value Date: 10/05/2019</t>
  </si>
  <si>
    <t>SCORPION TECH       MACQUARIE PAR     AU</t>
  </si>
  <si>
    <t>BOND CLEANING IN YOUR ASHMORE AU AUS Card xx8882 Value Date: 09/05/2019</t>
  </si>
  <si>
    <t>7-ELEVEN 2153 PETERSHAM NS AUS Card xx8882 Value Date: 09/05/2019</t>
  </si>
  <si>
    <t>PHOTO SHOP STUDIO ASHFIELD NS AUS Card xx8882 Value Date: 09/05/2019</t>
  </si>
  <si>
    <t>LEICHHARDT DSCNT CHE LEICHHARDT NS AUS Card xx8882 Value Date: 07/05/2019</t>
  </si>
  <si>
    <t>PRIME QUALITY MEATS LEICHHARDT NS AUS Card xx8882 Value Date: 07/05/2019</t>
  </si>
  <si>
    <t>MADISON HOTEL            SURRY HILLS  AU Card xx8882</t>
  </si>
  <si>
    <t>EVENING STAR OPERATI     SURRY HILLS  AU Card xx8882</t>
  </si>
  <si>
    <t>ONE TONG PTY LTD    SYDNEY            AU</t>
  </si>
  <si>
    <t>AURORA HOTEL             Surry Hills  AU</t>
  </si>
  <si>
    <t>PLINE PH LEICHHARDT LEICHHARDT  AUS Card xx8882 Value Date: 06/05/2019</t>
  </si>
  <si>
    <t>CENTENNIAL PLAZA PHR SYDNEY NS AUS Card xx8882 Value Date: 07/05/2019</t>
  </si>
  <si>
    <t>TASTE BAKERY &amp; RESTAU SURRY HILLS  AUS Card xx8882 Value Date: 06/05/2019</t>
  </si>
  <si>
    <t>Direct Debit 165969 FITNESS PLAY SH 20195621644</t>
  </si>
  <si>
    <t>COLES 0846 LEICHHARDT AU AUS Card xx8882 Value Date: 07/05/2019</t>
  </si>
  <si>
    <t>Camy's Chargrill SH Surry Hills NS AUS Card xx8882 Value Date: 07/05/2019</t>
  </si>
  <si>
    <t>MCDONALDS DRUMMOYNE DRUMMOYNE  AUS Card xx8882 Value Date: 05/05/2019</t>
  </si>
  <si>
    <t>COLES 0846 LEICHHARDT AU AUS Card xx8882 Value Date: 06/05/2019</t>
  </si>
  <si>
    <t>COLES 0846 LEICHHARDT AU AUS Card xx8882 Value Date: 03/05/2019</t>
  </si>
  <si>
    <t>PRIME QUALITY MEATS LEICHHARDT NS AUS Card xx8882 Value Date: 01/05/2019</t>
  </si>
  <si>
    <t>TASTE BAKERY &amp; RESTAU SURRY HILLS  AUS Card xx8882 Value Date: 02/05/2019</t>
  </si>
  <si>
    <t>LEICHHARDT CHEMIST LEICHHARDT NS AUS Card xx8882 Value Date: 03/05/2019</t>
  </si>
  <si>
    <t>Belong * Service PADDINGTON NS AUS Card xx8882 Value Date: 01/05/2019</t>
  </si>
  <si>
    <t>TASTE BAKERY &amp; RESTAU SURRY HILLS  AUS Card xx8882 Value Date: 29/04/2019</t>
  </si>
  <si>
    <t>SUSHI OTAKU SURRY HILLS NS AUS Card xx8882 Value Date: 30/04/2019</t>
  </si>
  <si>
    <t>AUTO TCH CR &amp; TRCK R PETERSHAM NOR NS AUS Card xx8882 Value Date: 26/04/2019</t>
  </si>
  <si>
    <t>WARWICK L EVERINGHAM LEICHHARDT  AUS Tap and Pay xx6067 Value Date: 27/04/2019</t>
  </si>
  <si>
    <t>Direct Debit 245164 HCF 5723396980107A0000</t>
  </si>
  <si>
    <t>COLES 0846 LEICHHARDT AU AUS Card xx8882 Value Date: 29/04/2019</t>
  </si>
  <si>
    <t>LEICHHARDT CHEMIST LEICHHARDT NS AUS Tap and Pay xx6067 Value Date: 27/04/2019</t>
  </si>
  <si>
    <t>NRMA WEB SYDNEY NS AUS Card xx8882 Value Date: 26/04/2019</t>
  </si>
  <si>
    <t>Camy's Chargrill SH Surry Hills NS AUS Card xx8882 Value Date: 26/04/2019</t>
  </si>
  <si>
    <t>COLES 0846 LEICHHARDT AU AUS Tap and Pay xx6067 Value Date: 27/04/2019</t>
  </si>
  <si>
    <t>TASTE BAKERY &amp; RESTAU SURRY HILLS  AUS Card xx8882 Value Date: 24/04/2019</t>
  </si>
  <si>
    <t>SYDNEY OPERA HOUSE TRU SYDNEY NS AUS Card xx8882 Value Date: 24/04/2019</t>
  </si>
  <si>
    <t>REVENUE NSWFINE MAITLAND  AUS Card xx8882 Value Date: 23/04/2019</t>
  </si>
  <si>
    <t>RELISH FOODS LEICHHARDT NS AUS Card xx8882 Value Date: 23/04/2019</t>
  </si>
  <si>
    <t>CIVIC HOTEL SYDNEY  AUS Card xx8882 Value Date: 21/04/2019</t>
  </si>
  <si>
    <t>CIVIC HOTEL SYDNEY  AUS Card xx8882 Value Date: 20/04/2019</t>
  </si>
  <si>
    <t>Sushi Hub Balmain Balmain NS AUS Card xx8882 Value Date: 25/04/2019</t>
  </si>
  <si>
    <t>Dick's Hotel Balmain Balmain NS AUS Card xx8882 Value Date: 25/04/2019</t>
  </si>
  <si>
    <t>PRIME QUALITY MEATS LEICHHARDT NS AUS Card xx8882 Value Date: 23/04/2019</t>
  </si>
  <si>
    <t>Direct Debit 165969 FITNESS PLAY SH 20195072088</t>
  </si>
  <si>
    <t>7-ELEVEN 2048 DRUMMOYNE NS AUS Card xx8882 Value Date: 21/04/2019</t>
  </si>
  <si>
    <t>WWW.INGOGO SYDNEY NS AUS Card xx8882 Value Date: 21/04/2019</t>
  </si>
  <si>
    <t>MENYA CHINATOWN HAYMARKET NS AUS Card xx8882 Value Date: 18/04/2019</t>
  </si>
  <si>
    <t>7-ELEVEN 2153 PETERSHAM NS AUS Card xx8882 Value Date: 18/04/2019</t>
  </si>
  <si>
    <t>ACT HOLDINGS PTY LTD     ROZELLE      AU Card xx8882</t>
  </si>
  <si>
    <t>UBER EATS HELP.UBER.CO 14518236738 AU AUS Card xx8882 Value Date: 19/04/2019</t>
  </si>
  <si>
    <t>PRIME QUALITY MEATS LEICHHARDT NS AUS Card xx8882 Value Date: 17/04/2019</t>
  </si>
  <si>
    <t>White Cockatoo Hotel Petersham NS AUS Card xx8882 Value Date: 20/04/2019</t>
  </si>
  <si>
    <t>Republic Bar, Taylors Sydney NS AUS Card xx8882 Value Date: 20/04/2019</t>
  </si>
  <si>
    <t>UBER   *EATS SYDNEY NS AUS Card xx8882 Value Date: 22/04/2019</t>
  </si>
  <si>
    <t>UBER EATS HELP.UBER.CO 14518236738 AU AUS Card xx8882 Value Date: 21/04/2019</t>
  </si>
  <si>
    <t>REVENUE NSWFINE MAITLAND  AUS Card xx8882 Value Date: 16/04/2019</t>
  </si>
  <si>
    <t>BMSH PTY LTD             SURRY HILLS  AU Card xx8882</t>
  </si>
  <si>
    <t>TFNSW RAIL OPAL          PETERSHAM    AU Card xx8882</t>
  </si>
  <si>
    <t>COLES 0846 LEICHHARDT AU AUS Card xx8882 Value Date: 15/04/2019</t>
  </si>
  <si>
    <t>International Transaction Fee Value Date: 14/04/2019</t>
  </si>
  <si>
    <t>SOFTWARE PRO WORLD LONDON LN GBR Card xx8882 USD 47.49 Value Date: 14/04/2019</t>
  </si>
  <si>
    <t>COLES 0846 LEICHHARDT AU AUS Card xx8882 Value Date: 12/04/2019</t>
  </si>
  <si>
    <t>Camy's Chargrill SH Surry Hills NS AUS Card xx8882 Value Date: 12/04/2019</t>
  </si>
  <si>
    <t>TASTE BAKERY &amp; RESTAU SURRY HILLS  AUS Card xx8882 Value Date: 11/04/2019</t>
  </si>
  <si>
    <t>RESIDENT ADVISOR TICKE LONDON GB GBR Card xx8882 AUD 27.10 Value Date: 12/04/2019</t>
  </si>
  <si>
    <t>Camy's Chargrill SH Surry Hills NS AUS Card xx8882 Value Date: 10/04/2019</t>
  </si>
  <si>
    <t>Direct Debit 165969 FITNESS PLAY SH 20194503683</t>
  </si>
  <si>
    <t>COLES 0846 LEICHHARDT AU AUS Card xx8882 Value Date: 09/04/2019</t>
  </si>
  <si>
    <t>EAST SUSHI PTY LTD LEICHHARDT NS AUS Card xx8882 Value Date: 07/04/2019</t>
  </si>
  <si>
    <t>NEIGHBORHOOD MASSAGE     LEICHHARDT   AU Card xx8882</t>
  </si>
  <si>
    <t>Newslink SYD903 Sydney NS AUS Card xx8882 Value Date: 05/04/2019</t>
  </si>
  <si>
    <t>Camy's Chargrill SH Surry Hills NS AUS Card xx8882 Value Date: 05/04/2019</t>
  </si>
  <si>
    <t>PRIME QUALITY MEATS LEICHHARDT NS AUS Card xx8882 Value Date: 03/04/2019</t>
  </si>
  <si>
    <t>UBER EATS HELP.UBER.CO 14518236738 AU AUS Card xx8882 Value Date: 06/04/2019</t>
  </si>
  <si>
    <t>ALDI STORES - LEICHHAR   LEICHHARDT   AU Card xx8882</t>
  </si>
  <si>
    <t>Camy's Chargrill SH Surry Hills NS AUS Card xx8882 Value Date: 04/04/2019</t>
  </si>
  <si>
    <t>TRANSPORT FOR NSW        CHIPPENDALE  AU Card xx8882</t>
  </si>
  <si>
    <t>KABUTO PTY LTD           BALMAIN      AU Card xx8882</t>
  </si>
  <si>
    <t>COLES 0846 LEICHHARDT AU AUS Card xx8882 Value Date: 01/04/2019</t>
  </si>
  <si>
    <t>STRAWBERY HILLS HOTEL SURRY HILLS  AUS Card xx8882 Value Date: 31/03/2019</t>
  </si>
  <si>
    <t>GM CABS PTY LTD MASCOT  AUS Card xx8882 Value Date: 31/03/2019</t>
  </si>
  <si>
    <t>7-ELEVEN 2127 SURRY HILLS NS AUS Card xx8882 Value Date: 31/03/2019</t>
  </si>
  <si>
    <t>Camy's Chargrill SH Surry Hills NS AUS Card xx8882 Value Date: 01/04/2019</t>
  </si>
  <si>
    <t>Belong * Service PADDINGTON NS AUS Card xx8882 Value Date: 01/04/2019</t>
  </si>
  <si>
    <t>UBER   *EATS SYDNEY NS AUS Card xx8882 Value Date: 31/03/2019</t>
  </si>
  <si>
    <t>UBER   *EATS SYDNEY NS AUS Card xx8882 Value Date: 29/03/2019</t>
  </si>
  <si>
    <t>(T) DE Reject Return Fee</t>
  </si>
  <si>
    <t>Clock Hotel Surry Hills NS AUS Card xx8882 Value Date: 30/03/2019</t>
  </si>
  <si>
    <t>Direct Debit 245164 HCF 5723396980075A0000</t>
  </si>
  <si>
    <t>BP LANE COVE 2212   LANE COVE         AU</t>
  </si>
  <si>
    <t>Clock Hotel              Surry Hills  AU</t>
  </si>
  <si>
    <t>Camy's Chargrill SH Surry Hills NS AUS Card xx8882 Value Date: 28/03/2019</t>
  </si>
  <si>
    <t>COLES 0846 LEICHHARDT AU AUS Card xx8882 Value Date: 27/03/2019</t>
  </si>
  <si>
    <t>P AND J WADE CHEMISTS LANE COVE NSW   AU</t>
  </si>
  <si>
    <t>Camy's Chargrill SH Surry Hills NS AUS Card xx8882 Value Date: 27/03/2019</t>
  </si>
  <si>
    <t>UBER   *EATS SYDNEY NS AUS Card xx8882 Value Date: 26/03/2019</t>
  </si>
  <si>
    <t>Direct Debit 165969 FITNESS PLAY SH 20193946527</t>
  </si>
  <si>
    <t>PRIME QUALITY MEATS LEICHHARDT NS AUS Card xx8882 Value Date: 23/03/2019</t>
  </si>
  <si>
    <t>7-ELEVEN 2105 LEICHHARDT NS AUS Card xx8882 Value Date: 23/03/2019</t>
  </si>
  <si>
    <t>KEG &amp; BREW HOTEL SURRY HILLS NS AUS Card xx8882 Value Date: 22/03/2019</t>
  </si>
  <si>
    <t>UBER   *EATS SYDNEY NS AUS Card xx8882 Value Date: 24/03/2019</t>
  </si>
  <si>
    <t>CRAZYDOMAINSHOSTING 61290372826 SG SGP Card xx8882 AUD 31.88 Value Date: 24/03/2019</t>
  </si>
  <si>
    <t>KEG &amp; BREW HOTEL SURRY HILLS NS AUS Card xx8882 Value Date: 18/03/2019</t>
  </si>
  <si>
    <t>UBER   *EATS SYDNEY NS AUS Card xx8882 Value Date: 15/03/2019</t>
  </si>
  <si>
    <t>Camy's Chargrill SH Surry Hills NS AUS Card xx8882 Value Date: 15/03/2019</t>
  </si>
  <si>
    <t>NRMA LTD SYDNEY OLYMPI NS AUS Card xx8882 Value Date: 13/03/2019</t>
  </si>
  <si>
    <t>Direct Debit 165969 FITNESS PLAY SH 20193379091</t>
  </si>
  <si>
    <t>COLES 0846 LEICHHARDT AU AUS Card xx8882 Value Date: 11/03/2019</t>
  </si>
  <si>
    <t>Camy's Chargrill SH Surry Hills NS AUS Card xx8882 Value Date: 11/03/2019</t>
  </si>
  <si>
    <t>UBER   *EATS SYDNEY NS AUS Card xx8882 Value Date: 10/03/2019</t>
  </si>
  <si>
    <t>UBER EATS HELP.UBER.CO 14518236738 AU AUS Card xx8882 Value Date: 09/03/2019</t>
  </si>
  <si>
    <t>COLES 0846 LEICHHARDT AU AUS Card xx8882 Value Date: 06/03/2019</t>
  </si>
  <si>
    <t>SNEAKY BURGER CO         ALBION PARK  AU Card xx8882</t>
  </si>
  <si>
    <t>COLES 0846 LEICHHARDT AU AUS Card xx8882 Value Date: 04/03/2019</t>
  </si>
  <si>
    <t>GM CABS PTY LTD MASCOT  AUS Card xx8882 Value Date: 03/03/2019</t>
  </si>
  <si>
    <t>MCDONALDS F3 NORTHBOU JILLIBY  AUS Card xx8882 Value Date: 01/03/2019</t>
  </si>
  <si>
    <t>JACKS HAIRDRESSING SYDNEY NS AUS Card xx8882 Value Date: 01/03/2019</t>
  </si>
  <si>
    <t>TFNSW RAIL               HAYMARKET    AU</t>
  </si>
  <si>
    <t>Direct Credit 481128 Tax Today (Parra PAR1903030744346</t>
  </si>
  <si>
    <t>Belong * Service PADDINGTON NS AUS Card xx8882 Value Date: 28/02/2019</t>
  </si>
  <si>
    <t>Camy's Chargrill SH Surry Hills NS AUS Card xx8882 Value Date: 28/02/2019</t>
  </si>
  <si>
    <t>Direct Debit 245164 HCF 5723396980047A0000</t>
  </si>
  <si>
    <t>COLES 0846 LEICHHARDT AU AUS Card xx8882 Value Date: 26/02/2019</t>
  </si>
  <si>
    <t>Direct Debit 165969 FITNESS PLAY SH 20192763390</t>
  </si>
  <si>
    <t>7-ELEVEN 2048 DRUMMOYNE NS AUS Card xx8882 Value Date: 25/02/2019</t>
  </si>
  <si>
    <t>NV PETERS INMNT PL BROADWAY NS AUS Card xx8882 Value Date: 23/02/2019</t>
  </si>
  <si>
    <t>REBEL BROADWAY BROADWAY NS AUS Card xx8882 Value Date: 23/02/2019</t>
  </si>
  <si>
    <t>SUSHI OTAKU SURRY HILLS NS AUS Card xx8882 Value Date: 22/02/2019</t>
  </si>
  <si>
    <t>COLES 0839 BROADWAY AU AUS Card xx8882 Value Date: 23/02/2019</t>
  </si>
  <si>
    <t>CHARLIES DELI            PETERSHAM    AU Card xx8882</t>
  </si>
  <si>
    <t>MCDONALDS DRUMMOYNE DRUMMOYNE  AUS Card xx8882 Value Date: 19/02/2019</t>
  </si>
  <si>
    <t>COLES 0846 LEICHHARDT AU AUS Card xx8882 Value Date: 20/02/2019</t>
  </si>
  <si>
    <t>Direct Credit 462125 APRA Limited AU Royalty</t>
  </si>
  <si>
    <t>NORTONS ON NORTON LEICHHARDT NS AUS Card xx8882 Value Date: 18/02/2019</t>
  </si>
  <si>
    <t>EAST SUSHI PTY LTD LEICHHARDT NS AUS Card xx8882 Value Date: 18/02/2019</t>
  </si>
  <si>
    <t>Return UBER   *EATS SYDNEY NS AUS Card xx8882 Value Date: 20/02/2019</t>
  </si>
  <si>
    <t>UBER   *EATS SYDNEY NS AUS Card xx8882 Value Date: 19/02/2019</t>
  </si>
  <si>
    <t>PRIME QUALITY MEATS LEICHHARDT NS AUS Card xx8882 Value Date: 16/02/2019</t>
  </si>
  <si>
    <t>COLES 0846 LEICHHARDT AU AUS Card xx8882 Value Date: 16/02/2019</t>
  </si>
  <si>
    <t>The Grounds Alexandria NS AUS Card xx8882 Value Date: 16/02/2019</t>
  </si>
  <si>
    <t>Direct Debit 165969 FITNESS PLAY SH 20192110090</t>
  </si>
  <si>
    <t>Belong * Service PADDINGTON NS AUS Card xx8882 Value Date: 12/02/2019</t>
  </si>
  <si>
    <t>COLES 0846 LEICHHARDT AU AUS Card xx8882 Value Date: 11/02/2019</t>
  </si>
  <si>
    <t>FOODWORKS PETERSHAM      PETERSHAM    AU Card xx8882</t>
  </si>
  <si>
    <t>THE GRUMPY BAKER NEW NEWTOWN NS AUS Card xx8882 Value Date: 09/02/2019</t>
  </si>
  <si>
    <t>7-ELEVEN 2118 CAMPERDOWN NS AUS Card xx8882 Value Date: 10/02/2019</t>
  </si>
  <si>
    <t>UBER   *TRIP 4ECZJ SYDNEY NS AUS Card xx8882 Value Date: 09/02/2019</t>
  </si>
  <si>
    <t>LIME APPLE 132227      SYDNEY    NSW  AU</t>
  </si>
  <si>
    <t>PETERSHAM LIQUOR MART    PETERSHAM    AU Card xx8882</t>
  </si>
  <si>
    <t>Camy's Chargrill SH Surry Hills NS AUS Card xx8882 Value Date: 07/02/2019</t>
  </si>
  <si>
    <t>Camy's Chargrill SH Surry Hills NS AUS Card xx8882 Value Date: 06/02/2019</t>
  </si>
  <si>
    <t>COLES 0846 LEICHHARDT AU AUS Card xx8882 Value Date: 04/02/2019</t>
  </si>
  <si>
    <t>EAST SUSHI PTY LTD LEICHHARDT NS AUS Card xx8882 Value Date: 02/02/2019</t>
  </si>
  <si>
    <t>JB HI FI LEICHHARDT NS AUS Card xx8882 Value Date: 02/02/2019</t>
  </si>
  <si>
    <t>UBER EATS HELP.UBER.CO 14518236738 AU AUS Card xx8882 Value Date: 03/02/2019</t>
  </si>
  <si>
    <t>UBER   *EATS SYDNEY NS AUS Card xx8882 Value Date: 01/02/2019</t>
  </si>
  <si>
    <t>PRIME QUALITY MEATS LEICHHARDT NS AUS Card xx8882 Value Date: 31/01/2019</t>
  </si>
  <si>
    <t>COLES 0846 LEICHHARDT AU AUS Card xx8882 Value Date: 31/01/2019</t>
  </si>
  <si>
    <t>Direct Debit 245164 HCF 5723396980018A0000</t>
  </si>
  <si>
    <t>Camy's Chargrill SH Surry Hills NS AUS Card xx8882 Value Date: 30/01/2019</t>
  </si>
  <si>
    <t>Direct Debit 165969 FITNESS PLAY SH 20191449235</t>
  </si>
  <si>
    <t>UBER   *EATS SYDNEY NS AUS Card xx8882 Value Date: 28/01/2019</t>
  </si>
  <si>
    <t>H&amp;M AUSTRALIA 0011 SYDNEY NS AUS Card xx8882 Value Date: 27/01/2019</t>
  </si>
  <si>
    <t>WWW.INGOGO SYDNEY NS AUS Card xx8882 Value Date: 28/01/2019</t>
  </si>
  <si>
    <t>HAPPY KITCHEN 4 U SURRY HILLS  AUS Tap and Pay xx4622 Value Date: 25/01/2019</t>
  </si>
  <si>
    <t>TRANSPORT FOR NSW CHIPPENDALE  AUS Tap and Pay xx4622 Value Date: 25/01/2019</t>
  </si>
  <si>
    <t>BMSH PTY LTD SURRY HILLS  AUS Tap and Pay xx4622 Value Date: 24/01/2019</t>
  </si>
  <si>
    <t>UBER   *EATS SYDNEY NS AUS Card xx8882 Value Date: 26/01/2019</t>
  </si>
  <si>
    <t>Different Drummer Glebe NS AUS Card xx8882 Value Date: 27/01/2019</t>
  </si>
  <si>
    <t>WOOLWORTHS 1669 SURRY HILLS NS AUS Tap and Pay xx4622 Value Date: 24/01/2019</t>
  </si>
  <si>
    <t>BMSH PTY LTD SURRY HILLS  AUS Tap and Pay xx4622 Value Date: 23/01/2019</t>
  </si>
  <si>
    <t>RSL CABS 9581 1111     SYDNEY    NSW  AU</t>
  </si>
  <si>
    <t>AGINCOURT HOTEL          SYDNEY       AU Card xx8882</t>
  </si>
  <si>
    <t>AGINCOURT HOTEL          SYDNEY       AU Card xx8882 Value Date: 28/01/2019</t>
  </si>
  <si>
    <t>Toxteth Hotel            Glebe        AU</t>
  </si>
  <si>
    <t>RIVERSDALE PUB CO NO     BALMAIN      AU Card xx8882</t>
  </si>
  <si>
    <t>GUZMAN Y GOMEZ BROADWA   BROADWAY     AU Card xx8882</t>
  </si>
  <si>
    <t>JOJOS VENTURE PTY LT     PETERSHAM    AU</t>
  </si>
  <si>
    <t>WOOLWORTHS 1669 SURRY HILLS NS AUS Tap and Pay xx4622 Value Date: 23/01/2019</t>
  </si>
  <si>
    <t>COLES 0846 LEICHHARDT AU AUS Tap and Pay xx4622 Value Date: 22/01/2019</t>
  </si>
  <si>
    <t>DMD FUELS PTY LTD  QPS PETERSHAM  AUS Tap and Pay xx4622 Value Date: 22/01/2019</t>
  </si>
  <si>
    <t>WOOLWORTHS 1669 SURRY HILLS NS AUS Tap and Pay xx4622 Value Date: 22/01/2019</t>
  </si>
  <si>
    <t>Camy's Chargrill SH Surry Hills NS AUS Tap and Pay xx4622 Value Date: 22/01/2019</t>
  </si>
  <si>
    <t>COLES 0846 LEICHHARDT AU AUS Tap and Pay xx4622 Value Date: 21/01/2019</t>
  </si>
  <si>
    <t>BMSH PTY LTD SURRY HILLS  AUS Tap and Pay xx4622 Value Date: 21/01/2019</t>
  </si>
  <si>
    <t>WOOLWORTHS 1669 SURRY HILLS NS AUS Tap and Pay xx4622 Value Date: 21/01/2019</t>
  </si>
  <si>
    <t>7-ELEVEN 2048 DRUMMOYNE NS AUS Tap and Pay xx4622 Value Date: 19/01/2019</t>
  </si>
  <si>
    <t>SONY AUSTRALIA CASTLE HILL NS AUS Tap and Pay xx4622 Value Date: 19/01/2019</t>
  </si>
  <si>
    <t>UBER   *EATS SYDNEY NS AUS Card xx0052 Value Date: 20/01/2019</t>
  </si>
  <si>
    <t>NETFLIX.COM Melbourne AU AUS Card xx0052 Value Date: 20/01/2019</t>
  </si>
  <si>
    <t>WOOLWORTHS 1669 SURRY HILLS NS AUS Tap and Pay xx4622 Value Date: 18/01/2019</t>
  </si>
  <si>
    <t>Camy's Chargrill SH Surry Hills NS AUS Tap and Pay xx4622 Value Date: 18/01/2019</t>
  </si>
  <si>
    <t>BMSH PTY LTD SURRY HILLS  AUS Tap and Pay xx4622 Value Date: 17/01/2019</t>
  </si>
  <si>
    <t>TRANSPORT FOR NSW CHIPPENDALE  AUS Tap and Pay xx4622 Value Date: 17/01/2019</t>
  </si>
  <si>
    <t>Date</t>
  </si>
  <si>
    <t>Amount</t>
  </si>
  <si>
    <t>Pay</t>
  </si>
  <si>
    <t>food</t>
  </si>
  <si>
    <t>petrol</t>
  </si>
  <si>
    <t>?</t>
  </si>
  <si>
    <t>Row Labels</t>
  </si>
  <si>
    <t>Grand Total</t>
  </si>
  <si>
    <t>Column Labels</t>
  </si>
  <si>
    <t>Sum of Amount</t>
  </si>
  <si>
    <t>Transaction</t>
  </si>
  <si>
    <t>BMSH PTY LTD SURRY HILLS  AUS Tap and Pay xx4622 Value Date: 16/01/2019</t>
  </si>
  <si>
    <t>WOOLWORTHS 1669 SURRY HILLS NS AUS Tap and Pay xx4622 Value Date: 16/01/2019</t>
  </si>
  <si>
    <t>Direct Debit 165969 FITNESS PLAY SH 2019814730</t>
  </si>
  <si>
    <t>NORTON PLAZA LEICHHARDT NS AUS Tap and Pay xx4622 Value Date: 14/01/2019</t>
  </si>
  <si>
    <t>WOOLWORTHS 1669 SURRY HILLS NS AUS Tap and Pay xx4622 Value Date: 15/01/2019</t>
  </si>
  <si>
    <t>UBER   *EATS SYDNEY NS AUS Card xx0052 Value Date: 15/01/2019</t>
  </si>
  <si>
    <t>Camy's Chargrill SH Surry Hills NS AUS Tap and Pay xx4622 Value Date: 15/01/2019</t>
  </si>
  <si>
    <t>COLES 0846 LEICHHARDT AU AUS Tap and Pay xx4622 Value Date: 14/01/2019</t>
  </si>
  <si>
    <t>YULIA ANGESTI &amp; MICH LEICHHARDT NS AUS Tap and Pay xx4622 Value Date: 12/01/2019</t>
  </si>
  <si>
    <t>WOOLWORTHS 1669 SURRY HILLS NS AUS Tap and Pay xx4622 Value Date: 14/01/2019</t>
  </si>
  <si>
    <t>WOOLWORTHS 1669 SURRY HILLS NS AUS Tap and Pay xx4622 Value Date: 11/01/2019</t>
  </si>
  <si>
    <t>JACKS HAIRDRESSING SYDNEY NS AUS Tap and Pay xx4622 Value Date: 10/01/2019</t>
  </si>
  <si>
    <t>WOOLWORTHS 1669 SURRY HILLS NS AUS Tap and Pay xx4622 Value Date: 10/01/2019</t>
  </si>
  <si>
    <t>UBER   *EATS SYDNEY NS AUS Card xx0052 Value Date: 10/01/2019</t>
  </si>
  <si>
    <t>TRANSPORT FOR NSW CHIPPENDALE  AUS Tap and Pay xx4622 Value Date: 09/01/2019</t>
  </si>
  <si>
    <t>COLES 0846 LEICHHARDT AU AUS Tap and Pay xx4622 Value Date: 12/01/2019</t>
  </si>
  <si>
    <t>HAPPY KITCHEN 4 U SURRY HILLS  AUS Tap and Pay xx4622 Value Date: 11/01/2019</t>
  </si>
  <si>
    <t>YOUI - PREMIUM SIPPY DOWNS  AUS Card xx0052 Value Date: 14/01/2019</t>
  </si>
  <si>
    <t>Sando Bar Surry Hills NS AUS Tap and Pay xx4622 Value Date: 10/01/2019</t>
  </si>
  <si>
    <t>BMSH PTY LTD SURRY HILLS  AUS Tap and Pay xx4622 Value Date: 09/01/2019</t>
  </si>
  <si>
    <t>GRILLD LEICHHARDT LEICHHARDT  AUS Tap and Pay xx4622 Value Date: 07/01/2019</t>
  </si>
  <si>
    <t>WOOLWORTHS 1669 SURRY HILLS NS AUS Tap and Pay xx4622 Value Date: 08/01/2019</t>
  </si>
  <si>
    <t>BMSH PTY LTD SURRY HILLS  AUS Tap and Pay xx4622 Value Date: 07/01/2019</t>
  </si>
  <si>
    <t>HARRIS FARM MARKETSQPS LEICHHARDT  AUS Tap and Pay xx4622 Value Date: 07/01/2019</t>
  </si>
  <si>
    <t>WOOLWORTHS 1669 SURRY HILLS NS AUS Tap and Pay xx4622 Value Date: 07/01/2019</t>
  </si>
  <si>
    <t>COLES 0846               LEICHHARDT   AU</t>
  </si>
  <si>
    <t>CHISWICK CELLARS CHISWICK NS AUS Tap and Pay xx4622 Value Date: 03/01/2019</t>
  </si>
  <si>
    <t>EAST SUSHI PTY LTD LEICHHARDT NS AUS Tap and Pay xx4622 Value Date: 02/01/2019</t>
  </si>
  <si>
    <t>COLES 0846 LEICHHARDT AU AUS Tap and Pay xx4622 Value Date: 04/01/2019</t>
  </si>
  <si>
    <t>PRIME QUALITY MEATS LEICHHARDT NS AUS Tap and Pay xx4622 Value Date: 31/12/2018</t>
  </si>
  <si>
    <t>HARRIS FARM MARKETSQPS LEICHHARDT  AUS Tap and Pay xx4622 Value Date: 02/01/2019</t>
  </si>
  <si>
    <t>Direct Debit 165969 FITNESS PLAY SH 2019175306</t>
  </si>
  <si>
    <t>UBER   *EATS SYDNEY NS AUS Card xx0052 Value Date: 30/12/2018</t>
  </si>
  <si>
    <t>COLES 0846 LEICHHARDT AU AUS Tap and Pay xx4622 Value Date: 30/12/2018</t>
  </si>
  <si>
    <t>Belong * Service PADDINGTON NS AUS Card xx0052 Value Date: 01/01/2019</t>
  </si>
  <si>
    <t>EAST SUSHI PTY LTD LEICHHARDT NS AUS Tap and Pay xx4622 Value Date: 28/12/2018</t>
  </si>
  <si>
    <t>YULIA ANGESTI &amp; MICH LEICHHARDT NS AUS Tap and Pay xx4622 Value Date: 31/12/2018</t>
  </si>
  <si>
    <t>Return UBER   *EATS SYDNEY NS AUS Card xx0052 Value Date: 30/12/2018</t>
  </si>
  <si>
    <t>Direct Debit 245164 HCF 5723396979986A0000</t>
  </si>
  <si>
    <t>UBER   *EATS SYDNEY NS AUS Card xx0052 Value Date: 28/12/2018</t>
  </si>
  <si>
    <t>7-ELEVEN 2153            PETERSHAM    AU</t>
  </si>
  <si>
    <t>JB HI FI LEICHHARDT NS AUS Tap and Pay xx4622 Value Date: 24/12/2018</t>
  </si>
  <si>
    <t>UBER EATS HELP.UBER.CO 14518236738 AU AUS Card xx0052 Value Date: 26/12/2018</t>
  </si>
  <si>
    <t>UBER   *TRIP MHC7G SYDNEY NS AUS Card xx0052 Value Date: 22/12/2018</t>
  </si>
  <si>
    <t>COLES 0846 LEICHHARDT AU AUS Tap and Pay xx4622 Value Date: 23/12/2018</t>
  </si>
  <si>
    <t>International Transaction Fee Value Date: 25/12/2018</t>
  </si>
  <si>
    <t>OUTPUT INC 8186726902 CA USA Card xx0052 USD 10.00 Value Date: 25/12/2018</t>
  </si>
  <si>
    <t>NEXTRA NORTON PLAZA LEICHHARDT NS AUS Tap and Pay xx4622 Value Date: 24/12/2018</t>
  </si>
  <si>
    <t>EAST SUSHI PTY LTD LEICHHARDT NS AUS Tap and Pay xx4622 Value Date: 23/12/2018</t>
  </si>
  <si>
    <t>FOODWORKS PETERSHAM PETERSHAM  AUS Tap and Pay xx4622 Value Date: 21/12/2018</t>
  </si>
  <si>
    <t>TRANSPORT FOR NSW CHIPPENDALE  AUS Tap and Pay xx4622 Value Date: 20/12/2018</t>
  </si>
  <si>
    <t>WWW.INGOGO               SYDNEY       AU</t>
  </si>
  <si>
    <t>7-ELEVEN 2048            DRUMMOYNE    AU</t>
  </si>
  <si>
    <t>UBER EATS HELP.UBER.CO 14518236738 AU AUS Card xx0052 Value Date: 19/12/2018</t>
  </si>
  <si>
    <t>PRIME QUALITY MEATS LEICHHARDT NS AUS Tap and Pay xx4622 Value Date: 18/12/2018</t>
  </si>
  <si>
    <t>AGL SALES PTY LTD SYDNEY  AUS Card xx0052 Value Date: 19/12/2018</t>
  </si>
  <si>
    <t>YULIA ANGESTI &amp; MICH LEICHHARDT NS AUS Tap and Pay xx4622 Value Date: 18/12/2018</t>
  </si>
  <si>
    <t>HAPPY KITCHEN 4 U SURRY HILLS  AUS Tap and Pay xx4622 Value Date: 18/12/2018</t>
  </si>
  <si>
    <t>Direct Debit 165969 FITNESS PLAY SH 201822938643</t>
  </si>
  <si>
    <t>WARWICK L EVERINGHAM LEICHHARDT  AUS Tap and Pay xx4622 Value Date: 16/12/2018</t>
  </si>
  <si>
    <t>PRIME QUALITY MEATS LEICHHARDT NS AUS Tap and Pay xx4622 Value Date: 16/12/2018</t>
  </si>
  <si>
    <t>COLES 0846 LEICHHARDT AU AUS Tap and Pay xx4622 Value Date: 16/12/2018</t>
  </si>
  <si>
    <t>FOSAUX PTY LTD SURRY HILLS  AUS Tap and Pay xx4622 Value Date: 14/12/2018</t>
  </si>
  <si>
    <t>UBER EATS HELP.UBER.CO 14518236738 AU AUS Card xx0052 Value Date: 15/12/2018</t>
  </si>
  <si>
    <t>COLES 0846 LEICHHARDT AU AUS Tap and Pay xx4622 Value Date: 14/12/2018</t>
  </si>
  <si>
    <t>MASSAGE LINK BROADWA ULTIMO NS AUS Tap and Pay xx4622 Value Date: 13/12/2018</t>
  </si>
  <si>
    <t>HAPPY KITCHEN 4 U SURRY HILLS  AUS Tap and Pay xx4622 Value Date: 12/12/2018</t>
  </si>
  <si>
    <t>YOUI - PREMIUM SIPPY DOWNS  AUS Card xx0052 Value Date: 14/12/2018</t>
  </si>
  <si>
    <t>TFNSW RAIL HAYMARKET  AUS Tap and Pay xx4622 Value Date: 10/12/2018</t>
  </si>
  <si>
    <t>BMSH PTY LTD SURRY HILLS  AUS Tap and Pay xx4622 Value Date: 11/12/2018</t>
  </si>
  <si>
    <t>COLES 0846 LEICHHARDT AU AUS Tap and Pay xx4622 Value Date: 10/12/2018</t>
  </si>
  <si>
    <t>EAST SUSHI PTY LTD LEICHHARDT NS AUS Tap and Pay xx4622 Value Date: 08/12/2018</t>
  </si>
  <si>
    <t>PRIME QUALITY MEATS LEICHHARDT NS AUS Tap and Pay xx4622 Value Date: 08/12/2018</t>
  </si>
  <si>
    <t>OXFORD TAVERN PETERSHAM NS AUS Tap and Pay xx4622 Value Date: 09/12/2018</t>
  </si>
  <si>
    <t>UBER   *EATS Q3PBY SYDNEY NS AUS Card xx0052 Value Date: 07/12/2018</t>
  </si>
  <si>
    <t>HAPPY KITCHEN 4 U SURRY HILLS  AUS Tap and Pay xx4622 Value Date: 06/12/2018</t>
  </si>
  <si>
    <t>COLES 0846 LEICHHARDT AU AUS Tap and Pay xx4622 Value Date: 08/12/2018</t>
  </si>
  <si>
    <t>GM CABS PTY LTD MASCOT  AUS Tap and Pay xx4622 Value Date: 06/12/2018</t>
  </si>
  <si>
    <t>HAPPY KITCHEN 4 U SURRY HILLS  AUS Tap and Pay xx4622 Value Date: 07/12/2018</t>
  </si>
  <si>
    <t>Redfern Surf Club Alexandria NS AUS Tap and Pay xx4622 Value Date: 06/12/2018</t>
  </si>
  <si>
    <t>Redfern Surf Club Alexandria NS AUS Card xx0052 Value Date: 06/12/2018</t>
  </si>
  <si>
    <t>HAPPY KITCHEN 4 U SURRY HILLS  AUS Tap and Pay xx4622 Value Date: 05/12/2018</t>
  </si>
  <si>
    <t>DELISH TRAN CAFE         SURRY HILLS  AU</t>
  </si>
  <si>
    <t>COLES 0846 LEICHHARDT AU AUS Tap and Pay xx4622 Value Date: 04/12/2018</t>
  </si>
  <si>
    <t>Direct Debit 165969 FITNESS PLAY SH 201822262502</t>
  </si>
  <si>
    <t>Redfern Surf Club        Alexandria   AU</t>
  </si>
  <si>
    <t>WOOLWORTHS 1669 SURRY HILLS NS AUS Tap and Pay xx4622 Value Date: 04/12/2018</t>
  </si>
  <si>
    <t>PRIME QUALITY MEATS LEICHHARDT NS AUS Tap and Pay xx4622 Value Date: 01/12/2018</t>
  </si>
  <si>
    <t>YULIA ANGESTI &amp; MICH LEICHHARDT NS AUS Tap and Pay xx4622 Value Date: 01/12/2018</t>
  </si>
  <si>
    <t>JB HI FI BROADWAY BROADWAY NS AUS Tap and Pay xx4622 Value Date: 02/12/2018</t>
  </si>
  <si>
    <t>7-ELEVEN 2153 PETERSHAM NS AUS Tap and Pay xx4622 Value Date: 02/12/2018</t>
  </si>
  <si>
    <t>Belong * Service PADDINGTON NS AUS Card xx0052 Value Date: 01/12/2018</t>
  </si>
  <si>
    <t>UBER   *EATS SC3TL SYDNEY NS AUS Card xx0052 Value Date: 02/12/2018</t>
  </si>
  <si>
    <t>APPLE STORE R523 BROADWAY AU AUS Tap and Pay xx4622 Value Date: 02/12/2018</t>
  </si>
  <si>
    <t>PRIME QUALITY MEATS LEICHHARDT NS AUS Tap and Pay xx4622 Value Date: 28/11/2018</t>
  </si>
  <si>
    <t>COLES 0846 LEICHHARDT AU AUS Tap and Pay xx4622 Value Date: 01/12/2018</t>
  </si>
  <si>
    <t>BMSH PTY LTD SURRY HILLS  AUS Tap and Pay xx4622 Value Date: 30/11/2018</t>
  </si>
  <si>
    <t>TRANSPORT FOR NSW CHIPPENDALE  AUS Tap and Pay xx4622 Value Date: 29/11/2018</t>
  </si>
  <si>
    <t>Direct Debit 245164 HCF 5723396979956A0000</t>
  </si>
  <si>
    <t>WOOLWORTHS 1669 SURRY HILLS NS AUS Tap and Pay xx4622 Value Date: 29/11/2018</t>
  </si>
  <si>
    <t>NETFLIX.COM Melbourne AU AUS Card xx0052 Value Date: 28/11/2018</t>
  </si>
  <si>
    <t>COLES 0846 LEICHHARDT AU AUS Tap and Pay xx4622 Value Date: 28/11/2018</t>
  </si>
  <si>
    <t>BMSH PTY LTD SURRY HILLS  AUS Tap and Pay xx4622 Value Date: 27/11/2018</t>
  </si>
  <si>
    <t>JEEVES AU PTY LTD LEICHHARDT NS AUS Tap and Pay xx4622 Value Date: 25/11/2018</t>
  </si>
  <si>
    <t>EAST SUSHI PTY LTD LEICHHARDT NS AUS Tap and Pay xx4622 Value Date: 25/11/2018</t>
  </si>
  <si>
    <t>PRIME QUALITY MEATS LEICHHARDT NS AUS Tap and Pay xx4622 Value Date: 23/11/2018</t>
  </si>
  <si>
    <t>YULIA ANGESTI &amp; MICH LEICHHARDT NS AUS Tap and Pay xx4622 Value Date: 25/11/2018</t>
  </si>
  <si>
    <t>FOODWORKS PETERSHAM PETERSHAM  AUS Tap and Pay xx4622 Value Date: 26/11/2018</t>
  </si>
  <si>
    <t>COLES 0846 LEICHHARDT AU AUS Tap and Pay xx4622 Value Date: 25/11/2018</t>
  </si>
  <si>
    <t>COLES 0846 LEICHHARDT AU AUS Tap and Pay xx4622 Value Date: 23/11/2018</t>
  </si>
  <si>
    <t>MLEKO BAR ESSPRESSO SYDNEY NS AUS Tap and Pay xx4622 Value Date: 23/11/2018</t>
  </si>
  <si>
    <t>WOOLWORTHS 1669 SURRY HILLS NS AUS Tap and Pay xx4622 Value Date: 23/11/2018</t>
  </si>
  <si>
    <t>IN T MD FOR THAI S H SURRY HILLS NS AUS Tap and Pay xx4622 Value Date: 22/11/2018</t>
  </si>
  <si>
    <t>YULIA ANGESTI &amp; MICH LEICHHARDT NS AUS Tap and Pay xx4622 Value Date: 23/11/2018</t>
  </si>
  <si>
    <t>WOOLWORTHS 1669 SURRY HILLS NS AUS Tap and Pay xx4622 Value Date: 21/11/2018</t>
  </si>
  <si>
    <t>WARWICK L EVERINGHAM LEICHHARDT  AUS Tap and Pay xx4622 Value Date: 19/11/2018</t>
  </si>
  <si>
    <t>PRIME QUALITY MEATS LEICHHARDT NS AUS Tap and Pay xx4622 Value Date: 19/11/2018</t>
  </si>
  <si>
    <t>BMSH PTY LTD SURRY HILLS  AUS Tap and Pay xx4622 Value Date: 20/11/2018</t>
  </si>
  <si>
    <t>TRANSPORT FOR NSW CHIPPENDALE  AUS Tap and Pay xx4622 Value Date: 19/11/2018</t>
  </si>
  <si>
    <t>Direct Debit 165969 FITNESS PLAY SH 201821547887</t>
  </si>
  <si>
    <t>WOOLWORTHS 1669 SURRY HILLS NS AUS Tap and Pay xx4622 Value Date: 20/11/2018</t>
  </si>
  <si>
    <t>YULIA ANGESTI &amp; MICH LEICHHARDT NS AUS Tap and Pay xx4622 Value Date: 19/11/2018</t>
  </si>
  <si>
    <t>BMSH PTY LTD SURRY HILLS  AUS Tap and Pay xx4622 Value Date: 19/11/2018</t>
  </si>
  <si>
    <t>COLES 0846 LEICHHARDT AU AUS Tap and Pay xx4622 Value Date: 19/11/2018</t>
  </si>
  <si>
    <t>UNI OF SYD UNION THE UNI OF SY NS AUS Tap and Pay xx4622 Value Date: 18/11/2018</t>
  </si>
  <si>
    <t>UNI OF SYD UNION THE UNI OF SY NS AUS Tap and Pay xx4622 Value Date: 17/11/2018</t>
  </si>
  <si>
    <t>UBER EATS RX7MV HELP.U 14518236738 AU AUS Card xx0052 Value Date: 18/11/2018</t>
  </si>
  <si>
    <t>TFNSW RAIL HAYMARKET  AUS Tap and Pay xx4622 Value Date: 16/11/2018</t>
  </si>
  <si>
    <t>KEG &amp; BREW HOTEL SURRY HILLS NS AUS Tap and Pay xx4622 Value Date: 16/11/2018</t>
  </si>
  <si>
    <t>BAR TOSCA SYDNEY NS AUS Tap and Pay xx4622 Value Date: 16/11/2018</t>
  </si>
  <si>
    <t>UBER   *EATS R6UJV SYDNEY NS AUS Card xx0052 Value Date: 15/11/2018</t>
  </si>
  <si>
    <t>BMSH PTY LTD SURRY HILLS  AUS Tap and Pay xx4622 Value Date: 15/11/2018</t>
  </si>
  <si>
    <t>UNI OF SYDNEY UNIN  UNI OF SYDNEY     AU</t>
  </si>
  <si>
    <t>UNI OF SYD UNION    THE UNI OF SY     AU</t>
  </si>
  <si>
    <t>The Lansdowne Hotel      Chippendale  AU</t>
  </si>
  <si>
    <t>Direct Credit 002962 CITIGROUP PTYLTD MEZZE BLAY</t>
  </si>
  <si>
    <t>Direct Credit 245127 HCF 57233969DC-DRCR</t>
  </si>
  <si>
    <t>BMSH PTY LTD SURRY HILLS  AUS Tap and Pay xx4622 Value Date: 13/11/2018</t>
  </si>
  <si>
    <t>YOUI - PREMIUM SIPPY DOWNS  AUS Card xx0052 Value Date: 14/11/2018</t>
  </si>
  <si>
    <t>COLES 0846 LEICHHARDT AU AUS Tap and Pay xx4622 Value Date: 12/11/2018</t>
  </si>
  <si>
    <t>UBER   *EATS QKUOT SYDNEY NS AUS Card xx0052 Value Date: 11/11/2018</t>
  </si>
  <si>
    <t>UBER EATS ECHB3 HELP.U 14518236738 AU AUS Card xx0052 Value Date: 10/11/2018</t>
  </si>
  <si>
    <t>Frankies Pizza Sydney NS AUS Tap and Pay xx4622 Value Date: 09/11/2018</t>
  </si>
  <si>
    <t>WOOLWORTHS 1669 SURRY HILLS NS AUS Tap and Pay xx4622 Value Date: 09/11/2018</t>
  </si>
  <si>
    <t>YULIA ANGESTI &amp; MICH LEICHHARDT NS AUS Tap and Pay xx4622 Value Date: 08/11/2018</t>
  </si>
  <si>
    <t>TRANSPORT FOR NSW CHIPPENDALE  AUS Tap and Pay xx4622 Value Date: 07/11/2018</t>
  </si>
  <si>
    <t>PRIME QUALITY MEATS LEICHHARDT NS AUS Tap and Pay xx4622 Value Date: 08/11/2018</t>
  </si>
  <si>
    <t>WOOLWORTHS 1669 SURRY HILLS NS AUS Tap and Pay xx4622 Value Date: 08/11/2018</t>
  </si>
  <si>
    <t>CIGNALL PETERSHAM PETERSHAM NSW       AU</t>
  </si>
  <si>
    <t>Spotify P0825393E5 Sydney AU AUS Card xx0052 Value Date: 07/11/2018</t>
  </si>
  <si>
    <t>WOOLWORTHS 1669 SURRY HILLS NS AUS Tap and Pay xx4622 Value Date: 07/11/2018</t>
  </si>
  <si>
    <t>Direct Debit 165969 FITNESS PLAY SH 201820745487</t>
  </si>
  <si>
    <t>Sando Bar Surry Hills NS AUS Tap and Pay xx4622 Value Date: 06/11/2018</t>
  </si>
  <si>
    <t>COLES 0846 LEICHHARDT AU AUS Tap and Pay xx4622 Value Date: 05/11/2018</t>
  </si>
  <si>
    <t>UBER   *EATS TCM5N SYDNEY NS AUS Card xx0052 Value Date: 04/11/2018</t>
  </si>
  <si>
    <t>Menulog Pty Ltd Sydney AU AUS Card xx0052 Value Date: 04/11/2018</t>
  </si>
  <si>
    <t>Direct Credit 002962 CITIGROUP PTYLTD CHOCOLATE SUNDAY</t>
  </si>
  <si>
    <t>SILVER SERVIC 13310    Sydney         AU</t>
  </si>
  <si>
    <t>ERSKO PTY LIMITED        ERSKINEVILLE AU</t>
  </si>
  <si>
    <t>Belong * Service PADDINGTON NS AUS Card xx0052 Value Date: 01/11/2018</t>
  </si>
  <si>
    <t>Sando Bar Surry Hills NS AUS Tap and Pay xx4622 Value Date: 01/11/2018</t>
  </si>
  <si>
    <t>KEG &amp; BREW HOTEL    SURRY HILLS       AU</t>
  </si>
  <si>
    <t>TRANSPORT FOR NSW CHIPPENDALE  AUS Tap and Pay xx4622 Value Date: 29/10/2018</t>
  </si>
  <si>
    <t>BMSH PTY LTD SURRY HILLS  AUS Tap and Pay xx4622 Value Date: 30/10/2018</t>
  </si>
  <si>
    <t>Direct Debit 245164 HCF 5723396979926A0000</t>
  </si>
  <si>
    <t>COLES 0839               BROADWAY     AU</t>
  </si>
  <si>
    <t>MASSAGE LINK BROADWA  ULTIMO       NSWAU</t>
  </si>
  <si>
    <t>UBER EATS MM2HS HELP.U 14518236738 AU AUS Card xx0052 Value Date: 30/10/2018</t>
  </si>
  <si>
    <t>PRIME QUALITY MEATS LEICHHARDT NS AUS Tap and Pay xx4622 Value Date: 27/10/2018</t>
  </si>
  <si>
    <t>YULIA ANGESTI &amp; MICH LEICHHARDT NS AUS Tap and Pay xx4622 Value Date: 27/10/2018</t>
  </si>
  <si>
    <t>CENTENNIAL PLAZA PHR  SYDNEY       NSWAU</t>
  </si>
  <si>
    <t>NETFLIX.COM Melbourne AU AUS Card xx0052 Value Date: 28/10/2018</t>
  </si>
  <si>
    <t>White Horse Hotel Surry Hills NS AUS Tap and Pay xx4622 Value Date: 28/10/2018</t>
  </si>
  <si>
    <t>SURRYHILLS NEWSAGENT SURRY HILLS NS AUS Tap and Pay xx4622 Value Date: 25/10/2018</t>
  </si>
  <si>
    <t>COLES 0846 LEICHHARDT AU AUS Tap and Pay xx4622 Value Date: 27/10/2018</t>
  </si>
  <si>
    <t>Return -THE-ICONIC-*787000000 SURRY HILLS NS AUS Card xx0052 Value Date: 26/10/2018</t>
  </si>
  <si>
    <t>ERCIYES TURKISH R PL  SURRY HILLS  NSWAU</t>
  </si>
  <si>
    <t>White Horse Hotel        Surry Hills  AU</t>
  </si>
  <si>
    <t>EAST SUSHI PTY LTD    LEICHHARDT   NSWAU</t>
  </si>
  <si>
    <t>MCDONALDS DRUMMOYNE DRUMMOYNE  AUS Tap and Pay xx4622 Value Date: 24/10/2018</t>
  </si>
  <si>
    <t>PRIME QUALITY MEATS LEICHHARDT NS AUS Tap and Pay xx4622 Value Date: 23/10/2018</t>
  </si>
  <si>
    <t>WOOLWORTHS 1669 SURRY HILLS NS AUS Tap and Pay xx4622 Value Date: 24/10/2018</t>
  </si>
  <si>
    <t>POST HAYMARKET-RET  SY SYDNEY WA AUS Tap and Pay xx4622 Value Date: 23/10/2018</t>
  </si>
  <si>
    <t>Direct Debit 165969 FITNESS PLAY SH 201819932431</t>
  </si>
  <si>
    <t>Sando Bar                Surry Hills  AU</t>
  </si>
  <si>
    <t>WOOLWORTHS 1669 SURRY HILLS NS AUS Tap and Pay xx4622 Value Date: 23/10/2018</t>
  </si>
  <si>
    <t>COLES 0846 LEICHHARDT AU AUS Tap and Pay xx4622 Value Date: 23/10/2018</t>
  </si>
  <si>
    <t>BMSH PTY LTD SURRY HILLS  AUS Tap and Pay xx4622 Value Date: 22/10/2018</t>
  </si>
  <si>
    <t>Menulog Pty Ltd Sydney AU AUS Card xx0052 Value Date: 21/10/2018</t>
  </si>
  <si>
    <t>BMSH PTY LTD SURRY HILLS  AUS Tap and Pay xx4622 Value Date: 19/10/2018</t>
  </si>
  <si>
    <t>International Transaction Fee Value Date: 16/10/2018</t>
  </si>
  <si>
    <t>DRI iZotope orderfind com  IRL Card xx0052 USD 108.90 Value Date: 16/10/2018</t>
  </si>
  <si>
    <t>HARRIS FARM MARKETS      LEICHHARDT   AU</t>
  </si>
  <si>
    <t>-THE-ICONIC-*787000000 SURRY HILLS NS AUS Card xx0052 Value Date: 16/10/2018</t>
  </si>
  <si>
    <t>COLES 0846 LEICHHARDT AU AUS Tap and Pay xx4622 Value Date: 15/10/2018</t>
  </si>
  <si>
    <t>JACKS HAIRDRESSING SYDNEY NS AUS Tap and Pay xx4622 Value Date: 15/10/2018</t>
  </si>
  <si>
    <t>AGL SALES PTY LTD SYDNEY  AUS Card xx0052 Value Date: 14/10/2018</t>
  </si>
  <si>
    <t>DOS SENORITAS GLADESVILLE NSW         AU</t>
  </si>
  <si>
    <t>Sando Bar Surry Hills NS AUS Tap and Pay xx4622 Value Date: 15/10/2018</t>
  </si>
  <si>
    <t>TRANSPORT FOR NSW        CHIPPENDALE  AU</t>
  </si>
  <si>
    <t>YOUI - PREMIUM SIPPY DOWNS  AUS Card xx0052 Value Date: 15/10/2018</t>
  </si>
  <si>
    <t>BLACK AND BRONZE      SYDNEY       NSWAU</t>
  </si>
  <si>
    <t>BRISTOL ARMS OPERATING   BRIGHTON-LE-SAU</t>
  </si>
  <si>
    <t>KING ST BREWHOUSE PT     SYDNEY       AU</t>
  </si>
  <si>
    <t>PETERSHAM LIQUOR MART    PETERSHAM    AU</t>
  </si>
  <si>
    <t>FOODWORKS PETERSHAM      PETERSHAM    AU</t>
  </si>
  <si>
    <t>Direct Debit 165969 FITNESS PLAY SH 201819124955</t>
  </si>
  <si>
    <t>Spotify P07BE6E1C3 Sydney AU AUS Card xx0052 Value Date: 07/10/2018</t>
  </si>
  <si>
    <t>Menulog Pty Ltd Sydney AU AUS Card xx0052 Value Date: 06/10/2018</t>
  </si>
  <si>
    <t>TFNSW RAIL               PETERSHAM    AU</t>
  </si>
  <si>
    <t>NETFLIX COM MELBOURNE  AUS Card xx0052 Value Date: 29/09/2018</t>
  </si>
  <si>
    <t>Belong * Service PADDINGTON NS AUS Card xx0052 Value Date: 01/10/2018</t>
  </si>
  <si>
    <t>Menulog Pty Ltd Sydney AU AUS Card xx0052 Value Date: 29/09/2018</t>
  </si>
  <si>
    <t>Direct Debit 245164 HCF 5723396979893A0000</t>
  </si>
  <si>
    <t>BMSH PTY LTD             SURRY HILLS  AU</t>
  </si>
  <si>
    <t>ROYAL FLYING DOC SES BROKEN HILL  AUS Card xx0052 Value Date: 28/09/2018</t>
  </si>
  <si>
    <t>Direct Credit 518032 OPEN DOOR PUB CO AUS VENUE CO</t>
  </si>
  <si>
    <t>Menulog Pty Ltd Sydney AU AUS Card xx0052 Value Date: 25/09/2018</t>
  </si>
  <si>
    <t>Direct Debit 165969 FITNESS PLAY SH 201818304768</t>
  </si>
  <si>
    <t>Menulog Pty Ltd Sydney AU AUS Card xx0052 Value Date: 23/09/2018</t>
  </si>
  <si>
    <t>6 MARY STREET         NEWTOWN      NSWAU</t>
  </si>
  <si>
    <t>BMSH PTY LTD SURRY HILLS  AUS Tap and Pay xx4622 Value Date: 18/09/2018</t>
  </si>
  <si>
    <t>COLES 0846 LEICHHARDT AU AUS Tap and Pay xx4622 Value Date: 18/09/2018</t>
  </si>
  <si>
    <t>DMD FUELS PTY LTD        PETERSHAM    AU</t>
  </si>
  <si>
    <t>Direct Credit 364581 69188 Maxxia00069188</t>
  </si>
  <si>
    <t>GM CABS PTY LTD       MASCOT       NSWAU</t>
  </si>
  <si>
    <t>RSJG PTY LTD             DARLINGHURST AU</t>
  </si>
  <si>
    <t>BURDEKIN HOTEL GROUP P   DARLINGHURST AU</t>
  </si>
  <si>
    <t>BURDEKIN HOTEL GROUP P   DARLINGHURST AU Value Date: 16/09/2018</t>
  </si>
  <si>
    <t>LA SUERTE PTY LTD        NEWTOWN      AU</t>
  </si>
  <si>
    <t>EARLS JUKE JOINT      NEWTOWN      NSWAU</t>
  </si>
  <si>
    <t>BANK HOTEL NEWTOWN       NEWTOWN      AU</t>
  </si>
  <si>
    <t>YOUI - PREMIUM SIPPY DOWNS  AUS Card xx0052 Value Date: 14/09/2018</t>
  </si>
  <si>
    <t>TASTE BAKERY &amp; RESTAU SURRY HILLS  NSWAU</t>
  </si>
  <si>
    <t>YULIA ANGESTI &amp; MICH LEICHHARDT NS AUS Tap and Pay xx4622 Value Date: 11/09/2018</t>
  </si>
  <si>
    <t>Direct Debit 165969 FITNESS PLAY SH 201817457871</t>
  </si>
  <si>
    <t>SUSHI OTAKU              SURRY HILLS  AU</t>
  </si>
  <si>
    <t>KEG &amp; BREW HOTEL SURRY HILLS NS AUS Card xx0052 Value Date: 10/09/2018</t>
  </si>
  <si>
    <t>EXPEC PTY LIMITED SYDNEY  AUS Card xx0052 Value Date: 08/09/2018</t>
  </si>
  <si>
    <t>MCDONALDS STANMORE STANMORE  AUS Card xx0052 Value Date: 08/09/2018</t>
  </si>
  <si>
    <t>RSL CABS 9581 1111 ALEXANDRIA NS AUS Card xx0052 Value Date: 08/09/2018</t>
  </si>
  <si>
    <t>Menulog Pty Ltd Sydney AU AUS Card xx0052 Value Date: 09/09/2018</t>
  </si>
  <si>
    <t>BAIA THE ITALIAN SYDNEY NS AUS Card xx0052 Value Date: 08/09/2018</t>
  </si>
  <si>
    <t>PRIME QUALITY MEATS   LEICHHARDT   NSWAU</t>
  </si>
  <si>
    <t>CHISWICK CELLARS CHISWICK NS AUS Card xx0052 Value Date: 06/09/2018</t>
  </si>
  <si>
    <t>PRIME QUALITY MEATS LEICHHARDT NS AUS Card xx0052 Value Date: 05/09/2018</t>
  </si>
  <si>
    <t>Menulog Pty Ltd Sydney AU AUS Card xx0052 Value Date: 07/09/2018</t>
  </si>
  <si>
    <t>MALONEYS HOTEL           SYDNEY       AU</t>
  </si>
  <si>
    <t>COLES 0846 LEICHHARDT AU AUS Card xx0052 Value Date: 05/09/2018</t>
  </si>
  <si>
    <t>PRIME QUALITY MEATS LEICHHARDT NS AUS Card xx0052 Value Date: 01/09/2018</t>
  </si>
  <si>
    <t>TRANSPORT FOR NSW CHIPPENDALE  AUS Card xx0052 Value Date: 04/09/2018</t>
  </si>
  <si>
    <t>COLES 0846 LEICHHARDT AU AUS Card xx0052 Value Date: 03/09/2018</t>
  </si>
  <si>
    <t>LEICHHARDT ESPRES LEICHHARDT NS AUS Card xx0052 Value Date: 01/09/2018</t>
  </si>
  <si>
    <t>Belong * Service PADDINGTON NS AUS Card xx0052 Value Date: 01/09/2018</t>
  </si>
  <si>
    <t>COLES 0839 BROADWAY AU AUS Card xx0052 Value Date: 02/09/2018</t>
  </si>
  <si>
    <t>BMSH PTY LTD SURRY HILLS  AUS Card xx0052 Value Date: 04/09/2018</t>
  </si>
  <si>
    <t>Sando Bar Surry Hills NS AUS Card xx0052 Value Date: 31/08/2018</t>
  </si>
  <si>
    <t>COLES 0846 LEICHHARDT AU AUS Card xx0052 Value Date: 01/09/2018</t>
  </si>
  <si>
    <t>SURRYHILLS NEWSAGENT SURRY HILLS NS AUS Card xx0052 Value Date: 31/08/2018</t>
  </si>
  <si>
    <t>Direct Debit 165969 FITNESS PLAY SH 201816794157</t>
  </si>
  <si>
    <t>Direct Debit 165969 FITNESS PLAY SH 201816794158</t>
  </si>
  <si>
    <t>Direct Debit 245164 HCF 5723396979866A0000</t>
  </si>
  <si>
    <t>PRIME QUALITY MEATS LEICHHARDT NS AUS Card xx0052 Value Date: 28/08/2018</t>
  </si>
  <si>
    <t>NETFLIX COM MELBOURNE  AUS Card xx0052 Value Date: 29/08/2018</t>
  </si>
  <si>
    <t>MADISON HOTEL            SURRY HILLS  AU Card xx0052</t>
  </si>
  <si>
    <t>COLES 0846 LEICHHARDT AU AUS Card xx0052 Value Date: 29/08/2018</t>
  </si>
  <si>
    <t>COLES 0846 LEICHHARDT AU AUS Card xx0052 Value Date: 28/08/2018</t>
  </si>
  <si>
    <t>MCDONALDS STANMORE STANMORE  AUS Card xx0052 Value Date: 24/08/2018</t>
  </si>
  <si>
    <t>PRIME QUALITY MEATS LEICHHARDT NS AUS Card xx0052 Value Date: 25/08/2018</t>
  </si>
  <si>
    <t>WOOLWORTHS 1669          SURRY HILLS  AU Card xx0052</t>
  </si>
  <si>
    <t>WILSON PARKING AUSTRAL SYDNEY NS AUS Card xx0052 Value Date: 25/08/2018</t>
  </si>
  <si>
    <t>Sando Bar Surry Hills NS AUS Card xx0052 Value Date: 24/08/2018</t>
  </si>
  <si>
    <t>MCDONALDS SUTTON FRST SUTTON FOREST  AUS Card xx0052 Value Date: 22/08/2018</t>
  </si>
  <si>
    <t>COLES 0846 LEICHHARDT AU AUS Card xx0052 Value Date: 25/08/2018</t>
  </si>
  <si>
    <t>FOODWORKS PETERSHAM PETERSHAM  AUS Card xx0052 Value Date: 26/08/2018</t>
  </si>
  <si>
    <t>BMSH PTY LTD             SURRY HILLS  AU Card xx0052</t>
  </si>
  <si>
    <t>7-ELEVEN 2153 PETERSHAM NS AUS Card xx0052 Value Date: 23/08/2018</t>
  </si>
  <si>
    <t>International Transaction Fee Value Date: 22/08/2018</t>
  </si>
  <si>
    <t>GOSPELMUSICIANS 8882241511 TX USA Card xx0052 USD 199.99 Value Date: 22/08/2018</t>
  </si>
  <si>
    <t>Sando Bar Surry Hills NS AUS Card xx0052 Value Date: 23/08/2018</t>
  </si>
  <si>
    <t>D LISH CAFE BITES GREENWAY AC AUS Card xx0052 Value Date: 22/08/2018</t>
  </si>
  <si>
    <t>TRANSPORT FOR NSW CHIPPENDALE  AUS Card xx0052 Value Date: 23/08/2018</t>
  </si>
  <si>
    <t>D LISH CAFE BITES GREENWAY AC AUS Card xx0052 Value Date: 21/08/2018</t>
  </si>
  <si>
    <t>LITTLE ISTANBUL GREENWAY AC AUS Card xx0052 Value Date: 21/08/2018</t>
  </si>
  <si>
    <t>CANBERRA SOUTHERN CR TUGGERANONG D AC AUS Card xx0052 Value Date: 21/08/2018</t>
  </si>
  <si>
    <t>GM CABS PTY LTD MASCOT  AUS Card xx0052 Value Date: 18/08/2018</t>
  </si>
  <si>
    <t>CANBERRA SOUTHERN CR TUGGERANONG D AC AUS Card xx0052 Value Date: 20/08/2018</t>
  </si>
  <si>
    <t>MCDONALDS CREMORNE CREMORNE  AUS Card xx0052 Value Date: 17/08/2018</t>
  </si>
  <si>
    <t>EAST SUSHI PTY LTD LEICHHARDT NS AUS Card xx0052 Value Date: 19/08/2018</t>
  </si>
  <si>
    <t>PRIME QUALITY MEATS LEICHHARDT NS AUS Card xx0052 Value Date: 19/08/2018</t>
  </si>
  <si>
    <t>Direct Credit 364581 67858 Maxxia00067858</t>
  </si>
  <si>
    <t>WWW.INGOGO SYDNEY NS AUS Card xx0052 Value Date: 17/08/2018</t>
  </si>
  <si>
    <t>LADY HAMPSHIRE CAMPERDOWN NS AUS Card xx0052 Value Date: 19/08/2018</t>
  </si>
  <si>
    <t>SPOTTO NSW EAST SYDNEY NS AUS Card xx0052 Value Date: 19/08/2018</t>
  </si>
  <si>
    <t>CHISWICK CELLARS CHISWICK NS AUS Card xx0052 Value Date: 16/08/2018</t>
  </si>
  <si>
    <t>stan.com.au Sydney AU AUS Card xx0052 Value Date: 17/08/2018</t>
  </si>
  <si>
    <t>MEMET  ARSLAN MANLY  AUS Card xx0052 Value Date: 17/08/2018</t>
  </si>
  <si>
    <t>RETRO A GO GO PETERSHAM  AUS Card xx0052 Value Date: 18/08/2018</t>
  </si>
  <si>
    <t>JOJOS VENTURE PTY LQPS PETERSHAM  AUS Card xx0052 Value Date: 18/08/2018</t>
  </si>
  <si>
    <t>DEE WHY RSL CLUB LTD DEE WHY  AUS Card xx0052 Value Date: 17/08/2018</t>
  </si>
  <si>
    <t>ST VIN DE PAUL SOC NSW SURRY HILLS  AUS Card xx0052 Value Date: 18/08/2018</t>
  </si>
  <si>
    <t>WOOLWORTHS LIQ W1198 TUGGERANONG D  AUS Card xx0052 Value Date: 20/08/2018</t>
  </si>
  <si>
    <t>WOOLWORTHS W1198 TUGGERANONG D  AUS Card xx0052 Value Date: 20/08/2018</t>
  </si>
  <si>
    <t>Camperdown Cellars       Camperdown   AU</t>
  </si>
  <si>
    <t>BMSH PTY LTD SURRY HILLS  AUS Card xx0052 Value Date: 17/08/2018</t>
  </si>
  <si>
    <t>PRIME QUALITY MEATS LEICHHARDT NS AUS Card xx0052 Value Date: 13/08/2018</t>
  </si>
  <si>
    <t>BMSH PTY LTD SURRY HILLS  AUS Card xx0052 Value Date: 16/08/2018</t>
  </si>
  <si>
    <t>SURRYHILLS NEWSAGENT SURRY HILLS NS AUS Card xx0052 Value Date: 13/08/2018</t>
  </si>
  <si>
    <t>MCDONALDS STANMORE STANMORE  AUS Card xx0052 Value Date: 10/08/2018</t>
  </si>
  <si>
    <t>ZEUS STREET GREEK - SU SURRY HILLS  AUS Card xx0052 Value Date: 15/08/2018</t>
  </si>
  <si>
    <t>COLES 0846 LEICHHARDT AU AUS Card xx0052 Value Date: 13/08/2018</t>
  </si>
  <si>
    <t>WILSON PARKING AUSTRAL SYDNEY NS AUS Card xx0052 Value Date: 11/08/2018</t>
  </si>
  <si>
    <t>Menulog Pty Ltd Sydney AU AUS Card xx0052 Value Date: 12/08/2018</t>
  </si>
  <si>
    <t>WOOLWORTHS 1669 SURRY HILLS  AUS Card xx0052 Value Date: 14/08/2018</t>
  </si>
  <si>
    <t>YOUI - PREMIUM SIPPY DOWNS  AUS Card xx0052 Value Date: 14/08/2018</t>
  </si>
  <si>
    <t>JB HI FI BROADWAY BROADWAY NS AUS Card xx0052 Value Date: 09/08/2018</t>
  </si>
  <si>
    <t>Sando Bar Surry Hills NS AUS Card xx0052 Value Date: 10/08/2018</t>
  </si>
  <si>
    <t>SURRYHILLS NEWSAGENT SURRY HILLS NS AUS Card xx0052 Value Date: 09/08/2018</t>
  </si>
  <si>
    <t>NV PETERS INMNT PL BROADWAY NS AUS Card xx0052 Value Date: 09/08/2018</t>
  </si>
  <si>
    <t>COLES 0846 LEICHHARDT AU AUS Card xx0052 Value Date: 11/08/2018</t>
  </si>
  <si>
    <t>International Transaction Fee Value Date: 10/08/2018</t>
  </si>
  <si>
    <t>BANDCAMP KON 4029357733 CA USA Card xx0052 USD 3.00 Value Date: 10/08/2018</t>
  </si>
  <si>
    <t>Return JB HI FI BROADWAY BROADWAY NS AUS Card xx0052 Value Date: 09/08/2018</t>
  </si>
  <si>
    <t>BMSH PTY LTD SURRY HILLS  AUS Card xx0052 Value Date: 13/08/2018</t>
  </si>
  <si>
    <t>KMART 1155 BROADWAY AU AUS Card xx0052 Value Date: 09/08/2018</t>
  </si>
  <si>
    <t>BING LEE HAYMARKET HAYMARKET NS AUS Card xx0052 Value Date: 09/08/2018</t>
  </si>
  <si>
    <t>Menulog Pty Ltd Sydney AU AUS Card xx0052 Value Date: 08/08/2018</t>
  </si>
  <si>
    <t>JACKS HAIRDRESSING SYDNEY NS AUS Card xx0052 Value Date: 07/08/2018</t>
  </si>
  <si>
    <t>TRANSPORT FOR NSW CHIPPENDALE  AUS Card xx0052 Value Date: 08/08/2018</t>
  </si>
  <si>
    <t>Sando Bar Surry Hills NS AUS Card xx0052 Value Date: 07/08/2018</t>
  </si>
  <si>
    <t>COLES 0846 LEICHHARDT AU AUS Card xx0052 Value Date: 06/08/2018</t>
  </si>
  <si>
    <t>OXFORD TAVERN PETERSHAM NS AUS Card xx0052 Value Date: 05/08/2018</t>
  </si>
  <si>
    <t>KEG  BREW HOTEL SURRY HILLS NS AUS Card xx0052 Value Date: 03/08/2018</t>
  </si>
  <si>
    <t>CHISWICK CELLARS CHISWICK NS AUS Card xx0052 Value Date: 02/08/2018</t>
  </si>
  <si>
    <t>V/CELLARS 3673 LEICHHARDT AU AUS Card xx0052 Value Date: 04/08/2018</t>
  </si>
  <si>
    <t>COLES 0846 LEICHHARDT AU AUS Card xx0052 Value Date: 04/08/2018</t>
  </si>
  <si>
    <t>BMSH PTY LTD SURRY HILLS  AUS Card xx0052 Value Date: 06/08/2018</t>
  </si>
  <si>
    <t>LINKT TN PAYT SYDNEY  AUS Card xx0052 Value Date: 04/08/2018</t>
  </si>
  <si>
    <t>Menulog Pty Ltd Sydney AU AUS Card xx0052 Value Date: 01/08/2018</t>
  </si>
  <si>
    <t>SURRYHILLS NEWSAGENT SURRY HILLS NS AUS Card xx0052 Value Date: 01/08/2018</t>
  </si>
  <si>
    <t>LINKT TN PAYT SYDNEY  AUS Card xx0052 Value Date: 03/08/2018</t>
  </si>
  <si>
    <t>Belong * Service PADDINGTON NS AUS Card xx0052 Value Date: 01/08/2018</t>
  </si>
  <si>
    <t>Sando Bar Surry Hills NS AUS Card xx0052 Value Date: 01/08/2018</t>
  </si>
  <si>
    <t>PRIME QUALITY MEATS LEICHHARDT NS AUS Card xx0052 Value Date: 30/07/2018</t>
  </si>
  <si>
    <t>BMSH PTY LTD SURRY HILLS  AUS Card xx0052 Value Date: 02/08/2018</t>
  </si>
  <si>
    <t>CITYOFSYDNEY PARKING SYDNEY  AUS Card xx0052 Value Date: 29/07/2018</t>
  </si>
  <si>
    <t>NETFLIX COM MELBOURNE  AUS Card xx0052 Value Date: 29/07/2018</t>
  </si>
  <si>
    <t>WOOLWORTHS 1669 SURRY HILLS  AUS Card xx0052 Value Date: 01/08/2018</t>
  </si>
  <si>
    <t>Direct Debit 245164 HCF 5723396979834A0000</t>
  </si>
  <si>
    <t>COLES 0846 LEICHHARDT AU AUS Card xx0052 Value Date: 30/07/2018</t>
  </si>
  <si>
    <t>BP CONNECT 2292 CAMPERDOWN NS AUS Card xx0052 Value Date: 29/07/2018</t>
  </si>
  <si>
    <t>WILSON PARKING AUSTRAL SYDNEY NS AUS Card xx0052 Value Date: 29/07/2018</t>
  </si>
  <si>
    <t>WOOLWORTHS 1669 SURRY HILLS  AUS Card xx0052 Value Date: 31/07/2018</t>
  </si>
  <si>
    <t>Sando Bar Surry Hills NS AUS Card xx0052 Value Date: 27/07/2018</t>
  </si>
  <si>
    <t>CHISWICK CELLARS CHISWICK NS AUS Card xx0052 Value Date: 26/07/2018</t>
  </si>
  <si>
    <t>CENTENNIAL PLAZA PHR SYDNEY NS AUS Card xx0052 Value Date: 27/07/2018</t>
  </si>
  <si>
    <t>WOOLWORTHS 1669 SURRY HILLS  AUS Card xx0052 Value Date: 30/07/2018</t>
  </si>
  <si>
    <t>RMSTOLLNOTICEPH13186 PARRAMATTA  AUS Card xx0052 Value Date: 24/07/2018</t>
  </si>
  <si>
    <t>PRIME QUALITY MEATS LEICHHARDT NS AUS Card xx0052 Value Date: 23/07/2018</t>
  </si>
  <si>
    <t>BMSH PTY LTD SURRY HILLS  AUS Card xx0052 Value Date: 26/07/2018</t>
  </si>
  <si>
    <t>MCDONALDS STANMORE STANMORE  AUS Card xx0052 Value Date: 23/07/2018</t>
  </si>
  <si>
    <t>MANNYS MUSIC STORE FITZROY NORTH  AUS Card xx0052 Value Date: 23/07/2018</t>
  </si>
  <si>
    <t>WOOLWORTHS 1669 SURRY HILLS  AUS Card xx0052 Value Date: 25/07/2018</t>
  </si>
  <si>
    <t>COLES 0846 LEICHHARDT AU AUS Card xx0052 Value Date: 23/07/2018</t>
  </si>
  <si>
    <t>WILSON PARKING AUSTRAL SYDNEY NS AUS Card xx0052 Value Date: 21/07/2018</t>
  </si>
  <si>
    <t>International Transaction Fee Value Date: 22/07/2018</t>
  </si>
  <si>
    <t>KAZROG.COM 8882205562 CA USA Card xx0052 USD 39.99 Value Date: 22/07/2018</t>
  </si>
  <si>
    <t>CARGO BAR SYDNEY NS AUS Card xx0052 Value Date: 20/07/2018</t>
  </si>
  <si>
    <t>TAXI COMBINED 133300 ALEXANDRIA NS AUS Card xx0052 Value Date: 20/07/2018</t>
  </si>
  <si>
    <t>LEGION CAB SY 131451 DARLINGHURST NS AUS Card xx0052 Value Date: 21/07/2018</t>
  </si>
  <si>
    <t>Sando Bar Surry Hills NS AUS Card xx0052 Value Date: 23/07/2018</t>
  </si>
  <si>
    <t>Menulog Pty Ltd Sydney AU AUS Card xx0052 Value Date: 21/07/2018</t>
  </si>
  <si>
    <t>BMSH PTY LTD SURRY HILLS  AUS Card xx0052 Value Date: 24/07/2018</t>
  </si>
  <si>
    <t>Vic On The Park Marrickville NS AUS Card xx0052 Value Date: 21/07/2018</t>
  </si>
  <si>
    <t>Vic On The Park Marrickville NS AUS Card xx0052 Value Date: 20/07/2018</t>
  </si>
  <si>
    <t>UNIVERSAL HOTELS PTY DARLINGHURST  AUS Card xx0052 Value Date: 19/07/2018</t>
  </si>
  <si>
    <t>JOJOS VENTURE PTY LQPS PETERSHAM  AUS Card xx0052 Value Date: 21/07/2018</t>
  </si>
  <si>
    <t>Account Balance</t>
  </si>
  <si>
    <t>DMD FUELS PTY LTD  QPS PETERSHAM  AUS Card xx0052 Value Date: 23/07/2018</t>
  </si>
  <si>
    <t>HARRIS FARM MARKETSQPS LEICHHARDT  AUS Card xx0052 Value Date: 23/07/2018</t>
  </si>
  <si>
    <t>CROWN ST GROCER SURRY HILLS NS AUS Card xx0052 Value Date: 19/07/2018</t>
  </si>
  <si>
    <t>BMSH PTY LTD SURRY HILLS  AUS Card xx0052 Value Date: 20/07/2018</t>
  </si>
  <si>
    <t>TRANSPORT FOR NSW CHIPPENDALE  AUS Card xx0052 Value Date: 19/07/2018</t>
  </si>
  <si>
    <t>Non CBA ATM Withdrawal Fee Value Date: 21/07/2018</t>
  </si>
  <si>
    <t>PRIME QUALITY MEATS LEICHHARDT NS AUS Card xx0052 Value Date: 16/07/2018</t>
  </si>
  <si>
    <t>Sando Bar Surry Hills NS AUS Card xx0052 Value Date: 17/07/2018</t>
  </si>
  <si>
    <t>WOOLWORTHS 1669 SURRY HILLS  AUS Card xx0052 Value Date: 18/07/2018</t>
  </si>
  <si>
    <t>COLES 0846 LEICHHARDT AU AUS Card xx0052 Value Date: 16/07/2018</t>
  </si>
  <si>
    <t>Menulog Pty Ltd Sydney AU AUS Card xx0052 Value Date: 15/07/2018</t>
  </si>
  <si>
    <t>Menulog Pty Ltd Sydney AU AUS Card xx0052 Value Date: 14/07/2018</t>
  </si>
  <si>
    <t>BMSH PTY LTD SURRY HILLS  AUS Card xx0052 Value Date: 16/07/2018</t>
  </si>
  <si>
    <t>YOUI - PREMIUM SIPPY DOWNS  AUS Card xx0052 Value Date: 16/07/2018</t>
  </si>
  <si>
    <t>COLES 4788 FIVE DOCK AU AUS Card xx0052 Value Date: 12/07/2018</t>
  </si>
  <si>
    <t>BMSH PTY LTD SURRY HILLS  AUS Card xx0052 Value Date: 13/07/2018</t>
  </si>
  <si>
    <t>COLES 0846 LEICHHARDT AU AUS Card xx0052 Value Date: 11/07/2018</t>
  </si>
  <si>
    <t>Sando Bar Surry Hills NS AUS Card xx0052 Value Date: 11/07/2018</t>
  </si>
  <si>
    <t>PRIME QUALITY MEATS LEICHHARDT NS AUS Card xx0052 Value Date: 09/07/2018</t>
  </si>
  <si>
    <t>WOOLWORTHS 1669 SURRY HILLS  AUS Card xx0052 Value Date: 12/07/2018</t>
  </si>
  <si>
    <t>Sando Bar Surry Hills NS AUS Card xx0052 Value Date: 10/07/2018</t>
  </si>
  <si>
    <t>COLES 0846 LEICHHARDT AU AUS Card xx0052 Value Date: 09/07/2018</t>
  </si>
  <si>
    <t>7-ELEVEN 2048 DRUMMOYNE NS AUS Card xx0052 Value Date: 08/07/2018</t>
  </si>
  <si>
    <t>SILVER SERVIC 133100 ALEXANDRIA NS AUS Card xx0052 Value Date: 07/07/2018</t>
  </si>
  <si>
    <t>CHISWICK CELLARS CHISWICK NS AUS Card xx0052 Value Date: 07/07/2018</t>
  </si>
  <si>
    <t>Goodbar Paddington NS AUS Card xx0052 Value Date: 08/07/2018</t>
  </si>
  <si>
    <t>Goodbar Paddington NS AUS Card xx0052 Value Date: 07/07/2018</t>
  </si>
  <si>
    <t>Direct Credit 106600 MASOUMEH GHOLAMS shoping for mum</t>
  </si>
  <si>
    <t>Direct Credit 364581 65575 Maxxia00065575</t>
  </si>
  <si>
    <t>REBEL SYDNEY CITY SYDNEY NS AUS Card xx0052 Value Date: 05/07/2018</t>
  </si>
  <si>
    <t>THE ORCHARD TAVERN CHATSWOOD  AUS Card xx0052 Value Date: 04/07/2018</t>
  </si>
  <si>
    <t>3 Wise Monkeys Sydney NS AUS Card xx0052 Value Date: 07/07/2018</t>
  </si>
  <si>
    <t>3 Wise Monkeys Sydney NS AUS Card xx0052 Value Date: 06/07/2018</t>
  </si>
  <si>
    <t>CENTENNIAL PLAZA PHR SYDNEY NS AUS Card xx0052 Value Date: 06/07/2018</t>
  </si>
  <si>
    <t>TRANSPORT FOR NSW CHIPPENDALE  AUS Card xx0052 Value Date: 06/07/2018</t>
  </si>
  <si>
    <t>STAR BAR &amp; GRILL BISTR SYDNEY  AUS Card xx0052 Value Date: 06/07/2018</t>
  </si>
  <si>
    <t>MR CRACKLES        QPS DARLINGHURST  AUS Card xx0052 Value Date: 08/07/2018</t>
  </si>
  <si>
    <t>BMSH PTY LTD SURRY HILLS  AUS Card xx0052 Value Date: 09/07/2018</t>
  </si>
  <si>
    <t>WOOLWORTHS 1669 SURRY HILLS  AUS Card xx0052 Value Date: 09/07/2018</t>
  </si>
  <si>
    <t>TGIFriday's Macquarie North Ryde NS AUS Card xx0052 Value Date: 05/07/2018</t>
  </si>
  <si>
    <t>Sando Bar Surry Hills NS AUS Card xx0052 Value Date: 05/07/2018</t>
  </si>
  <si>
    <t>CENTENNIAL PLAZA PHR SYDNEY NS AUS Card xx0052 Value Date: 04/07/2018</t>
  </si>
  <si>
    <t>BMSH PTY LTD SURRY HILLS  AUS Card xx0052 Value Date: 06/07/2018</t>
  </si>
  <si>
    <t>CROWN ST GROCER SURRY HILLS NS AUS Card xx0052 Value Date: 04/07/2018</t>
  </si>
  <si>
    <t>International Transaction Fee Value Date: 03/07/2018</t>
  </si>
  <si>
    <t>GFM*GoFndMe* Jamal Fou Redwood City CA USA Card xx0052 USD 22.00 Value Date: 03/07/2018</t>
  </si>
  <si>
    <t>REBEL SYDNEY CITY SYDNEY NS AUS Card xx0052 Value Date: 03/07/2018</t>
  </si>
  <si>
    <t>PRIME QUALITY MEATS LEICHHARDT NS AUS Card xx0052 Value Date: 02/07/2018</t>
  </si>
  <si>
    <t>WCC CONCOURSE CARPARK CHATSWOOD  AUS Card xx0052 Value Date: 04/07/2018</t>
  </si>
  <si>
    <t>FITNESS PLAYGROUND S SURRY HILLS NS AUS Card xx0052 Value Date: 02/07/2018</t>
  </si>
  <si>
    <t>CENTENNIAL PLAZA PHR SYDNEY NS AUS Card xx0052 Value Date: 29/06/2018</t>
  </si>
  <si>
    <t>MCDONALDS STANMORE STANMORE  AUS Card xx0052 Value Date: 29/06/2018</t>
  </si>
  <si>
    <t>COLES 0846 LEICHHARDT AU AUS Card xx0052 Value Date: 02/07/2018</t>
  </si>
  <si>
    <t>CARGO BAR SYDNEY NS AUS Card xx0052 Value Date: 29/06/2018</t>
  </si>
  <si>
    <t>Belong * Service PADDINGTON NS AUS Card xx0052 Value Date: 01/07/2018</t>
  </si>
  <si>
    <t>WILSON PARKING AUSTRAL SYDNEY NS AUS Card xx0052 Value Date: 30/06/2018</t>
  </si>
  <si>
    <t>FITNESS PLAYGROUND S SURRY HILLS NS AUS Card xx0052 Value Date: 30/06/2018</t>
  </si>
  <si>
    <t>Menulog Pty Ltd Sydney AU AUS Card xx0052 Value Date: 01/07/2018</t>
  </si>
  <si>
    <t>International Transaction Fee Value Date: 30/06/2018</t>
  </si>
  <si>
    <t>UNIVERSAL AUDIO 8314401176 CA USA Card xx0052 USD 367.00 Value Date: 30/06/2018</t>
  </si>
  <si>
    <t>NETFLIX COM MELBOURNE  AUS Card xx0052 Value Date: 29/06/2018</t>
  </si>
  <si>
    <t>TRANSPORT FOR NSW CHIPPENDALE  AUS Card xx0052 Value Date: 29/06/2018</t>
  </si>
  <si>
    <t>BMSH PTY LTD SURRY HILLS  AUS Card xx0052 Value Date: 02/07/2018</t>
  </si>
  <si>
    <t>Direct Debit 245164 HCF 5723396979802A0000</t>
  </si>
  <si>
    <t>Account Fee</t>
  </si>
  <si>
    <t>Camy's Chargrill SH Surry Hills NS AUS Tap and Pay xx6067 Value Date: 24/10/2019</t>
  </si>
  <si>
    <t>Shift Eatery             Surry Hills  AU</t>
  </si>
  <si>
    <t>TASTE BAKERY &amp; RESTAU SURRY HILLS  AUS Card xx8882 Value Date: 21/10/2019</t>
  </si>
  <si>
    <t>CALTEX DRUMMOYNE         DRUMMOYNE    AU Card xx8882</t>
  </si>
  <si>
    <t>TASTE BAKERY &amp; RESTAU SURRY HILLS  AUS Card xx8882 Value Date: 18/10/2019</t>
  </si>
  <si>
    <t>7-ELEVEN 2048 DRUMMOYNE NS AUS Card xx8882 Value Date: 19/10/2019</t>
  </si>
  <si>
    <t>UBER   *EATS Sydney AU AUS Card xx8882 Value Date: 19/10/2019</t>
  </si>
  <si>
    <t>NETFLIX.COM Melbourne AU AUS Card xx8882 Value Date: 20/10/2019</t>
  </si>
  <si>
    <t>BMSH PTY LTD SURRY HILLS  AUS Tap and Pay xx6067 Value Date: 17/10/2019</t>
  </si>
  <si>
    <t>TRANSPORTFORNSW OPAL CHIPPENDALE  AUS Card xx8882 Value Date: 21/10/2019</t>
  </si>
  <si>
    <t>HARRIS FARM MARKETS      DRUMMOYNE    AU Card xx8882</t>
  </si>
  <si>
    <t>TASTE BAKERY &amp; RESTAU SURRY HILLS  AUS Card xx8882 Value Date: 15/10/2019</t>
  </si>
  <si>
    <t>International Transaction Fee Value Date: 15/10/2019</t>
  </si>
  <si>
    <t>SQUARESPACE INC. 6465803456 NY USA Card xx8882 USD 17.60 Value Date: 15/10/2019</t>
  </si>
  <si>
    <t>UBER   *EATS Sydney AU AUS Card xx8882 Value Date: 15/10/2019</t>
  </si>
  <si>
    <t>Salary DHS PAYROLL 19281P 85920286</t>
  </si>
  <si>
    <t>STEVES SELECT MEATS      DRUMMOYNE    AU Card xx8882</t>
  </si>
  <si>
    <t>JB HI FI LEICHHARDT NS AUS Card xx8882 Value Date: 12/10/2019</t>
  </si>
  <si>
    <t>7-ELEVEN 2048 DRUMMOYNE NS AUS Card xx8882 Value Date: 13/10/2019</t>
  </si>
  <si>
    <t>UBER   *EATS Sydney AU AUS Card xx8882 Value Date: 13/10/2019</t>
  </si>
  <si>
    <t>TRANSPORTFORNSW OPAL CHIPPENDALE  AUS Card xx8882 Value Date: 15/10/2019</t>
  </si>
  <si>
    <t>TASTE BAKERY &amp; RESTAU SURRY HILLS  AUS Card xx8882 Value Date: 10/10/2019</t>
  </si>
  <si>
    <t>UBER   *EATS Sydney AU AUS Card xx8882 Value Date: 09/10/2019</t>
  </si>
  <si>
    <t>TASTE BAKERY &amp; RESTAU SURRY HILLS  AUS Card xx8882 Value Date: 08/10/2019</t>
  </si>
  <si>
    <t>TRANSPORTFORNSW OPAL CHIPPENDALE  AUS Card xx8882 Value Date: 09/10/2019</t>
  </si>
  <si>
    <t>UNIVERSAL CIVIC PTY SYDNEY  AUS Card xx8882 Value Date: 06/10/2019</t>
  </si>
  <si>
    <t>UberUAE_EATS Sydney AU AUS Card xx8882 Value Date: 07/10/2019</t>
  </si>
  <si>
    <t>CITY MART RANDWICK SYDNEY NS AUS Card xx8882 Value Date: 07/10/2019</t>
  </si>
  <si>
    <t>UberUAE_EATS Sydney AU AUS Card xx8882 Value Date: 05/10/2019</t>
  </si>
  <si>
    <t>Gozleme King Darling Sydney NS AUS Card xx8882 Value Date: 06/10/2019</t>
  </si>
  <si>
    <t>Cafe Del Mar Sydney NS AUS Card xx8882 Value Date: 06/10/2019</t>
  </si>
  <si>
    <t>UBER   *EATS Sydney AU AUS Card xx8882 Value Date: 03/10/2019</t>
  </si>
  <si>
    <t>TASTE BAKERY &amp; RESTAU SURRY HILLS  AUS Card xx8882 Value Date: 02/10/2019</t>
  </si>
  <si>
    <t>UBER   *EATS Sydney AU AUS Card xx8882 Value Date: 04/10/2019</t>
  </si>
  <si>
    <t>SPORTS 24 7 THE STAR     PYRMONT      AU Card xx8882</t>
  </si>
  <si>
    <t>JACKS HAIRDRESSING SYDNEY NS AUS Card xx8882 Value Date: 02/10/2019</t>
  </si>
  <si>
    <t>RYDGES SYDNEY CENTRAL    SURRY HILLS  AU Card xx8882</t>
  </si>
  <si>
    <t>UberUAE_EATS Sydney AU AUS Card xx8882 Value Date: 01/10/2019</t>
  </si>
  <si>
    <t>TASTE BAKERY &amp; RESTAU SURRY HILLS  AUS Card xx8882 Value Date: 30/09/2019</t>
  </si>
  <si>
    <t>GORO'S                   SURRY HILLS  AU Card xx8882</t>
  </si>
  <si>
    <t>TRANSPORTFORNSW OPAL CHIPPENDALE  AUS Card xx8882 Value Date: 02/10/2019</t>
  </si>
  <si>
    <t>UBER   *EATS Sydney AU AUS Card xx8882 Value Date: 28/09/2019</t>
  </si>
  <si>
    <t>UBER   *EATS Sydney AU AUS Card xx8882 Value Date: 29/09/2019</t>
  </si>
  <si>
    <t>Direct Debit 245164 HCF 5723396980259A0000</t>
  </si>
  <si>
    <t>UberUAE_EATS Sydney AU AUS Card xx8882 Value Date: 28/09/2019</t>
  </si>
  <si>
    <t>UBER   *EATS Sydney AU AUS Card xx8882 Value Date: 27/09/2019</t>
  </si>
  <si>
    <t>TASTE BAKERY &amp; RESTAU SURRY HILLS  AUS Card xx8882 Value Date: 26/09/2019</t>
  </si>
  <si>
    <t>GM CABS PTY LTD MASCOT  AUS Card xx8882 Value Date: 21/09/2019</t>
  </si>
  <si>
    <t>TRANSPORTFORNSW OPAL CHIPPENDALE  AUS Card xx8882 Value Date: 25/09/2019</t>
  </si>
  <si>
    <t>UberUAE_EATS Sydney AU AUS Card xx8882 Value Date: 22/09/2019</t>
  </si>
  <si>
    <t>BALMAIN HTL PROPERTY BALMAIN AU AUS Card xx8882 Value Date: 21/09/2019</t>
  </si>
  <si>
    <t>TASTE BAKERY &amp; RESTAU SURRY HILLS  AUS Card xx8882 Value Date: 16/09/2019</t>
  </si>
  <si>
    <t>TRANSPORTFORNSW OPAL CHIPPENDALE  AUS Card xx8882 Value Date: 18/09/2019</t>
  </si>
  <si>
    <t>THE ORCHARD TAVERN CHATSWOOD  AUS Card xx8882 Value Date: 14/09/2019</t>
  </si>
  <si>
    <t>STRIKE AUSTRALIA PTY CHATSWOOD NS AUS Card xx8882 Value Date: 14/09/2019</t>
  </si>
  <si>
    <t>PLAYTIME CHATSWOOD CHATSWOOD NS AUS Card xx8882 Value Date: 14/09/2019</t>
  </si>
  <si>
    <t>UBER   *EATS SYDNEY NS AUS Card xx8882 Value Date: 15/09/2019</t>
  </si>
  <si>
    <t>SMP*Makanai Chatwsood Chatswood AU AUS Card xx8882 Value Date: 14/09/2019</t>
  </si>
  <si>
    <t>SILVER SPOON BISTRO SURRY HILLS NS AUS Card xx8882 Value Date: 12/09/2019</t>
  </si>
  <si>
    <t>TASTE BAKERY &amp; RESTAU SURRY HILLS  AUS Card xx8882 Value Date: 10/09/2019</t>
  </si>
  <si>
    <t>UBER   *EATS SYDNEY NS AUS Card xx8882 Value Date: 11/09/2019</t>
  </si>
  <si>
    <t>Direct Credit 333732 INDESIGN PUB INDE FRONT DJ</t>
  </si>
  <si>
    <t>TRANSPORTFORNSW OPAL CHIPPENDALE  AUS Card xx8882 Value Date: 12/09/2019</t>
  </si>
  <si>
    <t>UberUAE_EATS Sydney AU AUS Card xx8882 Value Date: 08/09/2019</t>
  </si>
  <si>
    <t>UberUAE_EATS Sydney AU AUS Card xx8882 Value Date: 07/09/2019</t>
  </si>
  <si>
    <t>850 RMS NCC1 NEWCASTLE  AUS Card xx8882 Value Date: 06/09/2019</t>
  </si>
  <si>
    <t>Untied                   Millers PointAU</t>
  </si>
  <si>
    <t>TASTE BAKERY &amp; RESTAU SURRY HILLS  AUS Card xx8882 Value Date: 03/09/2019</t>
  </si>
  <si>
    <t>Return HYPEDC PITT ST MALL SYDNEY NS AUS Card xx8882 Value Date: 04/09/2019</t>
  </si>
  <si>
    <t>TRANSPORTFORNSW OPAL CHIPPENDALE  AUS Card xx8882 Value Date: 05/09/2019</t>
  </si>
  <si>
    <t>GFM*GOFUNDME AUSTRALIA Sydney AU AUS Card xx8882 Value Date: 04/09/2019</t>
  </si>
  <si>
    <t>CRAZYDOMAINSHOSTING 61290372826 SG SGP Card xx8882 AUD 21.95 Value Date: 03/09/2019</t>
  </si>
  <si>
    <t>KADMUS PTY LTD           DRUMMOYNE    AU Card xx8882</t>
  </si>
  <si>
    <t>UBER   *EATS SYDNEY NS AUS Card xx8882 Value Date: 01/09/2019</t>
  </si>
  <si>
    <t>HudsonMeatsDrummoyne     Drummoyne    AU</t>
  </si>
  <si>
    <t>UberUAE_EATS Sydney AU AUS Card xx8882 Value Date: 31/08/2019</t>
  </si>
  <si>
    <t>UberUAE_EATS Sydney AU AUS Card xx8882 Value Date: 30/08/2019</t>
  </si>
  <si>
    <t>International Transaction Fee Value Date: 30/08/2019</t>
  </si>
  <si>
    <t>BANDCAMP LATE NIGHT TA BANDCAMP.CO CA USA Card xx8882 GBP 8.99 Value Date: 30/08/2019</t>
  </si>
  <si>
    <t>BANDCAMP KHRUANGBIN BANDCAMP.CO CA USA Card xx8882 GBP 8.99 Value Date: 30/08/2019</t>
  </si>
  <si>
    <t>GM CABS PTY LTD MASCOT  AUS Card xx8882 Value Date: 30/08/2019</t>
  </si>
  <si>
    <t>Direct Debit 245164 HCF 5723396980229A0000</t>
  </si>
  <si>
    <t>Tokyo Bird               Surry Hills  AU</t>
  </si>
  <si>
    <t>El Loco @ Slip Inn Sydney NS AUS Card xx8882 Value Date: 29/08/2019</t>
  </si>
  <si>
    <t>MCDONALDS LIVERPOOL S LIVERPOOL SOU  AUS Tap and Pay xx6067 Value Date: 27/08/2019</t>
  </si>
  <si>
    <t>TRANSPORTFORNSW OPAL CHIPPENDALE  AUS Card xx8882 Value Date: 30/08/2019</t>
  </si>
  <si>
    <t>GM CABS PTY LTD MASCOT  AUS Tap and Pay xx6067 Value Date: 27/08/2019</t>
  </si>
  <si>
    <t>SPOTTO NSW             Sydney         AU</t>
  </si>
  <si>
    <t>Direct Debit 342190 FITNESS PLAY SH 172011202</t>
  </si>
  <si>
    <t>7-ELEVEN 2048 DRUMMOYNE NS AUS Tap and Pay xx6067 Value Date: 27/08/2019</t>
  </si>
  <si>
    <t>WOOLWORTHS 1669 SURRY HILLS NS AUS Tap and Pay xx6067 Value Date: 27/08/2019</t>
  </si>
  <si>
    <t>TASTE BAKERY &amp; RESTAU SURRY HILLS  AUS Card xx8882 Value Date: 23/08/2019</t>
  </si>
  <si>
    <t>GM CABS PTY LTD MASCOT  AUS Tap and Pay xx6067 Value Date: 25/08/2019</t>
  </si>
  <si>
    <t>GM CABS PTY LTD MASCOT  AUS Card xx8882 Value Date: 23/08/2019</t>
  </si>
  <si>
    <t>UBER   *EATS SYDNEY NS AUS Card xx8882 Value Date: 26/08/2019</t>
  </si>
  <si>
    <t>7-ELEVEN 2048 DRUMMOYNE NS AUS Card xx8882 Value Date: 24/08/2019</t>
  </si>
  <si>
    <t>UBER   *EATS SYDNEY NS AUS Card xx8882 Value Date: 25/08/2019</t>
  </si>
  <si>
    <t>UBER   *TRIP SYDNEY NS AUS Card xx8882 Value Date: 23/08/2019</t>
  </si>
  <si>
    <t>A BASAULA AND S SHAHI NEWTOWN AU AUS Card xx8882 Value Date: 23/08/2019</t>
  </si>
  <si>
    <t>LIV*THE WILD ROVER SURRY HILLS  AUS Card xx8882 Value Date: 22/08/2019</t>
  </si>
  <si>
    <t>MYER  SYDNEY CITY SYDNEY NS AUS Card xx8882 Value Date: 22/08/2019</t>
  </si>
  <si>
    <t>HYPEDC PITT ST MALL SYDNEY NS AUS Card xx8882 Value Date: 22/08/2019</t>
  </si>
  <si>
    <t>JACKS HAIRDRESSING SYDNEY NS AUS Card xx8882 Value Date: 19/08/2019</t>
  </si>
  <si>
    <t>UBER   *EATS SYDNEY NS AUS Card xx8882 Value Date: 18/08/2019</t>
  </si>
  <si>
    <t>TRANSPORTFORNSW OPAL CHIPPENDALE  AUS Card xx8882 Value Date: 20/08/2019</t>
  </si>
  <si>
    <t>TASTE BAKERY &amp; RESTAU SURRY HILLS  AUS Card xx8882 Value Date: 14/08/2019</t>
  </si>
  <si>
    <t>UberUAE_EATS Sydney AU AUS Card xx8882 Value Date: 16/08/2019</t>
  </si>
  <si>
    <t>Direct Debit 342190 FITNESS PLAY SH 169500209</t>
  </si>
  <si>
    <t>RIBS AND BURGERS DRUMM   DRUMMOYNE    AU Card xx8882</t>
  </si>
  <si>
    <t>GM CABS PTY LTD MASCOT  AUS Card xx8882 Value Date: 11/08/2019</t>
  </si>
  <si>
    <t>TASTE BAKERY &amp; RESTAU SURRY HILLS  AUS Card xx8882 Value Date: 09/08/2019</t>
  </si>
  <si>
    <t>TAXI COMBINED 133300 ALEXANDRIA NS AUS Card xx8882 Value Date: 12/08/2019</t>
  </si>
  <si>
    <t>7-ELEVEN 2048 DRUMMOYNE NS AUS Card xx8882 Value Date: 11/08/2019</t>
  </si>
  <si>
    <t>El Loco Excelsior Surry Hills NS AUS Card xx8882 Value Date: 12/08/2019</t>
  </si>
  <si>
    <t>UBER   *EATS SYDNEY NS AUS Card xx8882 Value Date: 11/08/2019</t>
  </si>
  <si>
    <t>UBER   *TRIP SYDNEY NS AUS Card xx8882 Value Date: 11/08/2019</t>
  </si>
  <si>
    <t>Menulog Pty Ltd Sydney AU AUS Card xx8882 Value Date: 10/08/2019</t>
  </si>
  <si>
    <t>TRANSPORTFORNSW OPAL CHIPPENDALE  AUS Card xx8882 Value Date: 13/08/2019</t>
  </si>
  <si>
    <t>ADDLY PTY LTD            SURRY HILLS  AU Card xx8882</t>
  </si>
  <si>
    <t>TASTE BAKERY &amp; RESTAU SURRY HILLS  AUS Card xx8882 Value Date: 07/08/2019</t>
  </si>
  <si>
    <t>UberUAE_EATS Sydney AU AUS Card xx8882 Value Date: 10/08/2019</t>
  </si>
  <si>
    <t>BEATPORT 720-974-9500 CO USA Card xx8882 AUD 7.44 Value Date: 10/08/2019</t>
  </si>
  <si>
    <t>International Transaction Fee Value Date: 08/08/2019</t>
  </si>
  <si>
    <t>ZEUS SURRY HILLS PTY L   SURRY HILLS  AU Card xx8882</t>
  </si>
  <si>
    <t>KOUKLA GROUP PTY LTD     SURRY HILLS  AU Card xx8882</t>
  </si>
  <si>
    <t>TASTE BAKERY &amp; RESTAU SURRY HILLS  AUS Card xx8882 Value Date: 06/08/2019</t>
  </si>
  <si>
    <t>UberUAE_EATS Sydney AU AUS Card xx8882 Value Date: 05/08/2019</t>
  </si>
  <si>
    <t>TRANSPORTFORNSW OPAL CHIPPENDALE  AUS Card xx8882 Value Date: 07/08/2019</t>
  </si>
  <si>
    <t>UberUAE_EATS Sydney AU AUS Card xx8882 Value Date: 02/08/2019</t>
  </si>
  <si>
    <t>TASTE BAKERY &amp; RESTAU SURRY HILLS  AUS Card xx8882 Value Date: 01/08/2019</t>
  </si>
  <si>
    <t>TASTE BAKERY &amp; RESTAU SURRY HILLS  AUS Card xx8882 Value Date: 30/07/2019</t>
  </si>
  <si>
    <t>TRANSPORTFORNSW OPAL CHIPPENDALE  AUS Card xx8882 Value Date: 01/08/2019</t>
  </si>
  <si>
    <t>Direct Debit 342190 FITNESS PLAY SH 167079573</t>
  </si>
  <si>
    <t>Direct Debit 245164 HCF 5723396980199A0000</t>
  </si>
  <si>
    <t>SALT MEATS CHEESE DRUMMOYNE NS AUS Card xx8882 Value Date: 29/07/2019</t>
  </si>
  <si>
    <t>BIG D S DINER NEWTOW NEWTOWN  AUS Card xx8882 Value Date: 26/07/2019</t>
  </si>
  <si>
    <t>GM CABS PTY LTD MASCOT  AUS Card xx8882 Value Date: 28/07/2019</t>
  </si>
  <si>
    <t>UBER   *TRIP SYDNEY NS AUS Card xx8882 Value Date: 28/07/2019</t>
  </si>
  <si>
    <t>Town Hall Hotel Newtown NS AUS Card xx8882 Value Date: 26/07/2019</t>
  </si>
  <si>
    <t>A HANKIN COMPANY WICKHAM NS AUS Card xx8882 Value Date: 26/07/2019</t>
  </si>
  <si>
    <t>The Strand Hotel Darlinghurst NS AUS Card xx8882 Value Date: 27/07/2019</t>
  </si>
  <si>
    <t>TASTE BAKERY &amp; RESTAU SURRY HILLS  AUS Card xx8882 Value Date: 25/07/2019</t>
  </si>
  <si>
    <t>77 CONVENIENCE STOR DARLINGHURST      AU Cash Out $76.95</t>
  </si>
  <si>
    <t>STANLEYS BAR PTY LTD     DARLINGHURST AU Card xx8882</t>
  </si>
  <si>
    <t>CENTENNIAL PLAZA PHR SYDNEY NS AUS Card xx8882 Value Date: 24/07/2019</t>
  </si>
  <si>
    <t>TASTE BAKERY &amp; RESTAU SURRY HILLS  AUS Card xx8882 Value Date: 23/07/2019</t>
  </si>
  <si>
    <t>TASTE BAKERY &amp; RESTAU SURRY HILLS  AUS Card xx8882 Value Date: 22/07/2019</t>
  </si>
  <si>
    <t>TRANSPORTFORNSW OPAL CHIPPENDALE  AUS Card xx8882 Value Date: 25/07/2019</t>
  </si>
  <si>
    <t>GM CABS PTY LTD MASCOT  AUS Card xx8882 Value Date: 20/07/2019</t>
  </si>
  <si>
    <t>UBER   *TRIP SYDNEY NS AUS Card xx8882 Value Date: 21/07/2019</t>
  </si>
  <si>
    <t>UBER TRIP HELP.UBER.CO 14518236738 AU AUS Card xx8882 Value Date: 21/07/2019</t>
  </si>
  <si>
    <t>UBER TRIP HELP.UBER.CO 14518236738 AU AUS Card xx8882 Value Date: 20/07/2019</t>
  </si>
  <si>
    <t>UBER TRIP HELP.UBER.CO 14518236738 AU AUS Card xx8882 Value Date: 18/07/2019</t>
  </si>
  <si>
    <t>TASTE BAKERY &amp; RESTAU SURRY HILLS  AUS Card xx8882 Value Date: 17/07/2019</t>
  </si>
  <si>
    <t>East Village Sydney Darlinghurst NS AUS Card xx8882 Value Date: 20/07/2019</t>
  </si>
  <si>
    <t>BP PLANNING PTY LTD      BALMAIN      AU Card xx8882</t>
  </si>
  <si>
    <t>LINKT SYDNEY SYDNEY  AUS Card xx8882 Value Date: 18/07/2019</t>
  </si>
  <si>
    <t>TRANSPORTFORNSW OPAL CHIPPENDALE  AUS Card xx8882 Value Date: 18/07/2019</t>
  </si>
  <si>
    <t>Direct Debit 165969 FITNESS PLAY SH 20198238122</t>
  </si>
  <si>
    <t>7-ELEVEN 2048 DRUMMOYNE NS AUS Card xx8882 Value Date: 13/07/2019</t>
  </si>
  <si>
    <t>IYASHI REMEDIES CO P/L DRUMMOYNE NS AUS Card xx8882 Value Date: 13/07/2019</t>
  </si>
  <si>
    <t>UBER   *EATS SYDNEY NS AUS Card xx8882 Value Date: 12/07/2019</t>
  </si>
  <si>
    <t>SALT MEATS CHEESE DRUMMOYNE NS AUS Card xx8882 Value Date: 13/07/2019</t>
  </si>
  <si>
    <t>UberUAE_EATS Sydney AU AUS Card xx8882 Value Date: 14/07/2019</t>
  </si>
  <si>
    <t>SMP*Bar Tosca Surry Hills AU AUS Card xx8882 Value Date: 11/07/2019</t>
  </si>
  <si>
    <t>SMP*Bar Tosca Surry Hills AU AUS Card xx8882 Value Date: 10/07/2019</t>
  </si>
  <si>
    <t>DUMPLING HUT AUS PL SURRY HILLS NS AUS Card xx8882 Value Date: 09/07/2019</t>
  </si>
  <si>
    <t>TRANSPORTFORNSW OPAL CHIPPENDALE  AUS Card xx8882 Value Date: 12/07/2019</t>
  </si>
  <si>
    <t>UBER   *EATS SYDNEY NS AUS Card xx8882 Value Date: 07/07/2019</t>
  </si>
  <si>
    <t>TASTE BAKERY &amp; RESTAU SURRY HILLS  AUS Card xx8882 Value Date: 04/07/2019</t>
  </si>
  <si>
    <t>TASTE BAKERY &amp; RESTAU SURRY HILLS  AUS Card xx8882 Value Date: 05/07/2019</t>
  </si>
  <si>
    <t>TRANSPORTFORNSW OPAL CHIPPENDALE  AUS Card xx8882 Value Date: 08/07/2019</t>
  </si>
  <si>
    <t>UBER   *EATS SYDNEY NS AUS Card xx8882 Value Date: 03/07/2019</t>
  </si>
  <si>
    <t>Direct Debit 165969 FITNESS PLAY SH 20197729127</t>
  </si>
  <si>
    <t>GM CABS PTY LTD MASCOT  AUS Card xx8882 Value Date: 29/06/2019</t>
  </si>
  <si>
    <t>UNI OF SYDNEY UNIO UNIVERSITY OF NS AUS Card xx8882 Value Date: 29/06/2019</t>
  </si>
  <si>
    <t>TASTE BAKERY &amp; RESTAU SURRY HILLS  AUS Card xx8882 Value Date: 27/06/2019</t>
  </si>
  <si>
    <t>POWERDIRECT PTY LTD NORTH SYDNEY  AUS Card xx8882 Value Date: 27/06/2019</t>
  </si>
  <si>
    <t>AGL SALES P/L 0308 MELBOURNE  AUS Card xx8882 Value Date: 27/06/2019</t>
  </si>
  <si>
    <t>UBER TRIP HELP.UBER.CO 14518236738 AU AUS Card xx8882 Value Date: 28/06/2019</t>
  </si>
  <si>
    <t>TRANSPORTFORNSW OPAL CHIPPENDALE  AUS Card xx8882 Value Date: 01/07/2019</t>
  </si>
  <si>
    <t>Direct Debit 245164 HCF 5723396980166A0000</t>
  </si>
  <si>
    <t>Rent</t>
  </si>
  <si>
    <t>House Deposit</t>
  </si>
  <si>
    <t>iou</t>
  </si>
  <si>
    <t>iou food</t>
  </si>
  <si>
    <t>ref340 96a Audley</t>
  </si>
  <si>
    <t>FOOD iou</t>
  </si>
  <si>
    <t>food iou</t>
  </si>
  <si>
    <t>Elec Bill</t>
  </si>
  <si>
    <t>Thaifood</t>
  </si>
  <si>
    <t>sunday lunch order</t>
  </si>
  <si>
    <t>Louisa</t>
  </si>
  <si>
    <t>CommBank app</t>
  </si>
  <si>
    <t>Sunday food</t>
  </si>
  <si>
    <t>present</t>
  </si>
  <si>
    <t>boat</t>
  </si>
  <si>
    <t>maccas 06/07/2019</t>
  </si>
  <si>
    <t>ARCADIA LIQUORS REDFERN NS AUS Card xx8882 Value Date: 11/03/2020</t>
  </si>
  <si>
    <t>PLAYBILL MERCHNDS MOORE PARK NS AUS Card xx8882 Value Date: 11/03/2020</t>
  </si>
  <si>
    <t>PHOTOWN Alexandria NS AUS Card xx8882 Value Date: 12/03/2020</t>
  </si>
  <si>
    <t>SQ *THE HORDERN CON1 Moore Park AU AUS Card xx8882 Value Date: 11/03/2020</t>
  </si>
  <si>
    <t>UBER   *EATS Sydney AU AUS Card xx8882 Value Date: 10/03/2020</t>
  </si>
  <si>
    <t>UberUAE_EATS Sydney AU AUS Card xx8882 Value Date: 10/03/2020</t>
  </si>
  <si>
    <t>GM CABS PTY LTD MASCOT  AUS Card xx8882 Value Date: 08/03/2020</t>
  </si>
  <si>
    <t>INGOGO LTD SYDNEY NS AUS Tap and Pay xx2711 Value Date: 07/03/2020</t>
  </si>
  <si>
    <t>INGOGO LTD SYDNEY NS AUS Card xx8882 Value Date: 07/03/2020</t>
  </si>
  <si>
    <t>GALLAGHERS GBS PTY LTD   MOORE PARK   AU Card xx8882</t>
  </si>
  <si>
    <t>TASTE OF SAIGON          SURRY HILLS  AU Card xx8882</t>
  </si>
  <si>
    <t>BRIDGE HOTEL ROZELLE ROZELLE NS AUS Card xx8882 Value Date: 08/03/2020</t>
  </si>
  <si>
    <t>UberUAE_EATS Sydney AU AUS Card xx8882 Value Date: 09/03/2020</t>
  </si>
  <si>
    <t>UBER   *EATS Sydney AU AUS Card xx8882 Value Date: 08/03/2020</t>
  </si>
  <si>
    <t>UBER   *TRIP Sydney AU AUS Card xx8882 Value Date: 07/03/2020</t>
  </si>
  <si>
    <t>TRANSPORTFORNSW TAP SYDNEY  AUS Tap and Pay xx2711 Value Date: 07/03/2020</t>
  </si>
  <si>
    <t>TRANSPORTFORNSW OPAL CHIPPENDALE  AUS Card xx8882 Value Date: 09/03/2020</t>
  </si>
  <si>
    <t>BEATPORT 720-974-9500 CO USA Card xx8882 AUD 28.99 Value Date: 06/03/2020</t>
  </si>
  <si>
    <t>SHWARMAMA PTY LTD SURRY HILLS NS AUS Tap and Pay xx2711 Value Date: 05/03/2020</t>
  </si>
  <si>
    <t>PHOTOWN Alexandria NS AUS Tap and Pay xx2711 Value Date: 06/03/2020</t>
  </si>
  <si>
    <t>CENTENNIAL PLAZA PHR SYDNEY NS AUS Tap and Pay xx2711 Value Date: 05/03/2020</t>
  </si>
  <si>
    <t>HARRIS FARM MARKETSQPS DRUMMOYNE  AUS Tap and Pay xx2711 Value Date: 05/03/2020</t>
  </si>
  <si>
    <t>UberUAE_EATS Sydney AU AUS Card xx8882 Value Date: 07/03/2020</t>
  </si>
  <si>
    <t>UBER   *EATS Sydney AU AUS Card xx8882 Value Date: 06/03/2020</t>
  </si>
  <si>
    <t>TRANSPORTFORNSW TAP SYDNEY  AUS Tap and Pay xx2711 Value Date: 06/03/2020</t>
  </si>
  <si>
    <t>THE TUDOR REDFERN        REDFERN      AU Card xx8882</t>
  </si>
  <si>
    <t>CALTEX ROZELLE           ROZELLE      AU Card xx8882</t>
  </si>
  <si>
    <t>Direct Debit 314011 SUMO PAYWAY2651387958</t>
  </si>
  <si>
    <t>BAR TOSCA SYDNEY NS AUS Card xx8882 Value Date: 04/03/2020</t>
  </si>
  <si>
    <t>ART GALLERY OF NSW SYDNEY NS AUS Card xx8882 Value Date: 29/02/2020</t>
  </si>
  <si>
    <t>Salary SERVAUPAYROLL 19431P 85920286</t>
  </si>
  <si>
    <t>WILLIAM HOTEL EAST SYDNEY NS AUS Card xx8882 Value Date: 29/02/2020</t>
  </si>
  <si>
    <t>UBER   *EATS Sydney AU AUS Card xx8882 Value Date: 01/03/2020</t>
  </si>
  <si>
    <t>UBER   *TRIP Sydney AU AUS Card xx8882 Value Date: 29/02/2020</t>
  </si>
  <si>
    <t>PHOTOWN Alexandria NS AUS Card xx8882 Value Date: 02/03/2020</t>
  </si>
  <si>
    <t>ADOBE PR CREATIVE CLD 1800614863 IR IRL Card xx8882 AUD 29.99 Value Date: 28/02/2020</t>
  </si>
  <si>
    <t>Direct Debit 245164 HCF 5723396980411A0000</t>
  </si>
  <si>
    <t>SQ *BLOC145                   Redfern AU</t>
  </si>
  <si>
    <t>SPAR REDFERN             REDFERN      AU Card xx8882</t>
  </si>
  <si>
    <t>PHOTOWN Alexandria NS AUS Card xx8882 Value Date: 27/02/2020</t>
  </si>
  <si>
    <t>TRANSPORTFORNSW OPAL CHIPPENDALE  AUS Card xx8882 Value Date: 27/02/2020</t>
  </si>
  <si>
    <t>UBER   *EATS Sydney AU AUS Card xx8882 Value Date: 25/02/2020</t>
  </si>
  <si>
    <t>PHOTOWN Alexandria NS AUS Tap and Pay xx2711 Value Date: 25/02/2020</t>
  </si>
  <si>
    <t>GM CABS PTY LTD MASCOT  AUS Card xx8882 Value Date: 21/02/2020</t>
  </si>
  <si>
    <t>NETFLIX COM MELBOURNE  AUS Card xx8882 Value Date: 24/02/2020</t>
  </si>
  <si>
    <t>7-ELEVEN 2048 DRUMMOYNE NS AUS Card xx8882 Value Date: 22/02/2020</t>
  </si>
  <si>
    <t>UBER   *EATS Sydney AU AUS Card xx8882 Value Date: 23/02/2020</t>
  </si>
  <si>
    <t>SQ *THE TASTE OF BEES Drummoyne AU AUS Card xx8882 Value Date: 22/02/2020</t>
  </si>
  <si>
    <t>TRANSPORTFORNSW OPAL CHIPPENDALE  AUS Card xx8882 Value Date: 21/02/2020</t>
  </si>
  <si>
    <t>Goros                    Surry Hills  AU</t>
  </si>
  <si>
    <t>HARRIS FARM MARKETS      DRUMMOYNE    AU</t>
  </si>
  <si>
    <t>DESTROS PHARMACY DRUMMOYNE NS AUS Card xx8882 Value Date: 20/02/2020</t>
  </si>
  <si>
    <t>PHOTOWN Alexandria NS AUS Card xx8882 Value Date: 20/02/2020</t>
  </si>
  <si>
    <t>Direct Credit 463131 APRA NZ Limited NZ Royalty</t>
  </si>
  <si>
    <t>PHOTOWN Alexandria NS AUS Card xx8882 Value Date: 18/02/2020</t>
  </si>
  <si>
    <t>INGOGO LTD SYDNEY NS AUS Card xx8882 Value Date: 16/02/2020</t>
  </si>
  <si>
    <t>Salary SERVAUPAYROLL 20393P 85920286</t>
  </si>
  <si>
    <t>SHWARMAMA PTY LTD        SURRY HILLS  AU</t>
  </si>
  <si>
    <t>PHOTOWN Alexandria NS AUS Card xx8882 Value Date: 17/02/2020</t>
  </si>
  <si>
    <t>UBER   *EATS Sydney AU AUS Card xx8882 Value Date: 15/02/2020</t>
  </si>
  <si>
    <t>UBER TRIP HELP.UBER.CO 14518236738 AU AUS Card xx8882 Value Date: 15/02/2020</t>
  </si>
  <si>
    <t>PHOTOWN Alexandria NS AUS Card xx8882 Value Date: 14/02/2020</t>
  </si>
  <si>
    <t>TRANSPORTFORNSW OPAL CHIPPENDALE  AUS Card xx8882 Value Date: 17/02/2020</t>
  </si>
  <si>
    <t>REDFERN AND CO OPERATI   REDFERN      AU Card xx8882</t>
  </si>
  <si>
    <t>TASTE BAKERY &amp; RESTAU SURRY HILLS  AUS Card xx8882 Value Date: 12/02/2020</t>
  </si>
  <si>
    <t>7-ELEVEN 2048 DRUMMOYNE NS AUS Card xx8882 Value Date: 12/02/2020</t>
  </si>
  <si>
    <t>JB HI FI STRAND ARCA SYDNEY NS AUS Card xx8882 Value Date: 11/02/2020</t>
  </si>
  <si>
    <t>ASH ADAMS SURRY HILL SURRY HILLS NS AUS Card xx8882 Value Date: 11/02/2020</t>
  </si>
  <si>
    <t>UBER   *EATS Sydney AU AUS Card xx8882 Value Date: 09/02/2020</t>
  </si>
  <si>
    <t>NewsLink SYD912 Sydney NS AUS Card xx8882 Value Date: 11/02/2020</t>
  </si>
  <si>
    <t>Return UBER   *EATS Sydney AU AUS Card xx8882 Value Date: 10/02/2020</t>
  </si>
  <si>
    <t>BAR TOSCA SYDNEY NS AUS Card xx8882 Value Date: 10/02/2020</t>
  </si>
  <si>
    <t>TRANSPORTFORNSW OPAL CHIPPENDALE  AUS Card xx8882 Value Date: 11/02/2020</t>
  </si>
  <si>
    <t>TASTE BAKERY &amp; RESTAU SURRY HILLS  AUS Card xx8882 Value Date: 05/02/2020</t>
  </si>
  <si>
    <t>SUMO POWER South Melbour  AUS Card xx8882 Value Date: 06/02/2020</t>
  </si>
  <si>
    <t>UberUAE_EATS Sydney AU AUS Card xx8882 Value Date: 08/02/2020</t>
  </si>
  <si>
    <t>CENTENNIAL PLAZA PHR SYDNEY NS AUS Card xx8882 Value Date: 03/02/2020</t>
  </si>
  <si>
    <t>TRANSPORTFORNSW OPAL CHIPPENDALE  AUS Card xx8882 Value Date: 05/02/2020</t>
  </si>
  <si>
    <t>Salary SERVAUPAYROLL 19322P 85920286</t>
  </si>
  <si>
    <t>UBER   *EATS Sydney AU AUS Card xx8882 Value Date: 02/02/2020</t>
  </si>
  <si>
    <t>UBER   *EATS Sydney AU AUS Card xx8882 Value Date: 01/02/2020</t>
  </si>
  <si>
    <t>UberUAE_EATS Sydney AU AUS Card xx8882 Value Date: 01/02/2020</t>
  </si>
  <si>
    <t>Return No account or incorrect account no Megan Cartwright iou Value Date: 03/02/2020</t>
  </si>
  <si>
    <t>BAR TOSCA SYDNEY NS AUS Card xx8882 Value Date: 31/01/2020</t>
  </si>
  <si>
    <t>Direct Debit 245164 HCF 5723396980383A0000</t>
  </si>
  <si>
    <t>ADOBE PR CREATIVE CLD 1800614863 IR IRL Card xx8882 AUD 29.99 Value Date: 30/01/2020</t>
  </si>
  <si>
    <t>MLEKO PTY LTD SURRY HILLS NS AUS Card xx8882 Value Date: 30/01/2020</t>
  </si>
  <si>
    <t>TASTE BAKERY &amp; RESTAU SURRY HILLS  AUS Card xx8882 Value Date: 28/01/2020</t>
  </si>
  <si>
    <t>GM CABS PTY LTD MASCOT  AUS Card xx8882 Value Date: 27/01/2020</t>
  </si>
  <si>
    <t>TRANSPORTFORNSW OPAL CHIPPENDALE  AUS Card xx8882 Value Date: 30/01/2020</t>
  </si>
  <si>
    <t>UBER   *EATS Sydney AU AUS Card xx8882 Value Date: 27/01/2020</t>
  </si>
  <si>
    <t>GM CABS PTY LTD MASCOT  AUS Tap and Pay xx6067 Value Date: 24/01/2020</t>
  </si>
  <si>
    <t>NETFLIX COM MELBOURNE  AUS Card xx8882 Value Date: 24/01/2020</t>
  </si>
  <si>
    <t>UBER   *EATS Sydney AU AUS Card xx8882 Value Date: 26/01/2020</t>
  </si>
  <si>
    <t>UBER   *TRIP Sydney AU AUS Card xx8882 Value Date: 26/01/2020</t>
  </si>
  <si>
    <t>UberUAE_EATS Sydney AU AUS Card xx8882 Value Date: 26/01/2020</t>
  </si>
  <si>
    <t>UBER   *TRIP Sydney AU AUS Card xx8882 Value Date: 25/01/2020</t>
  </si>
  <si>
    <t>BP CONNECT 0964     REDFERN           AU Value Date: 27/01/2020</t>
  </si>
  <si>
    <t>Bank Hotel               Newtown      AU</t>
  </si>
  <si>
    <t>RANA MEHDI HASSAN MINTO NS AUS Card xx8882 Value Date: 23/01/2020</t>
  </si>
  <si>
    <t>LINKT SYDNEY SYDNEY  AUS Card xx8882 Value Date: 24/01/2020</t>
  </si>
  <si>
    <t>MLEKO PTY LTD SURRY HILLS NS AUS Card xx8882 Value Date: 22/01/2020</t>
  </si>
  <si>
    <t>TRANSPORTFORNSW OPAL CHIPPENDALE  AUS Card xx8882 Value Date: 23/01/2020</t>
  </si>
  <si>
    <t>IGA EVERYDAY ENMORE PT   ENMORE       AU Cash Out $100.50</t>
  </si>
  <si>
    <t>SUMO POWER South Melbour  AUS Card xx8882 Value Date: 19/01/2020</t>
  </si>
  <si>
    <t>Salary DHS PAYROLL 17340P 85920286</t>
  </si>
  <si>
    <t>ACTIVE8 POOL TABLES KIRRAWEE NS AUS Card xx8882 Value Date: 19/01/2020</t>
  </si>
  <si>
    <t>UberUAE_EATS Sydney AU AUS Card xx8882 Value Date: 19/01/2020</t>
  </si>
  <si>
    <t>UBER   *EATS Sydney AU AUS Card xx8882 Value Date: 18/01/2020</t>
  </si>
  <si>
    <t>ASH ADAMS SURRY HILL SURRY HILLS NS AUS Card xx8882 Value Date: 17/01/2020</t>
  </si>
  <si>
    <t>TASTE BAKERY &amp; RESTAU SURRY HILLS  AUS Card xx8882 Value Date: 15/01/2020</t>
  </si>
  <si>
    <t>TASTE BAKERY &amp; RESTAU SURRY HILLS  AUS Card xx8882 Value Date: 16/01/2020</t>
  </si>
  <si>
    <t>OXFORD OPERATIONS PTY    MILSONS POINTAU Card xx8882</t>
  </si>
  <si>
    <t>TRANSPORTFORNSW OPAL CHIPPENDALE  AUS Card xx8882 Value Date: 17/01/2020</t>
  </si>
  <si>
    <t>UBER   *EATS Sydney AU AUS Card xx8882 Value Date: 11/01/2020</t>
  </si>
  <si>
    <t>UberUAE_EATS Sydney AU AUS Card xx8882 Value Date: 12/01/2020</t>
  </si>
  <si>
    <t>TRANSPORTFORNSW OPAL CHIPPENDALE  AUS Card xx8882 Value Date: 13/01/2020</t>
  </si>
  <si>
    <t>UberUAE_EATS Sydney AU AUS Card xx8882 Value Date: 10/01/2020</t>
  </si>
  <si>
    <t>International Transaction Fee Value Date: 09/01/2020</t>
  </si>
  <si>
    <t>POPPY'S ON THE LAGOO PORT VILA VU VUT Card xx8882 VUV 3622 Value Date: 09/01/2020</t>
  </si>
  <si>
    <t>POPPY'S ON THE LAGOO PORT VILA VU VUT Card xx8882 VUV 14335 Value Date: 09/01/2020</t>
  </si>
  <si>
    <t>UBER   *EATS Sydney AU AUS Card xx8882 Value Date: 09/01/2020</t>
  </si>
  <si>
    <t>UBER   *TRIP Sydney AU AUS Card xx8882 Value Date: 09/01/2020</t>
  </si>
  <si>
    <t>SUNPAC LTD PORT VILA  VUT Card xx8882 VUV 4140 Value Date: 09/01/2020</t>
  </si>
  <si>
    <t>SUNPAC LTD PORT VILA  VUT Card xx8882 VUV 3960 Value Date: 09/01/2020</t>
  </si>
  <si>
    <t>Salary DHS PAYROLL 19404P 85920286</t>
  </si>
  <si>
    <t>International ATM Withdrawal Fee</t>
  </si>
  <si>
    <t>Heinemann Duty Free Mascot NS AUS Card xx8882 Value Date: 03/01/2020</t>
  </si>
  <si>
    <t>UBER   *TRIP Sydney AU AUS Card xx8882 Value Date: 31/12/2019</t>
  </si>
  <si>
    <t>BOOST JUICE PTY LTD      MASCOT       AU Card xx8882</t>
  </si>
  <si>
    <t>AIRPORT RETAIL ENTERPR   MASCOT       AU</t>
  </si>
  <si>
    <t>Guzman y Gomez Crows Nest NS AUS Card xx8882 Value Date: 31/12/2019</t>
  </si>
  <si>
    <t>TK MAXX TOP RYDE RYDE  AUS Card xx8882 Value Date: 30/12/2019</t>
  </si>
  <si>
    <t>Direct Debit 245164 HCF 5723396980352A0000</t>
  </si>
  <si>
    <t>HAPS HOTELS PTY LTD GLADESVILLE NS AUS Card xx8882 Value Date: 27/12/2019</t>
  </si>
  <si>
    <t>ACTIVE8 POOL TABLES KIRRAWEE NS AUS Tap and Pay xx6067 Value Date: 29/12/2019</t>
  </si>
  <si>
    <t>ACTIVE8 POOL TABLES KIRRAWEE NS AUS Card xx8882 Value Date: 29/12/2019</t>
  </si>
  <si>
    <t>UberUAE_EATS Sydney AU AUS Card xx8882 Value Date: 29/12/2019</t>
  </si>
  <si>
    <t>JB HI FI LEICHHARDT NS AUS Card xx8882 Value Date: 24/12/2019</t>
  </si>
  <si>
    <t>UberUAE_EATS Sydney AU AUS Card xx8882 Value Date: 26/12/2019</t>
  </si>
  <si>
    <t>UBER   *TRIP Sydney AU AUS Card xx8882 Value Date: 27/12/2019</t>
  </si>
  <si>
    <t>UberUAE_EATS Sydney AU AUS Card xx8882 Value Date: 27/12/2019</t>
  </si>
  <si>
    <t>EB GAMES DRUMMOYNE  AUS Card xx8882 Value Date: 27/12/2019</t>
  </si>
  <si>
    <t>OXFORD SHOP PTY LTD      RYDE         AU Card xx8882</t>
  </si>
  <si>
    <t>TAROCASH PTY LTD 154     RYDE         AU Card xx8882</t>
  </si>
  <si>
    <t>HAIR CO 96 PTY LTD BROADWAY NS AUS Card xx8882 Value Date: 23/12/2019</t>
  </si>
  <si>
    <t>INGOGO LTD SYDNEY NS AUS Card xx8882 Value Date: 23/12/2019</t>
  </si>
  <si>
    <t>POST LEICHHARDT POSTLE LEICHHARDT WA AUS Card xx8882 Value Date: 24/12/2019</t>
  </si>
  <si>
    <t>NETFLIX COM MELBOURNE  AUS Card xx8882 Value Date: 24/12/2019</t>
  </si>
  <si>
    <t>ROSE TURKISH GOZLEME H   DRUMMOYNE    AU Card xx8882</t>
  </si>
  <si>
    <t>AUTHENTICS FACTORY O DRUMMOYNE NS AUS Card xx8882 Value Date: 21/12/2019</t>
  </si>
  <si>
    <t>UberUAE_EATS Sydney AU AUS Card xx8882 Value Date: 22/12/2019</t>
  </si>
  <si>
    <t>UBER   *EATS Sydney AU AUS Card xx8882 Value Date: 22/12/2019</t>
  </si>
  <si>
    <t>UBER   *TRIP Sydney AU AUS Card xx8882 Value Date: 21/12/2019</t>
  </si>
  <si>
    <t>UBER   *TRIP Sydney AU AUS Card xx8882 Value Date: 20/12/2019</t>
  </si>
  <si>
    <t>TASTE BAKERY &amp; RESTAU SURRY HILLS  AUS Card xx8882 Value Date: 18/12/2019</t>
  </si>
  <si>
    <t>BALMAIN HTL PROPERTY BALMAIN AU AUS Card xx8882 Value Date: 20/12/2019</t>
  </si>
  <si>
    <t>Salary DHS PAYROLL 16590P 85920286</t>
  </si>
  <si>
    <t>HYPEDC BIRKENHEAD   DRUMMOYNE         AU</t>
  </si>
  <si>
    <t>CONNOR CLOTHING PTY      DRUMMOYNE    AU Card xx8882</t>
  </si>
  <si>
    <t>WOLLONGONG NIGHTSPOT     WOLLONGONG   AU Card xx8882</t>
  </si>
  <si>
    <t>MCDONALDS SYD AIR GAT MASCOT       NSWAU</t>
  </si>
  <si>
    <t>PLINE PH TOWN HALL SYDNEY  AUS Card xx8882 Value Date: 14/12/2019</t>
  </si>
  <si>
    <t>BOURBON OPERATIONS POTTS POINT  AUS Card xx8882 Value Date: 14/12/2019</t>
  </si>
  <si>
    <t>TAXI COMBINED 133300 ALEXANDRIA NS AUS Card xx8882 Value Date: 14/12/2019</t>
  </si>
  <si>
    <t>UBER   *TRIP Sydney AU AUS Card xx8882 Value Date: 14/12/2019</t>
  </si>
  <si>
    <t>TRANSPORTFORNSW OPAL CHIPPENDALE  AUS Card xx8882 Value Date: 17/12/2019</t>
  </si>
  <si>
    <t>SUMO POWER South Melbour  AUS Card xx8882 Value Date: 11/12/2019</t>
  </si>
  <si>
    <t>UberUAE_EATS Sydney AU AUS Card xx8882 Value Date: 14/12/2019</t>
  </si>
  <si>
    <t>SYDNEY CONSTELLATION C   KOGARAH BAY  AU Card xx8882</t>
  </si>
  <si>
    <t>MILITARY ROAD 23 PTY L   POTTS POINT  AU Card xx8882</t>
  </si>
  <si>
    <t>UBER   *EATS Sydney AU AUS Card xx8882 Value Date: 09/12/2019</t>
  </si>
  <si>
    <t>THE DRUMM BRKNHD HTL DRUMMOYNE NS AUS Card xx8882 Value Date: 08/12/2019</t>
  </si>
  <si>
    <t>TRANSPORTFORNSW OPAL CHIPPENDALE  AUS Card xx8882 Value Date: 11/12/2019</t>
  </si>
  <si>
    <t>Salary DHS PAYROLL 20210P 85920286</t>
  </si>
  <si>
    <t>BIRKENHEAD GRILL DRUMMOYNE NS AUS Card xx8882 Value Date: 08/12/2019</t>
  </si>
  <si>
    <t>UBER   *EATS Sydney AU AUS Card xx8882 Value Date: 07/12/2019</t>
  </si>
  <si>
    <t>International Transaction Fee Value Date: 05/12/2019</t>
  </si>
  <si>
    <t>UNIVERSAL AUDIO 8314401176 CA USA Card xx8882 USD 274.00 Value Date: 05/12/2019</t>
  </si>
  <si>
    <t>UberUAE_EATS Sydney AU AUS Card xx8882 Value Date: 07/12/2019</t>
  </si>
  <si>
    <t>UberUAE_EATS Sydney AU AUS Card xx8882 Value Date: 06/12/2019</t>
  </si>
  <si>
    <t>TRANSPORTFORNSW OPAL CHIPPENDALE  AUS Card xx8882 Value Date: 04/12/2019</t>
  </si>
  <si>
    <t>TASTE BAKERY &amp; RESTAU SURRY HILLS  AUS Card xx8882 Value Date: 28/11/2019</t>
  </si>
  <si>
    <t>Direct Debit 245164 HCF 5723396980320A0000</t>
  </si>
  <si>
    <t>Sneaky Burger            Wollongong   AU</t>
  </si>
  <si>
    <t>TRANSPORTFORNSW OPAL CHIPPENDALE  AUS Card xx8882 Value Date: 27/11/2019</t>
  </si>
  <si>
    <t>Salary DHS PAYROLL 20195P 85920286</t>
  </si>
  <si>
    <t>COLES EXPRESS 1617 DRUMMOYNE AU AUS Card xx8882 Value Date: 25/11/2019</t>
  </si>
  <si>
    <t>COLES 4788 FIVE DOCK AU AUS Card xx8882 Value Date: 25/11/2019</t>
  </si>
  <si>
    <t>UberUAE_EATS Sydney AU AUS Card xx8882 Value Date: 24/11/2019</t>
  </si>
  <si>
    <t>NETFLIX.COM Melbourne AU AUS Card xx8882 Value Date: 24/11/2019</t>
  </si>
  <si>
    <t>UBER   *EATS Sydney AU AUS Card xx8882 Value Date: 23/11/2019</t>
  </si>
  <si>
    <t>TASTE BAKERY &amp; RESTAU SURRY HILLS  AUS Card xx8882 Value Date: 21/11/2019</t>
  </si>
  <si>
    <t>TRANSPORTFORNSW OPAL CHIPPENDALE  AUS Card xx8882 Value Date: 21/11/2019</t>
  </si>
  <si>
    <t>UberUAE_EATS Sydney AU AUS Card xx8882 Value Date: 17/11/2019</t>
  </si>
  <si>
    <t>KEG  BREW HOTEL SURRY HILLS NS AUS Card xx8882 Value Date: 15/11/2019</t>
  </si>
  <si>
    <t>BAR TOSCA SYDNEY NS AUS Card xx8882 Value Date: 15/11/2019</t>
  </si>
  <si>
    <t>TASTE BAKERY &amp; RESTAU SURRY HILLS  AUS Card xx8882 Value Date: 14/11/2019</t>
  </si>
  <si>
    <t>CHARGRILL CHARLIES       Drummoyne    AU</t>
  </si>
  <si>
    <t>TASTE BAKERY &amp; RESTAU SURRY HILLS  AUS Card xx8882 Value Date: 12/11/2019</t>
  </si>
  <si>
    <t>BAR TOSCA SYDNEY NS AUS Card xx8882 Value Date: 13/11/2019</t>
  </si>
  <si>
    <t>TRANSPORTFORNSW OPAL CHIPPENDALE  AUS Card xx8882 Value Date: 14/11/2019</t>
  </si>
  <si>
    <t>UberUAE_EATS Sydney AU AUS Card xx8882 Value Date: 12/11/2019</t>
  </si>
  <si>
    <t>Salary DHS PAYROLL 19235P 85920286</t>
  </si>
  <si>
    <t>UberUAE_EATS Sydney AU AUS Card xx8882 Value Date: 10/11/2019</t>
  </si>
  <si>
    <t>IYASHI REMEDIES CO P/L DRUMMOYNE NS AUS Card xx8882 Value Date: 08/11/2019</t>
  </si>
  <si>
    <t>UberUAE_EATS Sydney AU AUS Card xx8882 Value Date: 09/11/2019</t>
  </si>
  <si>
    <t>PAYPAL *MENTALNUTRI 4029357733 AU AUS Card xx8882 Value Date: 08/11/2019</t>
  </si>
  <si>
    <t>International Transaction Fee Value Date: 06/11/2019</t>
  </si>
  <si>
    <t>UNIVERSAL AUDIO 8314401176 CA USA Card xx8882 USD 249.00 Value Date: 06/11/2019</t>
  </si>
  <si>
    <t>CDKEYS.COM CDK2156  GBR Card xx8882 AUD 34.19 Value Date: 06/11/2019</t>
  </si>
  <si>
    <t>SMP*Ze Pickle Surry Hills AU AUS Card xx8882 Value Date: 05/11/2019</t>
  </si>
  <si>
    <t>TRANSPORTFORNSW OPAL CHIPPENDALE  AUS Card xx8882 Value Date: 08/11/2019</t>
  </si>
  <si>
    <t>GM CABS PTY LTD MASCOT  AUS Card xx8882 Value Date: 05/11/2019</t>
  </si>
  <si>
    <t>TASTE BAKERY &amp; RESTAU SURRY HILLS  AUS Card xx8882 Value Date: 04/11/2019</t>
  </si>
  <si>
    <t>UNIVERSAL HOTELS DARLINGHURST  AUS Card xx8882 Value Date: 02/11/2019</t>
  </si>
  <si>
    <t>INGOGO LTD SYDNEY NS AUS Card xx8882 Value Date: 02/11/2019</t>
  </si>
  <si>
    <t>UBER   *EATS Sydney AU AUS Card xx8882 Value Date: 03/11/2019</t>
  </si>
  <si>
    <t>GM CABS PTY LTD MASCOT  AUS Card xx8882 Value Date: 01/11/2019</t>
  </si>
  <si>
    <t>KADMUS ON THE GO P/L DRUMMOYNE NS AUS Card xx8882 Value Date: 31/10/2019</t>
  </si>
  <si>
    <t>TRANSPORTFORNSW OPAL CHIPPENDALE  AUS Card xx8882 Value Date: 04/11/2019</t>
  </si>
  <si>
    <t>TASTE BAKERY &amp; RESTAU SURRY HILLS  AUS Card xx8882 Value Date: 29/10/2019</t>
  </si>
  <si>
    <t>Non CBA ATM Withdrawal Fee Value Date: 02/11/2019</t>
  </si>
  <si>
    <t>Direct Debit 245164 HCF 5723396980291A0000</t>
  </si>
  <si>
    <t>The Forresters           Surry Hills  AU</t>
  </si>
  <si>
    <t>El Loco Excelsior Surry Hills NS AUS Card xx8882 Value Date: 30/10/2019</t>
  </si>
  <si>
    <t>Salary DHS PAYROLL 20035P 85920286</t>
  </si>
  <si>
    <t>UBER   *EATS Sydney AU AUS Card xx8882 Value Date: 26/10/2019</t>
  </si>
  <si>
    <t>TRANSPORTFORNSW TAP SYDNEY  AUS Tap and Pay xx6067 Value Date: 26/10/2019</t>
  </si>
  <si>
    <t>SMP*Chiswick Cellars Chiswick AU AUS Card xx8882 Value Date: 24/10/2019</t>
  </si>
  <si>
    <t>TRANSPORTFORNSW TAP SYDNEY  AUS Tap and Pay xx6067 Value Date: 25/10/2019</t>
  </si>
  <si>
    <t>TRANSPORTFORNSW OPAL CHIPPENDALE  AUS Card xx8882 Value Date: 28/10/2019</t>
  </si>
  <si>
    <t>Cash Dep Branch 300 ELIZABETH ST SYDNEY</t>
  </si>
  <si>
    <t>MASOUMEH GHOLAMSHAHI the rest of ur BD present</t>
  </si>
  <si>
    <t>MASOUMEH GHOLAMSHAHI Paying back ur money</t>
  </si>
  <si>
    <t>Store DJ Invoice - 889096 - Cables</t>
  </si>
  <si>
    <t>Store DJ Invoice - 785133 - Freight Charge</t>
  </si>
  <si>
    <t>Store DJ Invoice - 761902 - Cables</t>
  </si>
  <si>
    <t>Store Dj Invoice - 758269 - Beyer Dynamic Headphones</t>
  </si>
  <si>
    <t>Store Dj Invoice - 758221 - Matrixbrute, USB Hub, Cables</t>
  </si>
  <si>
    <t>Store Dj Invoice - 747554 - Cables</t>
  </si>
  <si>
    <t>Store Dj Invoice - 636960D - Cables</t>
  </si>
  <si>
    <t xml:space="preserve">Store Dj Invoice - 636960C - Motu MIDI Express </t>
  </si>
  <si>
    <t>Store Dj Invoice - 636960B - Cable</t>
  </si>
  <si>
    <t>Store Dj Invoice - 636960A - Patch Cables</t>
  </si>
  <si>
    <t>Store Dj Invoice - 636960 - Warranty</t>
  </si>
  <si>
    <t>Store Dj Invoice - 619757 - Roland A-88 Keyboard, Konig &amp; Meyer Keyboard Stand</t>
  </si>
  <si>
    <t>Store Dj Invoice - 8023199 - UA Apollo 8P</t>
  </si>
  <si>
    <t>Store Dj Invoice - 615183 - Extended Warranty</t>
  </si>
  <si>
    <t>Store Dj Invoice - 589360 - P12 Desktop Syntesizer</t>
  </si>
  <si>
    <t xml:space="preserve">Store Dj Invoice - 8023199 - Roland DP-2 </t>
  </si>
  <si>
    <t>Store Dj Invoice - 577534 - Korg Volca Bass Machine</t>
  </si>
  <si>
    <t>Store Dj Invoice - 383958 - Roland EV-5 Expression Pedal</t>
  </si>
  <si>
    <t>PatchCable (Tasmania) - PATCH-LB-1111 - Makenoise 0-Coast</t>
  </si>
  <si>
    <t>Eureka Insulation - Absorb XHD</t>
  </si>
  <si>
    <t xml:space="preserve">CommBank app </t>
  </si>
  <si>
    <t>CommBank app pari gift</t>
  </si>
  <si>
    <t>CommBank app social budget</t>
  </si>
  <si>
    <t>CommBank app food</t>
  </si>
  <si>
    <t>CommBank app elec bill</t>
  </si>
  <si>
    <t>CommBank app iou</t>
  </si>
  <si>
    <t>Coinspot Deposit</t>
  </si>
  <si>
    <t>Vanuatu Hotel Payment to mum</t>
  </si>
  <si>
    <t>Vanuatu Hotel Payment to mum (Return Account Closed Soheyla Gholamshahi hotel Value Date: 24/10/2019)</t>
  </si>
  <si>
    <t>Soheyla petrol Value Date: 01/04/2019</t>
  </si>
  <si>
    <t>PHOTOWN Alexandria NS AUS Card xx8882 Value Date: 17/03/2020</t>
  </si>
  <si>
    <t>Salary SERVAUPAYROLL 20072P 85920286</t>
  </si>
  <si>
    <t>UberUAE_EATS Sydney AU AUS Card xx8882 Value Date: 15/03/2020</t>
  </si>
  <si>
    <t>Camy's Chargrill SH Surry Hills NS AUS Tap and Pay xx2711 Value Date: 16/03/2020</t>
  </si>
  <si>
    <t>UBER   *EATS Sydney AU AUS Card xx8882 Value Date: 15/03/2020</t>
  </si>
  <si>
    <t>UBER   *EATS Sydney AU AUS Card xx8882 Value Date: 14/03/2020</t>
  </si>
  <si>
    <t>TRANSPORTFORNSW OPAL CHIPPENDALE  AUS Card xx8882 Value Date: 17/03/2020</t>
  </si>
  <si>
    <t>PHOTOWN Alexandria NS AUS Card xx8882 Value Date: 13/03/2020</t>
  </si>
  <si>
    <t>GOLDEN PIDE SURRY HILLS NS AUS Card xx8882 Value Date: 11/03/2020</t>
  </si>
  <si>
    <t>DHS - Lianna Going Away Gift</t>
  </si>
  <si>
    <t>boat ticket - Dosem Airway boatcruise</t>
  </si>
  <si>
    <t>House Deposit   (Offset adjustment for pre 7  June  2018 figures)</t>
  </si>
  <si>
    <t>grunt electricity</t>
  </si>
  <si>
    <t>geoff food</t>
  </si>
  <si>
    <t>grunt uber</t>
  </si>
  <si>
    <t>grunt armaforce</t>
  </si>
  <si>
    <t>geoff electricity</t>
  </si>
  <si>
    <t>grunt food</t>
  </si>
  <si>
    <t>grunt iou</t>
  </si>
  <si>
    <t>grunt xmas shopping</t>
  </si>
  <si>
    <t>jono food</t>
  </si>
  <si>
    <t>grunt blueprint gig money</t>
  </si>
  <si>
    <t>geoff pay</t>
  </si>
  <si>
    <t>geoff iou</t>
  </si>
  <si>
    <t>john minai food</t>
  </si>
  <si>
    <t>OFFICEWORKS 0209 GLEBE AU AUS Card xx8882 Value Date: 27/03/2020</t>
  </si>
  <si>
    <t>DOORDASH*DOS SENORITAS MELBOURNE VI AUS Card xx8882 Value Date: 26/03/2020</t>
  </si>
  <si>
    <t>UberUAE_EATS Sydney AU AUS Card xx8882 Value Date: 25/03/2020</t>
  </si>
  <si>
    <t>PHOTOWN Alexandria NS AUS Card xx8882 Value Date: 25/03/2020</t>
  </si>
  <si>
    <t>NETFLIX COM MELBOURNE  AUS Card xx8882 Value Date: 24/03/2020</t>
  </si>
  <si>
    <t>International Transaction Fee Value Date: 21/03/2020</t>
  </si>
  <si>
    <t>MY CHOICE SOFTWARE LLC 800-3181439 CA USA Card xx8882 USD 89.99 Value Date: 21/03/2020</t>
  </si>
  <si>
    <t>Return MY CHOICE SOFTWARE LLC 800-3181439 CA USA Card xx8882 USD 89.99 Value Date: 22/03/2020</t>
  </si>
  <si>
    <t>7-ELEVEN 2048 DRUMMOYNE NS AUS Card xx8882 Value Date: 23/03/2020</t>
  </si>
  <si>
    <t>PHOTOWN Alexandria NS AUS Card xx8882 Value Date: 23/03/2020</t>
  </si>
  <si>
    <t>UBER   *EATS Sydney AU AUS Card xx8882 Value Date: 21/03/2020</t>
  </si>
  <si>
    <t>SOFTWARE MART AUS TRUGANINA VI AUS Card xx8882 Value Date: 21/03/2020</t>
  </si>
  <si>
    <t>DOORDASH*DOS SENORITAS MELBOURNE VI AUS Card xx8882 Value Date: 22/03/2020</t>
  </si>
  <si>
    <t>UberUAE_EATS Sydney AU AUS Card xx8882 Value Date: 22/03/2020</t>
  </si>
  <si>
    <t>PHOTOWN Alexandria NS AUS Card xx8882 Value Date: 20/03/2020</t>
  </si>
  <si>
    <t>DOORDASH*DOS SENORITAS MELBOURNE VI AUS Card xx8882 Value Date: 20/03/2020</t>
  </si>
  <si>
    <t>TRANSPORTFORNSW OPAL CHIPPENDALE  AUS Card xx8882 Value Date: 23/03/2020</t>
  </si>
  <si>
    <t>ASH ADAMS SURRY HILL SURRY HILLS NS AUS Card xx8882 Value Date: 19/03/2020</t>
  </si>
  <si>
    <t>UBER   *EATS Sydney AU AUS Card xx8882 Value Date: 18/03/2020</t>
  </si>
  <si>
    <t>Kat Duncan Food</t>
  </si>
  <si>
    <t>UberUAE_EATS Sydney AU AUS Card xx8882 Value Date: 04/04/2020</t>
  </si>
  <si>
    <t>7-ELEVEN 2048 DRUMMOYNE NS AUS Card xx8882 Value Date: 03/04/2020</t>
  </si>
  <si>
    <t>COLES 0849 DRUMMOYNE AU AUS Card xx8882 Value Date: 04/04/2020</t>
  </si>
  <si>
    <t>ALDI STORES - DRUMMOYN   DRUMMOYNE    AU Card xx8882</t>
  </si>
  <si>
    <t>ADVANCE OPEN TECHNOL BROADWAY NS AUS Card xx8882 Value Date: 31/03/2020</t>
  </si>
  <si>
    <t>COLES 0839 BROADWAY AU AUS Card xx8882 Value Date: 31/03/2020</t>
  </si>
  <si>
    <t>SQ *THE TASTE OF BEES Drummoyne AU AUS Card xx8882 Value Date: 30/03/2020</t>
  </si>
  <si>
    <t>DOORDASH*PABLOS KITCHE MELBOURNE VI AUS Card xx8882 Value Date: 30/03/2020</t>
  </si>
  <si>
    <t>Salary SERVAUPAYROLL 20221P 85920286</t>
  </si>
  <si>
    <t>Direct Debit 245164 HCF 5723396980443A0000</t>
  </si>
  <si>
    <t>7-ELEVEN 2048 DRUMMOYNE NS AUS Tap and Pay xx2711 Value Date: 28/03/2020</t>
  </si>
  <si>
    <t>SQ *THE TASTE OF BEES Drummoyne AU AUS Card xx8882 Value Date: 29/03/2020</t>
  </si>
  <si>
    <t>DOORDASH*JASMIN 1 MELBOURNE VI AUS Card xx8882 Value Date: 28/03/2020</t>
  </si>
  <si>
    <t>Katrina Duncan iou + food</t>
  </si>
  <si>
    <t>SERVICE NSW SYDNEY  AUS Card xx8882 Value Date: 26/04/2019 - Car Registration</t>
  </si>
  <si>
    <t>SCORPION TECH       MACQUARIE PAR     AU - Nvidia P2000 Graphics Card</t>
  </si>
  <si>
    <t>BUNNINGS 595000          ASHFIELD     AU Card xx8882 - home supplies</t>
  </si>
  <si>
    <t>BUNNINGS 595000    QPS ASHFIELD  AUS Card xx0052 Value Date: 07/07/2018  - home supplies</t>
  </si>
  <si>
    <t>SP * SOFTWARE.ORG.AU - SPRING FARM NS AUS Card xx8882 Value Date: 09/04/2020</t>
  </si>
  <si>
    <t>Salary SERVAUPAYROLL 19411P 85920286</t>
  </si>
  <si>
    <t>Salary SERVAUPAYROLL 20503P 85920286</t>
  </si>
  <si>
    <t>COLES 0849 DRUMMOYNE AU AUS Card xx8882 Value Date: 27/04/2020</t>
  </si>
  <si>
    <t>International Transaction Fee Value Date: 25/04/2020</t>
  </si>
  <si>
    <t>SQUARP INSTRUMENTS PARIS FR FRA Card xx8882 EUR 619.00 Value Date: 25/04/2020</t>
  </si>
  <si>
    <t>7-ELEVEN 2048 DRUMMOYNE NS AUS Card xx8882 Value Date: 19/04/2020</t>
  </si>
  <si>
    <t>COLES 0849 DRUMMOYNE AU AUS Card xx8882 Value Date: 19/04/2020</t>
  </si>
  <si>
    <t>7-ELEVEN 2048 DRUMMOYNE NS AUS Tap and Pay xx2711 Value Date: 17/04/2020</t>
  </si>
  <si>
    <t>IGA DRUMMOYNE      QPS DRUMMOYNE  AUS Tap and Pay xx2711 Value Date: 16/04/2020</t>
  </si>
  <si>
    <t>NRMA WEB SYDNEY NS AUS Card xx8882 Value Date: 15/04/2020</t>
  </si>
  <si>
    <t>SUMO POWER South Melbour  AUS Card xx8882 Value Date: 15/04/2020</t>
  </si>
  <si>
    <t>Elektron Machinedrum - PAYPAL *JOSHOLINI EBAY 4029357733 AU AUS Card xx8882 Value Date: 23/04/2020</t>
  </si>
  <si>
    <t>Katrina IOU - Grunt present</t>
  </si>
  <si>
    <t>Salary SERVAUPAYROLL 20220P 85920286</t>
  </si>
  <si>
    <t>COLES 0849 DRUMMOYNE AU AUS Card xx8882 Value Date: 11/05/2020</t>
  </si>
  <si>
    <t>Menulog Pty Ltd Sydney AU AUS Card xx8882 Value Date: 09/05/2020</t>
  </si>
  <si>
    <t>SUMO POWER South Melbour  AUS Card xx8882 Value Date: 05/05/2020</t>
  </si>
  <si>
    <t>NETFLIX.COM Melbourne AU AUS Card xx8882 Value Date: 04/05/2020</t>
  </si>
  <si>
    <t>WOOLWORTHS 1318          CROWS NEST   AU Card xx8882</t>
  </si>
  <si>
    <t>Direct Debit 245164 HCF 5723396980473A0000</t>
  </si>
  <si>
    <t>AMAZON MKTPLC AU SYDNEY SOUTH NS AUS Card xx8882 Value Date: 28/04/2020</t>
  </si>
  <si>
    <t>DOORDASH*DOS SENORITAS MELBOURNE VI AUS Card xx8882 Value Date: 15/05/2020</t>
  </si>
  <si>
    <t>COLES 0849 DRUMMOYNE AU AUS Card xx8882 Value Date: 18/05/2020</t>
  </si>
  <si>
    <t>Menulog Pty Ltd Sydney AU AUS Card xx8882 Value Date: 17/05/2020</t>
  </si>
  <si>
    <t>DOORDASH*JASMIN 1 MELBOURNE VI AUS Card xx8882 Value Date: 16/05/2020</t>
  </si>
  <si>
    <t>SERVICE NSW SYDNEY  AUS Card xx8882 Value Date: 22/05/2020</t>
  </si>
  <si>
    <t>COLES 0849 DRUMMOYNE AU AUS Card xx8882 Value Date: 25/05/2020</t>
  </si>
  <si>
    <t>SQ *THE TASTE OF BEES Drummoyne AU AUS Card xx8882 Value Date: 23/05/2020</t>
  </si>
  <si>
    <t>Salary SERVAUPAYROLL 19404P 85920286</t>
  </si>
  <si>
    <t>PAYPAL *CHINATERA EBAY 4029357733 AU AUS Card xx8882 Value Date: 16/05/2020 - USB Gender Converter for Keyboard to Synth</t>
  </si>
  <si>
    <t>SDRO INFRNGMNT PAYME MAITLAND NS AUS Card xx8882 Value Date: 22/05/2020 - Parking ticket: Loading Zone</t>
  </si>
  <si>
    <t>DHL Express AU Brisbane AU AUS Card xx8882 Value Date: 03/05/2020 - Import Duties for Squarp Pyramid</t>
  </si>
  <si>
    <t>Jaycar Electronics       Sydney       AU - Various adaptors and cables for studio setup</t>
  </si>
  <si>
    <t>MANNYS                   Alexandria   AU - Headphone Splitter</t>
  </si>
  <si>
    <t>MANNYS                   Alexandria   AU - MIDI Thru Box</t>
  </si>
  <si>
    <t>Big Music Australia Crows Nest NS AUS Card xx8882 Value Date: 05/05/2020 - MIDI Cables</t>
  </si>
  <si>
    <t>COLES 0849 DRUMMOYNE AU AUS Card xx8882 Value Date: 09/06/2020</t>
  </si>
  <si>
    <t>Salary SERVAUPAYROLL 19210P 85920286</t>
  </si>
  <si>
    <t>7-ELEVEN 2048 DRUMMOYNE NS AUS Card xx8882 Value Date: 07/06/2020</t>
  </si>
  <si>
    <t>NETFLIX COM MELBOURNE  AUS Card xx8882 Value Date: 04/06/2020</t>
  </si>
  <si>
    <t>SUMO POWER South Melbour  AUS Card xx8882 Value Date: 02/06/2020</t>
  </si>
  <si>
    <t>COLES 0849 DRUMMOYNE AU AUS Card xx8882 Value Date: 02/06/2020</t>
  </si>
  <si>
    <t>JB HI FI LEICHHARDT NS AUS Card xx8882 Value Date: 30/05/2020</t>
  </si>
  <si>
    <t>7-ELEVEN 2048 DRUMMOYNE NS AUS Tap and Pay xx2711 Value Date: 31/05/2020</t>
  </si>
  <si>
    <t>COLES 0846 LEICHHARDT AU AUS Card xx8882 Value Date: 30/05/2020</t>
  </si>
  <si>
    <t>Direct Debit 245164 HCF 5723396980502A0000</t>
  </si>
  <si>
    <t>LIV*THE CHIPPO HOTEL CHIPPENDALE  AUS Card xx8882 Value Date: 04/07/2020</t>
  </si>
  <si>
    <t>SUMO POWER South Melbour  AUS Card xx8882 Value Date: 04/07/2020</t>
  </si>
  <si>
    <t>Salary SERVAUPAYROLL 19564P 85920286</t>
  </si>
  <si>
    <t>COLES 0849 DRUMMOYNE AU AUS Card xx8882 Value Date: 06/07/2020</t>
  </si>
  <si>
    <t>UBER   *TRIP Sydney AU AUS Card xx8882 Value Date: 04/07/2020</t>
  </si>
  <si>
    <t>NETFLIX.COM Melbourne AU AUS Card xx8882 Value Date: 03/07/2020</t>
  </si>
  <si>
    <t>COLES 0849 DRUMMOYNE AU AUS Card xx8882 Value Date: 30/06/2020</t>
  </si>
  <si>
    <t>Direct Debit 245164 HCF 5723396980534A0000</t>
  </si>
  <si>
    <t>Milkwood Bakery Berry NS AUS Card xx8882 Value Date: 28/06/2020</t>
  </si>
  <si>
    <t>7-ELEVEN 2320 ALBION PARK R NS AUS Card xx8882 Value Date: 26/06/2020</t>
  </si>
  <si>
    <t>BERRY IGA PLUS LIQUO     BERRY        AU Card xx8882</t>
  </si>
  <si>
    <t>GREAT SOUTHERN HOTEL     BERRY        AU Card xx8882</t>
  </si>
  <si>
    <t>BWS LIQUOR W1735         ALBION PARK RAU Card xx8882</t>
  </si>
  <si>
    <t>GM CABS PTY LTD MASCOT  AUS Card xx8882 Value Date: 21/06/2020</t>
  </si>
  <si>
    <t>Salary SERVAUPAYROLL 19392P 85920286</t>
  </si>
  <si>
    <t>COLES 0849 DRUMMOYNE AU AUS Card xx8882 Value Date: 22/06/2020</t>
  </si>
  <si>
    <t>SMP*Chiswick Cellars Chiswick AU AUS Card xx8882 Value Date: 18/06/2020</t>
  </si>
  <si>
    <t>COLES 0849 DRUMMOYNE AU AUS Card xx8882 Value Date: 16/06/2020</t>
  </si>
  <si>
    <t>DOORDASH*SAKURA ON WHE MELBOURNE VI AUS Card xx8882 Value Date: 12/06/2020</t>
  </si>
  <si>
    <t>Ms Katrina T Duncan Kat</t>
  </si>
  <si>
    <t>iou - Dan Arnamnart</t>
  </si>
  <si>
    <t>iou - Grunt</t>
  </si>
  <si>
    <t>MANNYS Alexandria NS AUS Card xx8882 Value Date: 23/06/2020 - MPC Live</t>
  </si>
  <si>
    <t>iou - Kirkby IOU</t>
  </si>
  <si>
    <t>iou - Berry - Ashleigh Smith</t>
  </si>
  <si>
    <t>COLES 0849 DRUMMOYNE AU AUS Card xx8882 Value Date: 20/07/2020</t>
  </si>
  <si>
    <t>Menulog Pty Ltd Sydney AU AUS Card xx8882 Value Date: 18/07/2020</t>
  </si>
  <si>
    <t>DOORDASH*DOS SENORITAS MELBOURNE VI AUS Card xx8882 Value Date: 19/07/2020</t>
  </si>
  <si>
    <t>BAHAR PERSIAN FOOD RYDE NS AUS Card xx8882 Value Date: 16/07/2020</t>
  </si>
  <si>
    <t>PA RYDE ISE SUPERMARK RYDE NSW        AU</t>
  </si>
  <si>
    <t>GM CABS PTY LTD MASCOT  AUS Card xx8882 Value Date: 11/07/2020</t>
  </si>
  <si>
    <t>Micky's Cafe Paddington NS AUS Card xx8882 Value Date: 11/07/2020</t>
  </si>
  <si>
    <t>DOORDASH*DOS SENORITAS MELBOURNE VI AUS Card xx8882 Value Date: 10/07/2020</t>
  </si>
  <si>
    <t>MANNYS                   Alexandria   AU</t>
  </si>
  <si>
    <t>Jonny food</t>
  </si>
  <si>
    <t>STEPHEN DONOHOE CREDIT TO ACCOUNT - Mickys Café</t>
  </si>
  <si>
    <t>KIERAN ROSS KROHN Dinner - Mickys Café</t>
  </si>
  <si>
    <t>Louis iou</t>
  </si>
  <si>
    <t>Louis Wayment iou Value Date: 20/07/2020 - return as account closed</t>
  </si>
  <si>
    <t>Rodean food berry - Daniel Arnamnart</t>
  </si>
  <si>
    <t>WOOLWORTHS      1136 ULLADULLA NS AUS Card xx8882 Value Date: 06/10/2020</t>
  </si>
  <si>
    <t>NETFLIX COM MELBOURNE  AUS Card xx8882 Value Date: 04/10/2020</t>
  </si>
  <si>
    <t>LIQUORLAND 3301 DRUMMOYNE AU AUS Card xx8882 Value Date: 05/10/2020</t>
  </si>
  <si>
    <t>INSPORT DRUMMOYNE NS AUS Card xx8882 Value Date: 03/10/2020</t>
  </si>
  <si>
    <t>AUTHENTICS FACTORY O DRUMMOYNE NS AUS Card xx8882 Value Date: 03/10/2020</t>
  </si>
  <si>
    <t>UBER   *EATS Sydney AU AUS Card xx8882 Value Date: 03/10/2020</t>
  </si>
  <si>
    <t>UBER* EATS SYDNEY NS AUS Card xx8882 Value Date: 04/10/2020</t>
  </si>
  <si>
    <t>LAKE CONJOLA LIQUOR      LAKE CONJOLA AU Card xx8882</t>
  </si>
  <si>
    <t>TILLY &amp; MO               LAKE CONJOLA AU Card xx8882</t>
  </si>
  <si>
    <t>UBER* EATS SYDNEY NS AUS Card xx8882 Value Date: 03/10/2020</t>
  </si>
  <si>
    <t>SUMO POWER South Melbour  AUS Card xx8882 Value Date: 02/10/2020</t>
  </si>
  <si>
    <t>Hungry Jacks             South Nowra  AU</t>
  </si>
  <si>
    <t>METRO PETROLEUM PUNCHB   PUNCHBOWL    AU</t>
  </si>
  <si>
    <t>MYRA NOOR PTY LTD        DRUMMOYNE    AU Card xx8882</t>
  </si>
  <si>
    <t>RALPH LAUREN AUSTRA DRUMMOYNE         AU</t>
  </si>
  <si>
    <t>COLES 0849 DRUMMOYNE AU AUS Card xx8882 Value Date: 01/10/2020</t>
  </si>
  <si>
    <t>TOP FRUIT MARKET DRUMMOYNE NS AUS Card xx8882 Value Date: 01/10/2020</t>
  </si>
  <si>
    <t>Transfer to xx8675 NetBank House Deposit</t>
  </si>
  <si>
    <t>Direct Debit 245164 HCF 5723396980626A0000</t>
  </si>
  <si>
    <t>Transfer to CBA A/c NetBank Rent</t>
  </si>
  <si>
    <t>UBER   *EATS Sydney AU AUS Card xx8882 Value Date: 28/09/2020</t>
  </si>
  <si>
    <t>NELSON HOTEL BONDI JUNCTIO NS AUS Card xx8882 Value Date: 26/09/2020</t>
  </si>
  <si>
    <t>GM CABS PTY LTD MASCOT  AUS Card xx8882 Value Date: 26/09/2020</t>
  </si>
  <si>
    <t>Salary SERVAUPAYROLL 19352P 85920286</t>
  </si>
  <si>
    <t>UBER   *EATS Sydney AU AUS Card xx8882 Value Date: 27/09/2020</t>
  </si>
  <si>
    <t>UBER* TRIP SYDNEY NS AUS Card xx8882 Value Date: 26/09/2020</t>
  </si>
  <si>
    <t>7-ELEVEN 2048 DRUMMOYNE NS AUS Card xx8882 Value Date: 25/09/2020</t>
  </si>
  <si>
    <t>UBER* EATS SYDNEY NS AUS Card xx8882 Value Date: 26/09/2020</t>
  </si>
  <si>
    <t>UBER   *EATS Sydney AU AUS Card xx8882 Value Date: 20/09/2020</t>
  </si>
  <si>
    <t>UBER   *EATS Sydney AU AUS Card xx8882 Value Date: 19/09/2020</t>
  </si>
  <si>
    <t>UBER* EATS SYDNEY NS AUS Card xx8882 Value Date: 18/09/2020</t>
  </si>
  <si>
    <t>COLES 0849 DRUMMOYNE AU AUS Card xx8882 Value Date: 16/09/2020</t>
  </si>
  <si>
    <t>UBER* EATS SYDNEY NS AUS Card xx8882 Value Date: 15/09/2020</t>
  </si>
  <si>
    <t>Salary SERVAUPAYROLL 19281P 85920286</t>
  </si>
  <si>
    <t>COLES 0849 DRUMMOYNE AU AUS Card xx8882 Value Date: 14/09/2020</t>
  </si>
  <si>
    <t>UBER   *EATS Sydney AU AUS Card xx8882 Value Date: 12/09/2020</t>
  </si>
  <si>
    <t>UBER* EATS SYDNEY NS AUS Card xx8882 Value Date: 13/09/2020</t>
  </si>
  <si>
    <t>SUMO POWER South Melbour  AUS Card xx8882 Value Date: 05/09/2020</t>
  </si>
  <si>
    <t>COLES 0849 DRUMMOYNE AU AUS Card xx8882 Value Date: 07/09/2020</t>
  </si>
  <si>
    <t>DESTROS PHARMACY DRUMMOYNE NS AUS Card xx8882 Value Date: 07/09/2020</t>
  </si>
  <si>
    <t>UBER* EATS SYDNEY NS AUS Card xx8882 Value Date: 05/09/2020</t>
  </si>
  <si>
    <t>COLES 0849 DRUMMOYNE AU AUS Card xx8882 Value Date: 06/09/2020</t>
  </si>
  <si>
    <t>NETFLIX COM MELBOURNE  AUS Card xx8882 Value Date: 04/09/2020</t>
  </si>
  <si>
    <t>CHISWICK CELLARS         CHISWICK     AU Card xx8882</t>
  </si>
  <si>
    <t>BART JR Redfern NS AUS Card xx8882 Value Date: 03/09/2020</t>
  </si>
  <si>
    <t>7-ELEVEN 2048 DRUMMOYNE NS AUS Card xx8882 Value Date: 03/09/2020</t>
  </si>
  <si>
    <t>CRAZYDOMAINSHOSTING 61290372826 SG SGP Card xx8882 AUD 21.95 Value Date: 01/09/2020</t>
  </si>
  <si>
    <t>Transfer From RAMTEAN ROOZBEHANI food</t>
  </si>
  <si>
    <t>Salary SERVAUPAYROLL 19443P 85920286</t>
  </si>
  <si>
    <t>UBER   *EATS Sydney AU AUS Card xx8882 Value Date: 29/08/2020</t>
  </si>
  <si>
    <t>UberUAE_EATS Sydney AU AUS Card xx8882 Value Date: 30/08/2020</t>
  </si>
  <si>
    <t>Direct Debit 245164 HCF 5723396980595A0000</t>
  </si>
  <si>
    <t>COLES 0849 DRUMMOYNE AU AUS Card xx8882 Value Date: 25/08/2020</t>
  </si>
  <si>
    <t>7-ELEVEN 2048 DRUMMOYNE NS AUS Card xx8882 Value Date: 23/08/2020</t>
  </si>
  <si>
    <t>UBER   *EATS Sydney AU AUS Card xx8882 Value Date: 23/08/2020</t>
  </si>
  <si>
    <t>BWS LIQUOR      1601 DRUMMOYNE NS AUS Card xx8882 Value Date: 22/08/2020</t>
  </si>
  <si>
    <t>Salary SERVAUPAYROLL 19510P 85920286</t>
  </si>
  <si>
    <t>COLES 0849 DRUMMOYNE AU AUS Card xx8882 Value Date: 17/08/2020</t>
  </si>
  <si>
    <t>FISHHEADS AT BYRON BYRON BAY NS AUS Card xx8882 Value Date: 14/08/2020</t>
  </si>
  <si>
    <t>UBER   *EATS Sydney AU AUS Card xx8882 Value Date: 15/08/2020</t>
  </si>
  <si>
    <t>Menulog Pty Ltd Sydney AU AUS Card xx8882 Value Date: 15/08/2020</t>
  </si>
  <si>
    <t>Menulog Pty Ltd Sydney AU AUS Card xx8882 Value Date: 16/08/2020</t>
  </si>
  <si>
    <t>FISHHEADS AT BYRON BYRON BAY NS AUS Card xx8882 Value Date: 13/08/2020</t>
  </si>
  <si>
    <t>Menulog Pty Ltd Sydney AU AUS Card xx8882 Value Date: 14/08/2020</t>
  </si>
  <si>
    <t>Northern Bar Byron Bay NS AUS Card xx8882 Value Date: 13/08/2020</t>
  </si>
  <si>
    <t>THE HIDEOUT BYRON BAY BYRON BAY AU AUS Card xx8882 Value Date: 13/08/2020</t>
  </si>
  <si>
    <t>OZAKMAN BROTHERS PL BYRON BAY NS AUS Card xx8882 Value Date: 12/08/2020</t>
  </si>
  <si>
    <t>MCDONALDS NAMBUCCA HD VALLA        NSWAU</t>
  </si>
  <si>
    <t>BP NAMBUCCA TRVL CT VALLA             AU</t>
  </si>
  <si>
    <t>CELLAR BYRON PLAZA BYRON BAY NS AUS Card xx8882 Value Date: 11/08/2020</t>
  </si>
  <si>
    <t>BYRON BAY HOT BREAD      BYRON BAY    AU Card xx8882</t>
  </si>
  <si>
    <t>YAMBA YHA BACKPACKER YAMBA NS AUS Card xx8882 Value Date: 10/08/2020</t>
  </si>
  <si>
    <t>KFC TAREE SERVICE CE GLENTHORNE NS AUS Card xx8882 Value Date: 09/08/2020</t>
  </si>
  <si>
    <t>CENTRE COM SUNSHINE VI AUS Card xx8882 Value Date: 08/08/2020</t>
  </si>
  <si>
    <t>SQ *THE TASTE OF BEES Drummoyne AU AUS Card xx8882 Value Date: 09/08/2020</t>
  </si>
  <si>
    <t>WOOLWORTHS 2611 BYRON    BYRON BAY    AU Card xx8882</t>
  </si>
  <si>
    <t>DOORDASH*DOS SENORITAS MELBOURNE VI AUS Card xx8882 Value Date: 06/08/2020</t>
  </si>
  <si>
    <t>COLES 0849 DRUMMOYNE AU AUS Card xx8882 Value Date: 08/08/2020</t>
  </si>
  <si>
    <t>SLICE PIZZERIA           BYRON BAY    AU</t>
  </si>
  <si>
    <t>YAMBA BOWLING AND RECR   YAMBA        AU Card xx8882</t>
  </si>
  <si>
    <t>YAMBA TAVERN PTY LTD     YAMBA        AU Card xx8882</t>
  </si>
  <si>
    <t>MCDONALDS TAREE SOUTH GLENTHORNE   NSWAU</t>
  </si>
  <si>
    <t>MCDONALDS DRUMMOYNE   DRUMMOYNE    NSWAU</t>
  </si>
  <si>
    <t>Jaycar                   Chippendale  AU</t>
  </si>
  <si>
    <t>NETFLIX.COM Melbourne AU AUS Card xx8882 Value Date: 03/08/2020</t>
  </si>
  <si>
    <t>SUMO POWER South Melbour  AUS Card xx8882 Value Date: 03/08/2020</t>
  </si>
  <si>
    <t>Salary SERVAUPAYROLL 21390P 85920286</t>
  </si>
  <si>
    <t>UBER   *TRIP Sydney AU AUS Card xx8882 Value Date: 01/08/2020</t>
  </si>
  <si>
    <t>Direct Debit 245164 HCF 5723396980565A0000</t>
  </si>
  <si>
    <t>SYDNEY FINE FOOD&amp;WINE    WAVERTON     AU Card xx8882</t>
  </si>
  <si>
    <t>COLES 0849 DRUMMOYNE AU AUS Card xx8882 Value Date: 28/07/2020</t>
  </si>
  <si>
    <t>GM CABS PTY LTD MASCOT  AUS Card xx8882 Value Date: 26/07/2020</t>
  </si>
  <si>
    <t>GM CABS PTY LTD MASCOT  AUS Card xx8882 Value Date: 25/07/2020</t>
  </si>
  <si>
    <t>BOURBON OPERATIONS POTTS POINT  AUS Card xx8882 Value Date: 25/07/2020</t>
  </si>
  <si>
    <t>Transfer To Jonathan K Oliver CommBank App food iou</t>
  </si>
  <si>
    <t>IGA DRUMMOYNE DRUMMOYNE AU Card xx8882</t>
  </si>
  <si>
    <t>RELISH FOOD CO. PTY. L SURRY HILLS AU Card xx8882</t>
  </si>
  <si>
    <t>Salary SERVAUPAYROLL 20235P 85920286</t>
  </si>
  <si>
    <t>SHWARMAMA PTY LTD SURRY HILLS AU</t>
  </si>
  <si>
    <t>UBER *EATS Sydney AU AUS Card xx8882 Value Date: 28/02/2021</t>
  </si>
  <si>
    <t>Transfer To RAMTEAN ROOZBEHANI CommBank App food iou</t>
  </si>
  <si>
    <t>WW METRO 1669 CENTRAL STATN NS AUS Card xx8882 Value Date: 26/02/2021</t>
  </si>
  <si>
    <t>Direct Debit 245164 HCFHEALTHANDLIFE 057233969SUJREZY8W</t>
  </si>
  <si>
    <t>PHOTOWN Alexandria NS AUS Card xx8882 Value Date: 25/02/2021</t>
  </si>
  <si>
    <t>WW METRO 1669 CENTRAL STATN NS AUS Card xx8882 Value Date: 25/02/2021</t>
  </si>
  <si>
    <t>Camy's Chargrill SH Surry Hills AU</t>
  </si>
  <si>
    <t>TRANSPORTFORNSW OPAL CHIPPENDALE AUS Card xx8882 Value Date: 25/02/2021</t>
  </si>
  <si>
    <t>Direct Credit 012721 ATO ATO005000014206811</t>
  </si>
  <si>
    <t>COLES 0849 DRUMMOYNE AU AUS Card xx8882 Value Date: 22/02/2021</t>
  </si>
  <si>
    <t>7-ELEVEN 2048 DRUMMOYNE NS AUS Card xx8882 Value Date: 22/02/2021</t>
  </si>
  <si>
    <t>Oxford Hotel DRUMMOYNE AU AUS Card xx8882 Value Date: 21/02/2021</t>
  </si>
  <si>
    <t>UBER *EATS Sydney AU AUS Card xx8882 Value Date: 20/02/2021</t>
  </si>
  <si>
    <t>UBER* EATS SYDNEY NS AUS Card xx8882 Value Date: 21/02/2021</t>
  </si>
  <si>
    <t>WW METRO 1669 CENTRAL STATN NS AUS Card xx8882 Value Date: 19/02/2021</t>
  </si>
  <si>
    <t>ALDI STORES - DRUMMOYN DRUMMOYNE AU Card xx8882</t>
  </si>
  <si>
    <t>PHOTOWN Alexandria NS AUS Card xx8882 Value Date: 17/02/2021</t>
  </si>
  <si>
    <t>WW METRO 1669 CENTRAL STATN NS AUS Card xx8882 Value Date: 17/02/2021</t>
  </si>
  <si>
    <t>TRANSPORTFORNSW OPAL CHIPPENDALE AUS Card xx8882 Value Date: 18/02/2021</t>
  </si>
  <si>
    <t>Telstra Direct Debit AUSTRALIA SA AUS Card xx8882 Value Date: 16/02/2021</t>
  </si>
  <si>
    <t>UBER *EATS Sydney AU AUS Card xx8882 Value Date: 15/02/2021</t>
  </si>
  <si>
    <t>Salary SERVAUPAYROLL 20172P 85920286</t>
  </si>
  <si>
    <t>UBER* EATS SYDNEY NS AUS Card xx8882 Value Date: 14/02/2021</t>
  </si>
  <si>
    <t>Dick's Hotel Balmain Balmain NS AUS Card xx8882 Value Date: 12/02/2021</t>
  </si>
  <si>
    <t>WW METRO 1669 CENTRAL STATN NS AUS Card xx8882 Value Date: 12/02/2021</t>
  </si>
  <si>
    <t>WW METRO 1669 CENTRAL STATN NS AUS Card xx8882 Value Date: 11/02/2021</t>
  </si>
  <si>
    <t>PHOTOWN Alexandria NS AUS Card xx8882 Value Date: 10/02/2021</t>
  </si>
  <si>
    <t>WW METRO 1669 CENTRAL STATN NS AUS Card xx8882 Value Date: 10/02/2021</t>
  </si>
  <si>
    <t>Direct Debit 314011 SUMO PAYWAY2887933873</t>
  </si>
  <si>
    <t>COLES 0849 DRUMMOYNE AU AUS Card xx8882 Value Date: 09/02/2021</t>
  </si>
  <si>
    <t>TRANSPORTFORNSW OPAL CHIPPENDALE AUS Card xx8882 Value Date: 10/02/2021</t>
  </si>
  <si>
    <t>General&amp;Co Lobby Bar Lilyfield AU</t>
  </si>
  <si>
    <t>UBER *EATS Sydney AU AUS Card xx8882 Value Date: 07/02/2021</t>
  </si>
  <si>
    <t>WW METRO 1669 CENTRAL STATN NS AUS Card xx8882 Value Date: 05/02/2021</t>
  </si>
  <si>
    <t>SQ *THE TASTE OF BEES Drummoyne AU</t>
  </si>
  <si>
    <t>PHOTOWN Alexandria NS AUS Card xx8882 Value Date: 04/02/2021</t>
  </si>
  <si>
    <t>WW METRO 1669 CENTRAL STATN NS AUS Card xx8882 Value Date: 04/02/2021</t>
  </si>
  <si>
    <t>WW METRO 1669 CENTRAL STATN NS AUS Card xx8882 Value Date: 03/02/2021</t>
  </si>
  <si>
    <t>Salary SERVAUPAYROLL 19331P 85920286</t>
  </si>
  <si>
    <t>COLES 0849 DRUMMOYNE AU AUS Card xx8882 Value Date: 01/02/2021</t>
  </si>
  <si>
    <t>UBER *EATS Sydney AU AUS Card xx8882 Value Date: 31/01/2021</t>
  </si>
  <si>
    <t>UBER *EATS Sydney AU AUS Card xx8882 Value Date: 30/01/2021</t>
  </si>
  <si>
    <t>UBER* EATS SYDNEY NS AUS Card xx8882 Value Date: 31/01/2021</t>
  </si>
  <si>
    <t>7-ELEVEN 2048 DRUMMOYNE NS AUS Card xx8882 Value Date: 29/01/2021</t>
  </si>
  <si>
    <t>BAR TOSCA SYDNEY NS AUS Card xx8882 Value Date: 29/01/2021</t>
  </si>
  <si>
    <t>Direct Debit 245164 HCFHEALTHANDLIFE 057233969S4GPZVYTG</t>
  </si>
  <si>
    <t>Transfer from xx8675 CommBank app</t>
  </si>
  <si>
    <t>WW METRO 1669 CENTRAL STATN NS AUS Card xx8882 Value Date: 28/01/2021</t>
  </si>
  <si>
    <t>PHOTOWN Alexandria NS AUS Card xx8882 Value Date: 27/01/2021</t>
  </si>
  <si>
    <t>WW METRO 1669 CENTRAL STATN NS AUS Card xx8882 Value Date: 27/01/2021</t>
  </si>
  <si>
    <t>TRANSPORTFORNSW OPAL CHIPPENDALE AUS Card xx8882 Value Date: 28/01/2021</t>
  </si>
  <si>
    <t>Bendooley Estate Berrima NS AUS Card xx8882 Value Date: 25/01/2021</t>
  </si>
  <si>
    <t>CONQUEST PTY LTD DRUMMOYNE NS AUS Card xx8882 Value Date: 24/01/2021</t>
  </si>
  <si>
    <t>ME-AND-U 0290578500 NS AUS Card xx8882 Value Date: 25/01/2021</t>
  </si>
  <si>
    <t>POLITIX BIRKIN HEAD DRUMMOYNE NS AUS Card xx8882 Value Date: 23/01/2021</t>
  </si>
  <si>
    <t>Royal Hotel Bowral Bowral AU</t>
  </si>
  <si>
    <t>WW METRO 1669 CENTRAL STATN NS AUS Card xx8882 Value Date: 22/01/2021</t>
  </si>
  <si>
    <t>UBER *EATS Sydney AU AUS Card xx8882 Value Date: 21/01/2021</t>
  </si>
  <si>
    <t>SUMO POWER SOUTH MELBOUR AUS Card xx8882 Value Date: 21/01/2021</t>
  </si>
  <si>
    <t>SERVICE NSW 4007 HAYMARKET AUS Card xx8882 Value Date: 22/01/2021</t>
  </si>
  <si>
    <t>SOUTHERN HT 4872480 SYDNEY NSW AU</t>
  </si>
  <si>
    <t>CENTENNIAL VINEYARDS BOWRAL AU Card xx8882</t>
  </si>
  <si>
    <t>Camy's Chargrill SH Surry Hills NS AUS Tap and Pay xx2711 Value Date: 21/01/2021</t>
  </si>
  <si>
    <t>PHOTOWN Alexandria NS AUS Card xx8882 Value Date: 20/01/2021</t>
  </si>
  <si>
    <t>WW METRO 1669 CENTRAL STATN NS AUS Card xx8882 Value Date: 20/01/2021</t>
  </si>
  <si>
    <t>TOP FRUIT MARKET DRUMMOYNE NS AUS Card xx8882 Value Date: 19/01/2021</t>
  </si>
  <si>
    <t>GM CABS PTY LTD MASCOT AUS Card xx8882 Value Date: 17/01/2021</t>
  </si>
  <si>
    <t>SUMO POWER SOUTH MELBOUR AUS Card xx8882 Value Date: 18/01/2021</t>
  </si>
  <si>
    <t>Telstra Direct Debit AUSTRALIA SA AUS Card xx8882 Value Date: 18/01/2021</t>
  </si>
  <si>
    <t>TRANSPORTFORNSW OPAL CHIPPENDALE AUS Card xx8882 Value Date: 20/01/2021</t>
  </si>
  <si>
    <t>Salary SERVAUPAYROLL 20092P 85920286</t>
  </si>
  <si>
    <t>HOLEY MOLEY AUSTRALI POTTS POINT NS AUS Card xx8882 Value Date: 16/01/2021</t>
  </si>
  <si>
    <t>LEGION CAB SY 131451 DARLINGHURST NS AUS Card xx8882 Value Date: 16/01/2021</t>
  </si>
  <si>
    <t>UBER* EATS SYDNEY NS AUS Card xx8882 Value Date: 15/01/2021</t>
  </si>
  <si>
    <t>Potts Point Hotel Potts Point AU</t>
  </si>
  <si>
    <t>ROZELLE PHARMACY PTY ROZELLE AU Card xx8882</t>
  </si>
  <si>
    <t>COLES 0849 DRUMMOYNE AU AUS Card xx8882 Value Date: 11/01/2021</t>
  </si>
  <si>
    <t>WW METRO 1669 CENTRAL STATN NS AUS Card xx8882 Value Date: 11/01/2021</t>
  </si>
  <si>
    <t>UBER *EATS Sydney AU AUS Card xx8882 Value Date: 10/01/2021</t>
  </si>
  <si>
    <t>UBER* EATS SYDNEY NS AUS Card xx8882 Value Date: 08/01/2021</t>
  </si>
  <si>
    <t>Direct Credit 398088 OPTUS BILLING 62103618682</t>
  </si>
  <si>
    <t>BLOOMS THE CHEMIST LEICHHARDT AU Card xx8882</t>
  </si>
  <si>
    <t>KHANS IGA GERRINGONG GERRINGONG AUS Card xx8882 Value Date: 06/01/2021</t>
  </si>
  <si>
    <t>OVOLO WOOLOOMOOLOO WOOLLOOMOOLOO NS AUS Card xx8882 Value Date: 02/01/2021</t>
  </si>
  <si>
    <t>Salary SERVAUPAYROLL 20103P 85920286</t>
  </si>
  <si>
    <t>JB HI FI LEICHHARDT NS AUS Card xx8882 Value Date: 03/01/2021</t>
  </si>
  <si>
    <t>UBER *TRIP Sydney AU AUS Card xx8882 Value Date: 02/01/2021</t>
  </si>
  <si>
    <t>Direct Debit 245164 HCFHEALTHANDLIFE 057233969SOIBTBIBY</t>
  </si>
  <si>
    <t>GLENMORE ROOFTOP HOT THE ROCKS AU Card xx8882</t>
  </si>
  <si>
    <t>THE LORD NELSON BREW THE ROCKS NSWAU</t>
  </si>
  <si>
    <t>TELSTRA PAYBYPHONE MELBOURNE VI AUS Card xx8882 Value Date: 30/12/2020</t>
  </si>
  <si>
    <t>LIQUORLAND 3301 DRUMMOYNE AU AUS Card xx8882 Value Date: 30/12/2020</t>
  </si>
  <si>
    <t>COLES 0849 DRUMMOYNE AU AUS Card xx8882 Value Date: 30/12/2020</t>
  </si>
  <si>
    <t>UBER *EATS Sydney AU AUS Card xx8882 Value Date: 29/12/2020</t>
  </si>
  <si>
    <t>7-ELEVEN 2205 WEST PENNANT NS AUS Card xx8882 Value Date: 25/12/2020</t>
  </si>
  <si>
    <t>UBER *EATS Sydney AU AUS Card xx8882 Value Date: 28/12/2020</t>
  </si>
  <si>
    <t>Transfer To RAMTEAN ROOZBEHANI CommBank App iou</t>
  </si>
  <si>
    <t>Thendro Pty Ltd Melbourne AUS Card xx8882 Value Date: 23/12/2020</t>
  </si>
  <si>
    <t>PRIME QUALITY MEATS LEICHHARDT NS AUS Card xx8882 Value Date: 23/12/2020</t>
  </si>
  <si>
    <t>UBER* EATS SYDNEY NS AUS Card xx8882 Value Date: 23/12/2020</t>
  </si>
  <si>
    <t>COLES 0846 LEICHHARDT AU AUS Card xx8882 Value Date: 23/12/2020</t>
  </si>
  <si>
    <t>SDRO INFRNGMNT PAYME MAITLAND NS AUS Card xx8882 Value Date: 21/12/2020</t>
  </si>
  <si>
    <t>CITYOFSYDNEY PARKING SYDNEY AUS Card xx8882 Value Date: 21/12/2020</t>
  </si>
  <si>
    <t>Salary SERVAUPAYROLL 20204P 85920286</t>
  </si>
  <si>
    <t>HARRIS FARM MARKETS LEICHHARDT AU Card xx8882</t>
  </si>
  <si>
    <t>BP CONNECT 9562 ROZELLE NS AUS Card xx8882 Value Date: 18/12/2020</t>
  </si>
  <si>
    <t>UBER *EATS Sydney AU AUS Card xx8882 Value Date: 20/12/2020</t>
  </si>
  <si>
    <t>UBER* EATS SYDNEY NS AUS Card xx8882 Value Date: 20/12/2020</t>
  </si>
  <si>
    <t>LEICHHARDT MUNICIPAL C LEICHHARDT AU AUS Card xx8882 Value Date: 18/12/2020</t>
  </si>
  <si>
    <t>MCDONALDS DRUMMOYNE DRUMMOYNE NSWAU</t>
  </si>
  <si>
    <t>ST VIN DE PAUL SOC NSW GLEBE AU Card xx8882</t>
  </si>
  <si>
    <t>ST VIN DE PAUL SOC NSW ROZELLE AU Card xx8882</t>
  </si>
  <si>
    <t>UBER* EATS SYDNEY NS AUS Card xx8882 Value Date: 13/12/2020</t>
  </si>
  <si>
    <t>OXFORD OPERATIONS PTY MILSONS POINTAU Card xx8882</t>
  </si>
  <si>
    <t>UBER* EATS SYDNEY NS AUS Card xx8882 Value Date: 08/12/2020</t>
  </si>
  <si>
    <t>Salary SERVAUPAYROLL 19211P 85920286</t>
  </si>
  <si>
    <t>UBER* EATS SYDNEY NS AUS Card xx8882 Value Date: 06/12/2020</t>
  </si>
  <si>
    <t>COLES 0849 DRUMMOYNE AU AUS Card xx8882 Value Date: 05/12/2020</t>
  </si>
  <si>
    <t>7-ELEVEN 2048 DRUMMOYNE NS AUS Card xx8882 Value Date: 03/12/2020</t>
  </si>
  <si>
    <t>SUMO POWER SOUTH MELBOUR AUS Card xx8882 Value Date: 01/12/2020</t>
  </si>
  <si>
    <t>THE MALAYA RESTAURANT SYDNEY AU</t>
  </si>
  <si>
    <t>UBER *EATS Sydney AU AUS Card xx8882 Value Date: 30/11/2020</t>
  </si>
  <si>
    <t>Transfer To Katrina Duncan PayID Phone from CommBank App food iou</t>
  </si>
  <si>
    <t>Menulog Pty Ltd Sydney AU AUS Card xx8882 Value Date: 30/11/2020</t>
  </si>
  <si>
    <t>UBER *EATS Sydney AU AUS Card xx8882 Value Date: 28/11/2020</t>
  </si>
  <si>
    <t>UBER* EATS SYDNEY NS AUS Card xx8882 Value Date: 28/11/2020</t>
  </si>
  <si>
    <t>DOORDASH*GRINGOS FRESH MELBOURNE VI AUS Card xx8882 Value Date: 29/11/2020</t>
  </si>
  <si>
    <t>Direct Debit 245164 HCFHEALTHANDLIFE 057233969SC3MXCA6R</t>
  </si>
  <si>
    <t>MCDONALDS STANMORE STANMORE AUS Tap and Pay xx2711 Value Date: 25/11/2020</t>
  </si>
  <si>
    <t>UBER *EATS Sydney AU AUS Card xx8882 Value Date: 27/11/2020</t>
  </si>
  <si>
    <t>Direct Credit 012721 ATO ATO008000014141635</t>
  </si>
  <si>
    <t>IGA DRUMMOYNE QPS DRUMMOYNE AUS Tap and Pay xx2711 Value Date: 25/11/2020</t>
  </si>
  <si>
    <t>COLES EXPRESS 1617 DRUMMOYNE AU AUS Tap and Pay xx2711 Value Date: 24/11/2020</t>
  </si>
  <si>
    <t>General&amp;Co Lobby Bar Lilyfield NS AUS Tap and Pay xx2711 Value Date: 24/11/2020</t>
  </si>
  <si>
    <t>Salary SERVAUPAYROLL 19454P 85920286</t>
  </si>
  <si>
    <t>UBER* EATS SYDNEY NS AUS Card xx8882 Value Date: 23/11/2020</t>
  </si>
  <si>
    <t>UBER *EATS Sydney AU AUS Card xx8882 Value Date: 21/11/2020</t>
  </si>
  <si>
    <t>UBER* EATS SYDNEY NS AUS Card xx8882 Value Date: 22/11/2020</t>
  </si>
  <si>
    <t>7-ELEVEN 2048 DRUMMOYNE NS AUS Tap and Pay xx2711 Value Date: 19/11/2020</t>
  </si>
  <si>
    <t>Wdl ATM CBA ATM DRUMMOYNE B NSW 215702 AUS</t>
  </si>
  <si>
    <t>SDRO INFRNGMNT PAYME MAITLAND NS AUS Card xx8882 Value Date: 17/11/2020</t>
  </si>
  <si>
    <t>COLES EXPRESS 1588 STANMORE AU AUS Card xx8882 Value Date: 17/11/2020</t>
  </si>
  <si>
    <t>COLES 0849 DRUMMOYNE AU AUS Card xx8882 Value Date: 17/11/2020</t>
  </si>
  <si>
    <t>GM CABS PTY LTD MASCOT AUS Card xx8882 Value Date: 15/11/2020</t>
  </si>
  <si>
    <t>UBER *EATS Sydney AU AUS Card xx8882 Value Date: 15/11/2020</t>
  </si>
  <si>
    <t>UBER *EATS Sydney AU AUS Card xx8882 Value Date: 14/11/2020</t>
  </si>
  <si>
    <t>UBER* EATS SYDNEY NS AUS Card xx8882 Value Date: 16/11/2020</t>
  </si>
  <si>
    <t>International Transaction Fee Value Date: 12/11/2020</t>
  </si>
  <si>
    <t>ExpressVPN 13106018492 GI GIB Card xx8882 USD 99.95 Value Date: 12/11/2020</t>
  </si>
  <si>
    <t>UBER *EATS Sydney AU AUS Card xx8882 Value Date: 13/11/2020</t>
  </si>
  <si>
    <t>STEVES SELECT MEATS DRUMMOYNE AU Card xx8882</t>
  </si>
  <si>
    <t>UBER* EATS SYDNEY NS AUS Card xx8882 Value Date: 11/11/2020</t>
  </si>
  <si>
    <t>SUMO POWER South Melbour AUS Card xx8882 Value Date: 10/11/2020</t>
  </si>
  <si>
    <t>UBER* EATS SYDNEY NS AUS Card xx8882 Value Date: 09/11/2020</t>
  </si>
  <si>
    <t>UBER *EATS Sydney AU AUS Card xx8882 Value Date: 08/11/2020</t>
  </si>
  <si>
    <t>UBER *EATS Sydney AU AUS Card xx8882 Value Date: 05/11/2020</t>
  </si>
  <si>
    <t>UBER* EATS SYDNEY NS AUS Card xx8882 Value Date: 07/11/2020</t>
  </si>
  <si>
    <t>Transfer To Jonathan K Oliver CommBank App iou</t>
  </si>
  <si>
    <t>BEATPORT 720-974-9500 CO USA Card xx8882 AUD 1.86 Value Date: 05/11/2020</t>
  </si>
  <si>
    <t>NETFLIX COM MELBOURNE AUS Card xx8882 Value Date: 04/11/2020</t>
  </si>
  <si>
    <t>Menulog Pty Ltd Sydney AU AUS Card xx8882 Value Date: 01/11/2020</t>
  </si>
  <si>
    <t>DESTROS PHARMACY DRUMMOYNE NS AUS Card xx8882 Value Date: 30/10/2020</t>
  </si>
  <si>
    <t>Direct Debit 245164 HCFHEALTHANDLIFE 057233969S1VWI1HTS</t>
  </si>
  <si>
    <t>Trattoria Casa Chiswick NS AUS Card xx8882 Value Date: 29/10/2020</t>
  </si>
  <si>
    <t>COLES 0849 DRUMMOYNE AU AUS Card xx8882 Value Date: 28/10/2020</t>
  </si>
  <si>
    <t>Salary SERVAUPAYROLL 20245P 85920286</t>
  </si>
  <si>
    <t>UBER *EATS Sydney AU AUS Card xx8882 Value Date: 25/10/2020</t>
  </si>
  <si>
    <t>UBER *EATS Sydney AU AUS Card xx8882 Value Date: 24/10/2020</t>
  </si>
  <si>
    <t>DOORDASH*DOS SENORITAS MELBOURNE VI AUS Card xx8882 Value Date: 24/10/2020</t>
  </si>
  <si>
    <t>UBER *EATS Sydney AU AUS Card xx8882 Value Date: 21/10/2020</t>
  </si>
  <si>
    <t>LINKT SYDNEY SYDNEY AUS Card xx8882 Value Date: 20/10/2020</t>
  </si>
  <si>
    <t>ALDI STORES - DRUMMOYN DRUMMOYNE AUS Tap and Pay xx2711 Value Date: 14/10/2020</t>
  </si>
  <si>
    <t>UBER* EATS SYDNEY NS AUS Card xx8882 Value Date: 17/10/2020</t>
  </si>
  <si>
    <t>Return CRAZYDOMAINSHOSTING 61290372826 SG SGP Card xx8882 AUD 20.12 Value Date: 15/10/2020</t>
  </si>
  <si>
    <t>COLES 0849 DRUMMOYNE AU AUS Tap and Pay xx2711 Value Date: 14/10/2020</t>
  </si>
  <si>
    <t>UBER *EATS Sydney AU AUS Card xx8882 Value Date: 10/10/2020</t>
  </si>
  <si>
    <t>Salary SERVAUPAYROLL 19434P 85920286</t>
  </si>
  <si>
    <t>UBER *EATS Sydney AU AUS Card xx8882 Value Date: 11/10/2020</t>
  </si>
  <si>
    <t>CUPITT ULLADULLA NS AUS Card xx8882 Value Date: 08/10/2020</t>
  </si>
  <si>
    <t>CHARGRILL CHARLIES Drummoyne AU</t>
  </si>
  <si>
    <t>WOOLWORTHS 1136 ULLADULLA NS AUS Card xx8882 Value Date: 06/10/2020</t>
  </si>
  <si>
    <t>NETFLIX COM MELBOURNE AUS Card xx8882 Value Date: 04/10/2020</t>
  </si>
  <si>
    <t>Kieran Krohn CommBank App iou</t>
  </si>
  <si>
    <t>MASOUMEH GHOLAMSHAHI Shoping for mum second time</t>
  </si>
  <si>
    <t>Mr Louis Robert Reynolds W Pizza tip</t>
  </si>
  <si>
    <t>MASOUMEH GHOLAMSHAHI Shoping for mum</t>
  </si>
  <si>
    <t>KIERAN ROSS KROHN Dinner</t>
  </si>
  <si>
    <t>Sue Maree Hamilton PayID Phone from CommBank App Thereses gift</t>
  </si>
  <si>
    <t>RAMTEAN ROOZBEHA CommBank app berry nice</t>
  </si>
  <si>
    <t>RAMTEAN ROOZBEHA CommBank app food</t>
  </si>
  <si>
    <t>LAKIN J Josie</t>
  </si>
  <si>
    <t>media spend</t>
  </si>
  <si>
    <t>mum present</t>
  </si>
  <si>
    <t>Domain Registration To Grunt</t>
  </si>
  <si>
    <t>RAMTEAN ROOZBEHA CommBank app rabies vaccine</t>
  </si>
  <si>
    <t>H Roozbehani Present from Dad</t>
  </si>
  <si>
    <t>POWERDIRECT P/L      BPAY 254714 70563072709406088924 elec bill</t>
  </si>
  <si>
    <t>Katrina Duncan PayID Phone from CommBank App iou</t>
  </si>
  <si>
    <t>MASOUMEH GHOLAMSHAHI Dinner order</t>
  </si>
  <si>
    <t>RevenueNSW Fine BPAY 36848 89460952529832 Revenue NSW</t>
  </si>
  <si>
    <t>Sanders Subramani CommBank App sherwins bucks rodean</t>
  </si>
  <si>
    <t>MASOUMEH GHOLAMSHAHI Your BD present &amp; my chair</t>
  </si>
  <si>
    <t>Justin Bradley CommBank App iou thx</t>
  </si>
  <si>
    <t>Louis Wayment CommBank App iou pizza</t>
  </si>
  <si>
    <t>Jonathan K Oliver CommBank App kfc</t>
  </si>
  <si>
    <t>Homayoun Roozbehani Roozbeh Gift from Homayoun</t>
  </si>
  <si>
    <t>Homayoun Roozbehani Christmas gift</t>
  </si>
  <si>
    <t>Homayoun Roozbehani Happy Birthday Rodean</t>
  </si>
  <si>
    <t>Homayoun Roozbehani Dads Present</t>
  </si>
  <si>
    <t>Homayoun Roozbehani Present from Dad</t>
  </si>
  <si>
    <t>Homayoun Roozbehani Merry x-mass and happy new year</t>
  </si>
  <si>
    <t>Homayoun Roozbehani Happy Birthday</t>
  </si>
  <si>
    <t>Travel</t>
  </si>
  <si>
    <t>xx0814 CommBank app stock</t>
  </si>
  <si>
    <t>Netbank to Complete Access CommBank app</t>
  </si>
  <si>
    <t xml:space="preserve">Netbank to Complete Access </t>
  </si>
  <si>
    <t>Withdrawal   ATMCAS POTTS POINT NSW NS AU</t>
  </si>
  <si>
    <t>Withdrawal   ATMETX DASH ATM FORBES ST SYDNEY AU</t>
  </si>
  <si>
    <t>Withdrawal   ATMETX COOGEE PAVILION 1 COOGEE AU</t>
  </si>
  <si>
    <t>Withdrawal   ATMCBA ATM ROZELLE B NSW 224302 AUS</t>
  </si>
  <si>
    <t>Withdrawal   ATMCBA ATM DRUMMOYNE B NSW 215702 AUS</t>
  </si>
  <si>
    <t>Withdrawal   ATMCAS STANMORE NSW NS AU</t>
  </si>
  <si>
    <t>Withdrawal   ATMCAS 7-11 DRUMMOYNE DRUMMOYN NS AU</t>
  </si>
  <si>
    <t>Withdrawal   ATMCBA ATM  DRUMMOYNE B    NSW 215702   AUS</t>
  </si>
  <si>
    <t>Withdrawal   ATMETX IGA DRUMMOYNE      DRUMMOYNE      AU</t>
  </si>
  <si>
    <t>Withdrawal   ATMRed NP-Five Star Toba  Potts Poin     AU</t>
  </si>
  <si>
    <t>Withdrawal   ATMCBA ATM  DRUMMOYNE A    NSW 215701   AUS</t>
  </si>
  <si>
    <t>Withdrawal   ATMWES ODEON PLZA O/S     DRUMMOYNENS    AU</t>
  </si>
  <si>
    <t>Withdrawal   ATMCBA ATM  300ELIZABETH B NSW 203302   AUS</t>
  </si>
  <si>
    <t>CommBank app food iou</t>
  </si>
  <si>
    <t>Withdrawal   ATMTROPICAL MARKET        PORT VILA      VU VUV12800</t>
  </si>
  <si>
    <t>Withdrawal   ATMCAS THE OXFORD DRUMMOYNDRUM     NS    AU</t>
  </si>
  <si>
    <t>Withdrawal   ATMCUS EZYMART OXFORD     DARLINGHUNS    AU Value Date: 02/11/2019</t>
  </si>
  <si>
    <t>Withdrawal   ATMANZ THE STAR SYDNEY 235PYRMONT        AU</t>
  </si>
  <si>
    <t>Withdrawal   ATMCBA ATM  300ELIZABETH C NSW 203303   AUS</t>
  </si>
  <si>
    <t>Withdrawal   ATMCAS 7-11 DRUMMOYNE     DRUMMOYN NS    AU</t>
  </si>
  <si>
    <t>Withdrawal   ATMRed CEXP DRUMMOYNE NT  Drummoyne      AU</t>
  </si>
  <si>
    <t>Withdrawal   ATMANZ GOROS              SURRY HIL      AU</t>
  </si>
  <si>
    <t>Withdrawal   ATMBOQ NEWTOWN            NEWTOWN  NS    AU Value Date: 29/06/2019</t>
  </si>
  <si>
    <t>Withdrawal   ATMCBA ATM  PETERSHAM A    NSW 222701   AUS</t>
  </si>
  <si>
    <t>Withdrawal   ATMWES RAILWAY SQ O/S     RAILWAY SNS    AU</t>
  </si>
  <si>
    <t>Withdrawal   ATMWES CIVIC HOTEL        SYDNEY         AU</t>
  </si>
  <si>
    <t>Withdrawal   ATMWES MADISON HOTEL      SURRY H        AU</t>
  </si>
  <si>
    <t>Withdrawal   ATMCBA ATM  BALMAIN D      NSW 211004   AUS</t>
  </si>
  <si>
    <t>Withdrawal   ATMANZ NEWTOWN RAILWAY STANEWTOWN        AU</t>
  </si>
  <si>
    <t>Withdrawal   ATMCBA ATM  GLEBE B        NSW 217202   AUS</t>
  </si>
  <si>
    <t>Withdrawal   ATMCAS 7-11 CAMPERDOWN    CAMPERD  NS    AU</t>
  </si>
  <si>
    <t>Withdrawal   ATMCUS AB HOTEL           GLEBE    NS    AU</t>
  </si>
  <si>
    <t>Withdrawal   ATMCBA ATM  PETERSHAM B    NSW 222702   AUS</t>
  </si>
  <si>
    <t>Withdrawal   ATMANZ ERSKINVILLE HOTEL  ERSKINVIL      AU</t>
  </si>
  <si>
    <t>Withdrawal   ATMRed NP-City Convenien  Sydney         AU</t>
  </si>
  <si>
    <t>Withdrawal   ATMCBA ATM  DARLING QUARTERNSW 270597   AUS</t>
  </si>
  <si>
    <t>Withdrawal   ATMANZ VIC ON THE PARK 1  MARRICKVI      AU Value Date: 21/07/2018</t>
  </si>
  <si>
    <t>Withdrawal   ATMWES KINSELAS           DARLING        AU</t>
  </si>
  <si>
    <t>Withdrawal   ATMWES STAR BAR AND GRILL SYDNEY         AU</t>
  </si>
  <si>
    <t>Jonathan K Oliver CommBank App food iou</t>
  </si>
  <si>
    <t>Coinspot Deposit 135209500 815C8A09</t>
  </si>
  <si>
    <t>Coinspot Deposit 996189508621</t>
  </si>
  <si>
    <t>Coinspot Deposit 996189508474</t>
  </si>
  <si>
    <t>Katrina Duncan PayID Phone from CommBank App food iou</t>
  </si>
  <si>
    <t>Coinspot Deposit 996185680350</t>
  </si>
  <si>
    <t>Coinspot Deposit 996185613633</t>
  </si>
  <si>
    <t>Jonathan K Oliver CommBank App iou</t>
  </si>
  <si>
    <t>Coinspot Deposit tax return 17 18</t>
  </si>
  <si>
    <t>Coinspot Deposit accomodation</t>
  </si>
  <si>
    <t>Louis Wayment CommBank App food</t>
  </si>
  <si>
    <t>Coinspot Deposit CommBank app food iou</t>
  </si>
  <si>
    <t>Kieran Krohn CommBank App kieran bday</t>
  </si>
  <si>
    <t>Kieran Krohn CommBank App holiday bookings</t>
  </si>
  <si>
    <t>Kieran Krohn CommBank App airbnb</t>
  </si>
  <si>
    <t>Reversal of transaction Louis Wayment Account closed</t>
  </si>
  <si>
    <t>Coinspot Deposit - Coinspot Deposit 996145081362</t>
  </si>
  <si>
    <t>Coinspot Deposit - Coinspot Deposit 996143779108</t>
  </si>
  <si>
    <t>Coinspot Deposit - Coinspot Deposit 996143733694)</t>
  </si>
  <si>
    <t>Transaction Date</t>
  </si>
  <si>
    <t>Type</t>
  </si>
  <si>
    <t>Market</t>
  </si>
  <si>
    <t>Rate inc. fee</t>
  </si>
  <si>
    <t>Rate ex. fee</t>
  </si>
  <si>
    <t>Fee</t>
  </si>
  <si>
    <t>Fee AUD (inc GST)</t>
  </si>
  <si>
    <t>GST AUD</t>
  </si>
  <si>
    <t>Total AUD</t>
  </si>
  <si>
    <t>Total (inc GST)</t>
  </si>
  <si>
    <t>Buy</t>
  </si>
  <si>
    <t>ETH/AUD</t>
  </si>
  <si>
    <t>150.00 AUD</t>
  </si>
  <si>
    <t>XRP/AUD</t>
  </si>
  <si>
    <t>POWR/AUD</t>
  </si>
  <si>
    <t>ADA/AUD</t>
  </si>
  <si>
    <t>DOT/AUD</t>
  </si>
  <si>
    <t>ZIL/AUD</t>
  </si>
  <si>
    <t>BTC/AUD</t>
  </si>
  <si>
    <t>NEO/AUD</t>
  </si>
  <si>
    <t>500.00 AUD</t>
  </si>
  <si>
    <t>300.00 AUD</t>
  </si>
  <si>
    <t>0.01 AUD</t>
  </si>
  <si>
    <t>149.99 AUD</t>
  </si>
  <si>
    <t>250.00 AUD</t>
  </si>
  <si>
    <t>HOT/AUD</t>
  </si>
  <si>
    <t>5.00 AUD</t>
  </si>
  <si>
    <t>1009.38 AUD</t>
  </si>
  <si>
    <t>11.97 AUD</t>
  </si>
  <si>
    <t>47.66 AUD</t>
  </si>
  <si>
    <t>95.45 AUD</t>
  </si>
  <si>
    <t>0.00 AUD</t>
  </si>
  <si>
    <t>190.62 AUD</t>
  </si>
  <si>
    <t>381.77 AUD</t>
  </si>
  <si>
    <t>763.15 AUD</t>
  </si>
  <si>
    <t>20.00 AUD</t>
  </si>
  <si>
    <t>180.00 AUD</t>
  </si>
  <si>
    <t>100.00 AUD</t>
  </si>
  <si>
    <t>2271.36 AUD</t>
  </si>
  <si>
    <t>728.64 AUD</t>
  </si>
  <si>
    <t>2646.74 AUD</t>
  </si>
  <si>
    <t>353.26 AUD</t>
  </si>
  <si>
    <t>2000.00 AUD</t>
  </si>
  <si>
    <t>191.43 AUD</t>
  </si>
  <si>
    <t>8.57 AUD</t>
  </si>
  <si>
    <t>200.00 AUD</t>
  </si>
  <si>
    <t>Sell</t>
  </si>
  <si>
    <t>491.05 AUD</t>
  </si>
  <si>
    <t>1508.95 AUD</t>
  </si>
  <si>
    <t>4000.00 AUD</t>
  </si>
  <si>
    <t>3000.00 AUD</t>
  </si>
  <si>
    <t>5000.00 AUD</t>
  </si>
  <si>
    <t>2500.00 AUD</t>
  </si>
  <si>
    <t>3529.22 AUD</t>
  </si>
  <si>
    <t>442.87 AUD</t>
  </si>
  <si>
    <t>7000.00 AUD</t>
  </si>
  <si>
    <t>1050.16 AUD</t>
  </si>
  <si>
    <t>43.70 AUD</t>
  </si>
  <si>
    <t>540.25 AUD</t>
  </si>
  <si>
    <t>356.26 AUD</t>
  </si>
  <si>
    <t>9.64 AUD</t>
  </si>
  <si>
    <t>1000.00 AUD</t>
  </si>
  <si>
    <t>1500.00 AUD</t>
  </si>
  <si>
    <t>2848.71 AUD</t>
  </si>
  <si>
    <t>TRX/AUD</t>
  </si>
  <si>
    <t>LTC/AUD</t>
  </si>
  <si>
    <t>600.00 AUD</t>
  </si>
  <si>
    <t>1638.05 AUD</t>
  </si>
  <si>
    <t>2279.30 AUD</t>
  </si>
  <si>
    <t>QTUM/AUD</t>
  </si>
  <si>
    <t>2147.94 AUD</t>
  </si>
  <si>
    <t>OMG/AUD</t>
  </si>
  <si>
    <t>WTC/AUD</t>
  </si>
  <si>
    <t>973.11 AUD</t>
  </si>
  <si>
    <t>400.00 AUD</t>
  </si>
  <si>
    <t>350.00 AUD</t>
  </si>
  <si>
    <t>RDN/AUD</t>
  </si>
  <si>
    <t>TFUEL/AUD</t>
  </si>
  <si>
    <t>FIL/AUD</t>
  </si>
  <si>
    <t>47.00 AUD</t>
  </si>
  <si>
    <t>46.00 AUD</t>
  </si>
  <si>
    <t>Total AUD Final</t>
  </si>
  <si>
    <t>Total Amount Final</t>
  </si>
  <si>
    <t>TRANSPORTFORNSW OPAL CHIPPENDALE AUS Card xx8882 Value Date: 05/03/2021</t>
  </si>
  <si>
    <t>UBER *TRIP Sydney AU AUS Card xx8882 Value Date: 04/03/2021</t>
  </si>
  <si>
    <t>WW METRO 1669 CENTRAL STATN NS AUS Card xx8882 Value Date: 05/03/2021</t>
  </si>
  <si>
    <t>PHOTOWN Alexandria NS AUS Card xx8882 Value Date: 05/03/2021</t>
  </si>
  <si>
    <t>COLES 0849 DRUMMOYNE AU AUS Card xx8882 Value Date: 08/03/2021</t>
  </si>
  <si>
    <t>7-ELEVEN 2048 DRUMMOYNE NS AUS Card xx8882 Value Date: 09/03/2021</t>
  </si>
  <si>
    <t>WW METRO 1669 CENTRAL STATN NS AUS Card xx8882 Value Date: 10/03/2021</t>
  </si>
  <si>
    <t>PHOTOWN Alexandria NS AUS Tap and Pay xx2711 Value Date: 11/03/2021</t>
  </si>
  <si>
    <t>Direct Debit 314011 SUMO PAYWAY2913696277</t>
  </si>
  <si>
    <t>Menulog Pty Ltd Sydney AU AUS Card xx8882 Value Date: 13/03/2021</t>
  </si>
  <si>
    <t>BAR TOSCA SYDNEY NS AUS Card xx8882 Value Date: 12/03/2021</t>
  </si>
  <si>
    <t>CITY MART 525 PTY LT SYDNEY NS AUS Card xx8882 Value Date: 12/03/2021</t>
  </si>
  <si>
    <t>Return 15/03/21 Direct Debit 314011 SUMO PAYWAY2913696277 Value Date: 15/03/2021</t>
  </si>
  <si>
    <t>Unpaid Payment Fee Value Date: 15/03/2021</t>
  </si>
  <si>
    <t>Overdraw Fee For exceeding available funds on 15 Mar</t>
  </si>
  <si>
    <t>Woolwich Pier Woolwich AU AUS Card xx8882 Value Date: 13/03/2021</t>
  </si>
  <si>
    <t>UBER *EATS Sydney AU AUS Card xx8882 Value Date: 14/03/2021</t>
  </si>
  <si>
    <t>COLES 0849 DRUMMOYNE AU AUS Card xx8882 Value Date: 15/03/2021</t>
  </si>
  <si>
    <t>Salary SERVAUPAYROLL 19560P 85920286</t>
  </si>
  <si>
    <t>TRANSPORTFORNSW OPAL CHIPPENDALE AUS Card xx8882 Value Date: 18/03/2021</t>
  </si>
  <si>
    <t>WW METRO 1669 SURRY HILLS NS AUS Card xx8882 Value Date: 18/03/2021</t>
  </si>
  <si>
    <t>PHOTOWN Alexandria NS AUS Card xx8882 Value Date: 18/03/2021</t>
  </si>
  <si>
    <t>NETFLIX.COM Melbourne AU AUS Card xx8882 Value Date: 18/03/2021</t>
  </si>
  <si>
    <t>ESEL Pty Ltd Lidcombe AU AUS Card xx8882 Value Date: 20/03/2021</t>
  </si>
  <si>
    <t>Telstra Direct Debit AUSTRALIA SA AUS Card xx8882 Value Date: 18/03/2021</t>
  </si>
  <si>
    <t>AIRBNB * HMKYJT9CSQ Surry Hills AU AUS Card xx8882 Value Date: 18/03/2021</t>
  </si>
  <si>
    <t>Return AIRBNB * HMKYJT9CSQ Surry Hills AU AUS Card xx8882 Value Date: 20/03/2021</t>
  </si>
  <si>
    <t>UBER *EATS Sydney AU AUS Card xx8882 Value Date: 21/03/2021</t>
  </si>
  <si>
    <t>SQ *SURRY HILLS DUMPLI Surry Hills AU</t>
  </si>
  <si>
    <t>WW METRO 1669 SURRY HILLS NS AUS Card xx8882 Value Date: 24/03/2021</t>
  </si>
  <si>
    <t>COLES 0849 DRUMMOYNE AU AUS Card xx8882 Value Date: 24/03/2021</t>
  </si>
  <si>
    <t>ETORO INTERNET AU AUS Card xx8882 Value Date: 26/03/2021</t>
  </si>
  <si>
    <t>CENTENNIAL PLAZA PHR SYDNEY NS AUS Card xx8882 Value Date: 25/03/2021</t>
  </si>
  <si>
    <t>BAR TOSCA SYDNEY NS AUS Card xx8882 Value Date: 26/03/2021</t>
  </si>
  <si>
    <t>UBER* EATS SYDNEY NS AUS Card xx8882 Value Date: 27/03/2021</t>
  </si>
  <si>
    <t>UBER *EATS Sydney AU AUS Card xx8882 Value Date: 28/03/2021</t>
  </si>
  <si>
    <t>Direct Debit 314011 SUMO PAYWAY2926416056</t>
  </si>
  <si>
    <t>Salary SERVAUPAYROLL 20033P 85920286</t>
  </si>
  <si>
    <t>TRANSPORTFORNSW OPAL CHIPPENDALE AUS Card xx8882 Value Date: 31/03/2021</t>
  </si>
  <si>
    <t>COLES 0849 DRUMMOYNE AU AUS Tap and Pay xx2711 Value Date: 29/03/2021</t>
  </si>
  <si>
    <t>UBER *EATS Sydney AU AUS Card xx8882 Value Date: 29/03/2021</t>
  </si>
  <si>
    <t>Debit Excess Interest</t>
  </si>
  <si>
    <t>Direct Debit 245164 HCFHEALTHANDLIFE 057233969SMD0W3KGM</t>
  </si>
  <si>
    <t>Transfer To Jonathan K Oliver CommBank App food</t>
  </si>
  <si>
    <t>Direct Credit 067596 OZFOREX LIMITED HELLOSTAKE.COM</t>
  </si>
  <si>
    <t>UBER *EATS Sydney AU AUS Card xx8882 Value Date: 03/04/2021</t>
  </si>
  <si>
    <t>UBER *EATS Sydney AU AUS Card xx8882 Value Date: 04/04/2021</t>
  </si>
  <si>
    <t>Return ETORO INTERNET AU AUS Card xx8882 Value Date: 05/04/2021</t>
  </si>
  <si>
    <t>UBER *EATS Sydney AU AUS Card xx8882 Value Date: 05/04/2021</t>
  </si>
  <si>
    <t>COLES 0849 DRUMMOYNE AU AUS Card xx8882 Value Date: 06/04/2021</t>
  </si>
  <si>
    <t>Microsoft*Microsoft 36 msbill.info AU AUS Card xx8882 Value Date: 06/04/2021</t>
  </si>
  <si>
    <t>TENKOMORI SYDNEY AU Card xx8882</t>
  </si>
  <si>
    <t>BAR TOSCA SYDNEY NS AUS Card xx8882 Value Date: 07/04/2021</t>
  </si>
  <si>
    <t>Transfer From MASOUMEH GHOLAMSHAHI CREDIT TO ACCOUNT</t>
  </si>
  <si>
    <t>UBER *EATS Sydney AU AUS Card xx8882 Value Date: 09/04/2021</t>
  </si>
  <si>
    <t>COLES 0849 DRUMMOYNE AU AUS Tap and Pay xx2711 Value Date: 11/04/2021</t>
  </si>
  <si>
    <t>UBER *EATS Sydney AU AUS Card xx8882 Value Date: 10/04/2021</t>
  </si>
  <si>
    <t>UBER *EATS Sydney AU AUS Card xx8882 Value Date: 11/04/2021</t>
  </si>
  <si>
    <t>Salary SERVAUPAYROLL 20043P 85920286</t>
  </si>
  <si>
    <t>TRANSPORTFORNSW OPAL CHIPPENDALE AUS Card xx8882 Value Date: 15/04/2021</t>
  </si>
  <si>
    <t>Menulog Pty Ltd Sydney AU AUS Card xx8882 Value Date: 14/04/2021</t>
  </si>
  <si>
    <t>BAR TOSCA SYDNEY NS AUS Card xx8882 Value Date: 14/04/2021</t>
  </si>
  <si>
    <t>PHOTOWN Alexandria NS AUS Card xx8882 Value Date: 15/04/2021</t>
  </si>
  <si>
    <t>OXFORD WORLD SQUARE SYDNEY AU AUS Card xx8882 Value Date: 16/04/2021</t>
  </si>
  <si>
    <t>UBER *EATS Sydney AU AUS Card xx8882 Value Date: 16/04/2021</t>
  </si>
  <si>
    <t>UBER* TRIP SYDNEY NS AUS Card xx8882 Value Date: 18/04/2021</t>
  </si>
  <si>
    <t>UBER *TRIP Sydney AU AUS Card xx8882 Value Date: 17/04/2021</t>
  </si>
  <si>
    <t>UBER *EATS Sydney AU AUS Card xx8882 Value Date: 17/04/2021</t>
  </si>
  <si>
    <t>WW METRO 1669 SURRY HILLS NS AUS Card xx8882 Value Date: 16/04/2021</t>
  </si>
  <si>
    <t>Telstra Direct Debit AUSTRALIA SA AUS Card xx8882 Value Date: 19/04/2021</t>
  </si>
  <si>
    <t>Menulog Pty Ltd Sydney AU AUS Card xx8882 Value Date: 19/04/2021</t>
  </si>
  <si>
    <t>COLES 0849 DRUMMOYNE AU AUS Card xx8882 Value Date: 19/04/2021</t>
  </si>
  <si>
    <t>Menulog Pty Ltd Sydney AU AUS Card xx8882 Value Date: 22/04/2021</t>
  </si>
  <si>
    <t>BAR TOSCA SYDNEY NS AUS Tap and Pay xx2711 Value Date: 21/04/2021</t>
  </si>
  <si>
    <t>MANGO COCO THAI DESSER HAYMARKET AUS Tap and Pay xx2711 Value Date: 22/04/2021</t>
  </si>
  <si>
    <t>7-ELEVEN 2048 DRUMMOYNE NS AUS Tap and Pay xx2711 Value Date: 22/04/2021</t>
  </si>
  <si>
    <t>Overdraw Fee For exceeding available funds on 23 Apr</t>
  </si>
  <si>
    <t>CALTEX COOLONGOLOOK COOLONGOLOOK AUS Tap and Pay xx2711 Value Date: 25/04/2021</t>
  </si>
  <si>
    <t>Hilltop at the Lodge Bellingen NS AUS Tap and Pay xx2711 Value Date: 25/04/2021</t>
  </si>
  <si>
    <t>EBOR PUB PL EBOR AUS Tap and Pay xx2711 Value Date: 23/04/2021</t>
  </si>
  <si>
    <t>UNITED DORRIGO DORRIGO NS AUS Tap and Pay xx2711 Value Date: 23/04/2021</t>
  </si>
  <si>
    <t>MCDONALDS F3 NORTHBOU JILLIBY AUS Tap and Pay xx2711 Value Date: 23/04/2021</t>
  </si>
  <si>
    <t>MCDONALDS NAMBUCCA HD VALLA AUS Tap and Pay xx2711 Value Date: 23/04/2021</t>
  </si>
  <si>
    <t>BVL PARTNERSHIP PL BELLINGEN NS AUS Card xx8882 Value Date: 23/04/2021</t>
  </si>
  <si>
    <t>BP NAMBUCCA TRVL CTR 7 VALLA NS AUS Tap and Pay xx2711 Value Date: 23/04/2021</t>
  </si>
  <si>
    <t>COLES 0849 DRUMMOYNE AU AUS Tap and Pay xx2711 Value Date: 26/04/2021</t>
  </si>
  <si>
    <t>TRANSPORTFORNSW OPAL CHIPPENDALE AUS Card xx8882 Value Date: 27/04/2021</t>
  </si>
  <si>
    <t>ACTIVE8 POOL TABLES KIRRAWEE NS AUS Tap and Pay xx2711 Value Date: 27/04/2021</t>
  </si>
  <si>
    <t>Ground Floor Estab Sydney NS AUS Tap and Pay xx2711 Value Date: 28/04/2021</t>
  </si>
  <si>
    <t>Kyo-To Spice Alley Chippendale NS AUS Tap and Pay xx2711 Value Date: 27/04/2021</t>
  </si>
  <si>
    <t>BAR BROADWAY BROADWAY AUS Tap and Pay xx2711 Value Date: 27/04/2021</t>
  </si>
  <si>
    <t>CITY CONVENIENCE STORE HAYMARKET NS AUS Tap and Pay xx2711 Value Date: 27/04/2021</t>
  </si>
  <si>
    <t>DOORDASH*DOS SENORITAS MELBOURNE VI AUS Card xx8882 Value Date: 29/04/2021</t>
  </si>
  <si>
    <t>UBER *EATS Sydney AU AUS Card xx8882 Value Date: 28/04/2021</t>
  </si>
  <si>
    <t>TAXI COMBINED 133300 ALEXANDRIA NS AUS Tap and Pay xx2711 Value Date: 28/04/2021</t>
  </si>
  <si>
    <t>Camy's Chargrill SH Surry Hills NS AUS Tap and Pay xx2711 Value Date: 29/04/2021</t>
  </si>
  <si>
    <t>PHOTOWN Alexandria NS AUS Tap and Pay xx2711 Value Date: 29/04/2021</t>
  </si>
  <si>
    <t>Direct Debit 245164 HCFHEALTHANDLIFE 057233969SV6VQ6565</t>
  </si>
  <si>
    <t>UBER *EATS Sydney AU AUS Card xx8882 Value Date: 02/05/2021</t>
  </si>
  <si>
    <t>TENKOMORI SYDNEY AUS Tap and Pay xx2711 Value Date: 30/04/2021</t>
  </si>
  <si>
    <t>Oxford Hotel DRUMMOYNE AU AUS Tap and Pay xx2711 Value Date: 02/05/2021</t>
  </si>
  <si>
    <t>Camy's Chargrill SH Surry Hills NS AUS Tap and Pay xx2711 Value Date: 05/05/2021</t>
  </si>
  <si>
    <t>BAR TOSCA SYDNEY NS AUS Tap and Pay xx2711 Value Date: 06/05/2021</t>
  </si>
  <si>
    <t>UBER *EATS Sydney AU AUS Card xx8882 Value Date: 08/05/2021</t>
  </si>
  <si>
    <t>UBER *EATS Sydney AU AUS Card xx8882 Value Date: 09/05/2021</t>
  </si>
  <si>
    <t>SHWARMAMA PTY LTD SURRY HILLS NS AUS Tap and Pay xx2711 Value Date: 07/05/2021</t>
  </si>
  <si>
    <t>WW METRO 1669 SURRY HILLS NS AUS Tap and Pay xx2711 Value Date: 07/05/2021</t>
  </si>
  <si>
    <t>Menulog Pty Ltd Sydney AU AUS Card xx8882 Value Date: 11/05/2021</t>
  </si>
  <si>
    <t>UBER *EATS Sydney AU AUS Card xx8882 Value Date: 10/05/2021</t>
  </si>
  <si>
    <t>Netbank to Complete Access CommBank app crpyto</t>
  </si>
  <si>
    <t>H Roozbehani Gift to Rodean from Dad</t>
  </si>
  <si>
    <t>Katrina Duncan PayID Phone from CommBank App VR</t>
  </si>
  <si>
    <t>Coinspot Deposit 996194599870</t>
  </si>
  <si>
    <t>Coinspot Deposit 996194104530</t>
  </si>
  <si>
    <t>H Roozbehani Gift</t>
  </si>
  <si>
    <t>MASOUMEH GHOLAMSHAHI the rest for investment business</t>
  </si>
  <si>
    <t>Coinspot Deposit 996194070673</t>
  </si>
  <si>
    <t>MASOUMEH GHOLAMSHAHI CREDIT TO ACCOUNT</t>
  </si>
  <si>
    <t>Coinspot Deposit 996194069976</t>
  </si>
  <si>
    <t>MASOUMEH GHOLAMSHAHI To Rodean for business</t>
  </si>
  <si>
    <t>Coinspot Deposit 996194045018</t>
  </si>
  <si>
    <t>Coinspot Deposit 996193760461</t>
  </si>
  <si>
    <t>Jonathan K Oliver CommBank App food</t>
  </si>
  <si>
    <t>xx0814 CommBank app</t>
  </si>
  <si>
    <t>Coinspot Deposit 996192019081</t>
  </si>
  <si>
    <t>Direct Credit 141000 Homayoun Roozbehani For Rodean</t>
  </si>
  <si>
    <t>RAMTEAN  food</t>
  </si>
  <si>
    <t>RAMTEAN  loan</t>
  </si>
  <si>
    <t>RAMTEAN  fridge</t>
  </si>
  <si>
    <t>RAMTEAN  foods</t>
  </si>
  <si>
    <t>RAMTEAN  CommBank App facebook ad spend</t>
  </si>
  <si>
    <t>RAMTEAN  CommBank App iou</t>
  </si>
  <si>
    <t>RAMTEAN  CommBank App food iou</t>
  </si>
  <si>
    <t>RAMTEAN  music equipment</t>
  </si>
  <si>
    <t>RAMTEAN  grunt fine</t>
  </si>
  <si>
    <t>RAMTEAN  mum dinner</t>
  </si>
  <si>
    <t>RAMTEAN  CommBank App server</t>
  </si>
  <si>
    <t>RAMTEAN  CommBank app foods</t>
  </si>
  <si>
    <t>RAMTEAN  CommBank App food</t>
  </si>
  <si>
    <t>geoff fridge</t>
  </si>
  <si>
    <t>geoff wedges</t>
  </si>
  <si>
    <t>geoff electricity p1</t>
  </si>
  <si>
    <t>geoff dinner</t>
  </si>
  <si>
    <t>geoff geoff Value Date: 30/11/2020</t>
  </si>
  <si>
    <t>geoff CommBank app Geoff</t>
  </si>
  <si>
    <t>geoff CommBank app geoff rod</t>
  </si>
  <si>
    <t>BWS LIQUOR 1601 DRUMMOYNE NS AUS Card xx8882 Value Date: 28/05/2021</t>
  </si>
  <si>
    <t>UBER *EATS Sydney AU AUS Card xx8882 Value Date: 28/05/2021</t>
  </si>
  <si>
    <t>STEAMGAMES.COM 4259522 Hamburg DE DEU Card xx8882 AUD 28.95 Value Date: 29/05/2021</t>
  </si>
  <si>
    <t>Dick's Hotel Balmain Balmain NS AUS Card xx8882 Value Date: 29/05/2021</t>
  </si>
  <si>
    <t>AGR SERVICES PTY LTD SYDNEY NS AUS Card xx8882 Value Date: 28/05/2021</t>
  </si>
  <si>
    <t>UBER *EATS Sydney AU AUS Card xx8882 Value Date: 29/05/2021</t>
  </si>
  <si>
    <t>UBER *TRIP Sydney AU AUS Card xx8882 Value Date: 29/05/2021</t>
  </si>
  <si>
    <t>BRIDGE HOTEL ROZELLE ROZELLE NS AUS Card xx8882 Value Date: 30/05/2021</t>
  </si>
  <si>
    <t>Transfer From GEOFFREY COLLINS geoff shake</t>
  </si>
  <si>
    <t>BAR TOSCA SYDNEY NS AUS Card xx8882 Value Date: 27/05/2021</t>
  </si>
  <si>
    <t>BAR TOSCA SYDNEY NS AUS Card xx8882 Value Date: 26/05/2021</t>
  </si>
  <si>
    <t>Salary SERVAUPAYROLL 20343P 85920286</t>
  </si>
  <si>
    <t>Menulog Pty Ltd Sydney AU AUS Card xx8882 Value Date: 23/05/2021</t>
  </si>
  <si>
    <t>Menulog Pty Ltd Sydney AU AUS Card xx8882 Value Date: 25/05/2021</t>
  </si>
  <si>
    <t>International Transaction Fee Value Date: 24/05/2021</t>
  </si>
  <si>
    <t>BEYOU CHAIR 2362576589 DE USA Card xx8882 USD 329.00 Value Date: 24/05/2021</t>
  </si>
  <si>
    <t>BAR TOSCA SYDNEY NS AUS Card xx8882 Value Date: 20/05/2021</t>
  </si>
  <si>
    <t>WW METRO 1669 SURRY HILLS NS AUS Card xx8882 Value Date: 20/05/2021</t>
  </si>
  <si>
    <t>BAR TOSCA SYDNEY NS AUS Card xx8882 Value Date: 19/05/2021</t>
  </si>
  <si>
    <t>TRANSPORTFORNSW OPAL CHIPPENDALE AUS Card xx8882 Value Date: 20/05/2021</t>
  </si>
  <si>
    <t>SPOTTO NSW DARLINGHURSTN NS AUS Card xx8882 Value Date: 16/05/2021</t>
  </si>
  <si>
    <t>SPEEDW AY ROSEVILLE ROSEVILLE NS AUS Card xx8882 Value Date: 14/05/2021</t>
  </si>
  <si>
    <t>Telstra Direct Debit AUSTRALIA SA AUS Card xx8882 Value Date: 17/05/2021</t>
  </si>
  <si>
    <t>UBER *EATS Sydney AU AUS Card xx8882 Value Date: 16/05/2021</t>
  </si>
  <si>
    <t>STRIKE AUSTRALIA PTY SYDNEY NS AUS Card xx8882 Value Date: 15/05/2021</t>
  </si>
  <si>
    <t>Barangaroo House Barangaroo AU</t>
  </si>
  <si>
    <t>BETTYS BURGERS AUSTRAL BONDI JUNCTIOAU Card xx8882</t>
  </si>
  <si>
    <t>SHWARMAMA PTY LTD SURRY HILLS NS AUS Tap and Pay xx2711 Value Date: 12/05/2021</t>
  </si>
  <si>
    <t>BAR TOSCA SYDNEY NS AUS Card xx8882 Value Date: 13/05/2021</t>
  </si>
  <si>
    <t>NBC-PAY &amp; DISPLAY PARK DEE WHY AUS Card xx8882 Value Date: 14/05/2021</t>
  </si>
  <si>
    <t>ALDI STORES - DRUMMOYN DRUMMOYNE AUS Tap and Pay xx2711 Value Date: 11/05/2021</t>
  </si>
  <si>
    <t>Transfer to CBA A/c CommBank app gig iou</t>
  </si>
  <si>
    <t>Direct Debit 314011 SUMO PAYWAY2961317502</t>
  </si>
  <si>
    <t>Transfer From GEOFFREY COLLINS electricity</t>
  </si>
  <si>
    <t>Transfer From RAMTEAN ROOZBEHANI electricity</t>
  </si>
  <si>
    <t>Menulog Pty Ltd Sydney AU AUS Card xx8882 Value Date: 12/05/2021</t>
  </si>
  <si>
    <t>TRANSPORTFORNSW OPAL CHIPPENDALE AUS Card xx8882 Value Date: 12/05/2021</t>
  </si>
  <si>
    <t>Salary SERVAUPAYROLL 20223P 85920286</t>
  </si>
  <si>
    <t>Trattoria Casa Chiswick NS AUS Card xx8882 Value Date: 30/06/2021</t>
  </si>
  <si>
    <t>Direct Debit 245164 HCFHEALTHANDLIFE 057233969SAQXWRXQN</t>
  </si>
  <si>
    <t>7-ELEVEN 2048 DRUMMOYNE NS AUS Card xx8882 Value Date: 29/06/2021</t>
  </si>
  <si>
    <t>UBER *EATS Sydney AU AUS Card xx8882 Value Date: 29/06/2021</t>
  </si>
  <si>
    <t>Transfer From MASOUMEH GHOLAMSHAHI faciliatete car rego</t>
  </si>
  <si>
    <t>Transfer To RAMTEAN ROOZBEHANI NetBank removalist and cleaner</t>
  </si>
  <si>
    <t>Wdl ATM CBA ATM DRUMMOYNE A NSW 215701 AUS</t>
  </si>
  <si>
    <t>Transfer To Drummoyne Properties Pty Ltd CommBank App 2309vic</t>
  </si>
  <si>
    <t>Salary SERVAUPAYROLL 21013P 85920286</t>
  </si>
  <si>
    <t>UBER *EATS Sydney AU AUS Card xx8882 Value Date: 21/06/2021</t>
  </si>
  <si>
    <t>UBER *EATS Sydney AU AUS Card xx8882 Value Date: 18/06/2021</t>
  </si>
  <si>
    <t>UBER *EATS Sydney AU AUS Card xx8882 Value Date: 19/06/2021</t>
  </si>
  <si>
    <t>UBER* TRIP SYDNEY NS AUS Card xx8882 Value Date: 19/06/2021</t>
  </si>
  <si>
    <t>ARC AT UNSW LTD KENSINGTON AU Card xx8882</t>
  </si>
  <si>
    <t>BAR TOSCA SYDNEY NS AUS Card xx8882 Value Date: 17/06/2021</t>
  </si>
  <si>
    <t>Transfer From Ms Katrina T Duncan Kat</t>
  </si>
  <si>
    <t>ULTRA TUNE DRUMMOYNE AU Card xx8882</t>
  </si>
  <si>
    <t>UBER *EATS Sydney AU AUS Card xx8882 Value Date: 16/06/2021</t>
  </si>
  <si>
    <t>Menulog Pty Ltd Sydney AU AUS Card xx8882 Value Date: 17/06/2021</t>
  </si>
  <si>
    <t>Telstra Direct Debit AUSTRALIA SA AUS Card xx8882 Value Date: 16/06/2021</t>
  </si>
  <si>
    <t>Transfer From GEOFFREY COLLINS G electric</t>
  </si>
  <si>
    <t>UBER *EATS Sydney AU AUS Card xx8882 Value Date: 15/06/2021</t>
  </si>
  <si>
    <t>7-ELEVEN 2048 DRUMMOYNE NS AUS Card xx8882 Value Date: 13/06/2021</t>
  </si>
  <si>
    <t>UBER *EATS Sydney AU AUS Card xx8882 Value Date: 14/06/2021</t>
  </si>
  <si>
    <t>UBER *TRIP Sydney AU AUS Card xx8882 Value Date: 13/06/2021</t>
  </si>
  <si>
    <t>UBER *EATS Sydney AU AUS Card xx8882 Value Date: 11/06/2021</t>
  </si>
  <si>
    <t>Menulog Pty Ltd Sydney AU AUS Card xx8882 Value Date: 12/06/2021</t>
  </si>
  <si>
    <t>UME Restaurant Surry Hills NS AUS Card xx8882 Value Date: 12/06/2021</t>
  </si>
  <si>
    <t>WOOLWORTHS 1248 SYDNEY NS AUS Card xx8882 Value Date: 12/06/2021</t>
  </si>
  <si>
    <t>UBER* EATS SYDNEY NS AUS Card xx8882 Value Date: 13/06/2021</t>
  </si>
  <si>
    <t>CARRINGTON 565 PTY L SURRY HILLS NS AUS Card xx8882 Value Date: 12/06/2021</t>
  </si>
  <si>
    <t>CommBank app TFR to 0426276026 iou</t>
  </si>
  <si>
    <t>UBER *EATS Sydney AU AUS Card xx8882 Value Date: 10/06/2021</t>
  </si>
  <si>
    <t>Direct Debit 314011 SUMO PAYWAY2983079229</t>
  </si>
  <si>
    <t>Transfer From RAMTEAN ROOZBEHANI old rent return</t>
  </si>
  <si>
    <t>TELECOM BILLING SOUTH MELBOUR VI AUS Card xx8882 Value Date: 08/06/2021</t>
  </si>
  <si>
    <t>Salary SERVAUPAYROLL 21345P 85920286</t>
  </si>
  <si>
    <t>COLES 0849 DRUMMOYNE AU AUS Tap and Pay xx2711 Value Date: 06/06/2021</t>
  </si>
  <si>
    <t>LINKT SYDNEY SYDNEY AUS Card xx8882 Value Date: 08/06/2021</t>
  </si>
  <si>
    <t>SILVER SPOON BISTRO SURRY HILLS NS AUS Card xx8882 Value Date: 03/06/2021</t>
  </si>
  <si>
    <t>COLES 0849 DRUMMOYNE AU AUS Card xx8882 Value Date: 06/06/2021</t>
  </si>
  <si>
    <t>NSW RENTAL BOND PARRAMATTA AUS Card xx8882 Value Date: 03/06/2021</t>
  </si>
  <si>
    <t>WOOLWORTHS 1248 SYDNEY NS AUS Card xx8882 Value Date: 02/06/2021</t>
  </si>
  <si>
    <t>PHOTOWN Alexandria NS AUS Card xx8882 Value Date: 02/06/2021</t>
  </si>
  <si>
    <t>TRANSPORTFORNSW OPAL CHIPPENDALE AUS Card xx8882 Value Date: 02/06/2021</t>
  </si>
  <si>
    <t>TAXI COMBINED 133300 ALEXANDRIA NS AUS Card xx8882 Value Date: 29/05/2021</t>
  </si>
  <si>
    <t>Direct Debit 245164 HCFHEALTHANDLIFE 057233969SX0QN422Z</t>
  </si>
  <si>
    <t>Dick Smith FKFBJM9Y Melbourne AU AUS Card xx8882 Value Date: 20/04/2021 (Kogan Fridge)</t>
  </si>
  <si>
    <t xml:space="preserve">Dick Smith (CStand Bracket Monitor Mount Arm + Laptop Tray Holder Adapter LCD Screen Desktop) Q47NEXG7 Melbourne AU AUS Card xx8882 Value Date: 24/12/2020 </t>
  </si>
  <si>
    <t>Rio Ticket Louis Wayment</t>
  </si>
  <si>
    <t>IKEA TEMPE TEMPE NS AUS Card xx8882 Value Date: 27/03/2020 - food</t>
  </si>
  <si>
    <t>IKEA TEMPE               TEMPE        AU - standup desk</t>
  </si>
  <si>
    <t>IKEA PTY LTD TEMPE NS AUS Card xx8882 Value Date: 17/12/2020  - standup desk (mum)</t>
  </si>
  <si>
    <t>JB HI FI LEICHHARDT NS AUS Card xx8882 Value Date: 26/12/2020 (Drone Accessories: SD Card + Propellors)</t>
  </si>
  <si>
    <t>JB HI FI LEICHHARDT NS AUS Card xx8882 Value Date: 23/12/2020 (Drone + Propellors [$1491.15 EFTPOS + 600 paid in cash])</t>
  </si>
  <si>
    <t>CLRK RUBER HABERFLD HABERFIELD AUS Card xx8882 Value Date: 20/12/2020 (Rubber for microphone repair)</t>
  </si>
  <si>
    <t>THE GUITAR FACTORY A     PARRAMATTA   AU Card xx8882 (Rack Mount)</t>
  </si>
  <si>
    <t>MANNYS                   Alexandria   AU - Furman Merit Series M Power Conditioner</t>
  </si>
  <si>
    <t>MANNYS Alexandria NS AUS Card xx8882 Value Date: 09/01/2021 (Behringer Ultragain, Presonous USB interface for Grunt, HOSA Snake cable, Toslink cables, Coax cables, Akai Fire)</t>
  </si>
  <si>
    <t>34.65346534653463 AUD</t>
  </si>
  <si>
    <t>3500.00 AUD</t>
  </si>
  <si>
    <t>0.23762376237623783 AUD</t>
  </si>
  <si>
    <t>24.00 AUD</t>
  </si>
  <si>
    <t>49.50495049504934 AUD</t>
  </si>
  <si>
    <t>24.75247524752467 AUD</t>
  </si>
  <si>
    <t>6.435643564356496 AUD</t>
  </si>
  <si>
    <t>650.00 AUD</t>
  </si>
  <si>
    <t>5.940594059405953 AUD</t>
  </si>
  <si>
    <t>2.47524752475249 AUD</t>
  </si>
  <si>
    <t>4.95049504950498 AUD</t>
  </si>
  <si>
    <t>3.9603960396039497 AUD</t>
  </si>
  <si>
    <t>11.881188118811906 AUD</t>
  </si>
  <si>
    <t>1200.00 AUD</t>
  </si>
  <si>
    <t>9.90099009900996 AUD</t>
  </si>
  <si>
    <t>16.21831683168307 AUD</t>
  </si>
  <si>
    <t>16.54596494506677 AUD</t>
  </si>
  <si>
    <t>1638.0505295616001 AUD</t>
  </si>
  <si>
    <t>22.567326732673337 AUD</t>
  </si>
  <si>
    <t>9.48796342397975 AUD</t>
  </si>
  <si>
    <t>939.308378974 AUD</t>
  </si>
  <si>
    <t>13.535282220142335 AUD</t>
  </si>
  <si>
    <t>1339.992939794082 AUD</t>
  </si>
  <si>
    <t>21.266732673267143 AUD</t>
  </si>
  <si>
    <t>5.119008426533696 AUD</t>
  </si>
  <si>
    <t>506.78183422683304 AUD</t>
  </si>
  <si>
    <t>5.38787384201612 AUD</t>
  </si>
  <si>
    <t>533.3995103596001 AUD</t>
  </si>
  <si>
    <t>6.616816482685522 AUD</t>
  </si>
  <si>
    <t>655.0648317858614 AUD</t>
  </si>
  <si>
    <t>4.300451060227431 AUD</t>
  </si>
  <si>
    <t>425.744654962515 AUD</t>
  </si>
  <si>
    <t>9.634752475247524 AUD</t>
  </si>
  <si>
    <t>3.465346534653463 AUD</t>
  </si>
  <si>
    <t>BTTC/AUD</t>
  </si>
  <si>
    <t>10.10101010101016 AUD</t>
  </si>
  <si>
    <t>1000 AUD</t>
  </si>
  <si>
    <t>0.4653465346534631 AUD</t>
  </si>
  <si>
    <t>0.4554455445544576 AUD</t>
  </si>
  <si>
    <t>1.4851485148514882 AUD</t>
  </si>
  <si>
    <t>XNO/AUD</t>
  </si>
  <si>
    <t>2.9702970297029765 AUD</t>
  </si>
  <si>
    <t>0.000009561599999999499 AUD</t>
  </si>
  <si>
    <t>0.14999039999999653 AUD</t>
  </si>
  <si>
    <t>0.2499998482800047 AUD</t>
  </si>
  <si>
    <t>0.24999999999770295 AUD</t>
  </si>
  <si>
    <t>0.04950495049504955 AUD</t>
  </si>
  <si>
    <t>1.0093789606871157 AUD</t>
  </si>
  <si>
    <t>0.5000000071718472 AUD</t>
  </si>
  <si>
    <t>0.011971827080849193 AUD</t>
  </si>
  <si>
    <t>0.04766335074839746 AUD</t>
  </si>
  <si>
    <t>0.09544681878444365 AUD</t>
  </si>
  <si>
    <t>6.500010100000158e-8 AUD</t>
  </si>
  <si>
    <t>0.19062342860652767 AUD</t>
  </si>
  <si>
    <t>0.3817668889025925 AUD</t>
  </si>
  <si>
    <t>0.7631486991693285 AUD</t>
  </si>
  <si>
    <t>0.020000000711885787 AUD</t>
  </si>
  <si>
    <t>0.18000000642935815 AUD</t>
  </si>
  <si>
    <t>0.09999950999999366 AUD</t>
  </si>
  <si>
    <t>0.24999974999999297 AUD</t>
  </si>
  <si>
    <t>2.2713571127960197 AUD</t>
  </si>
  <si>
    <t>0.7286428872025363 AUD</t>
  </si>
  <si>
    <t>2.6467354469945623 AUD</t>
  </si>
  <si>
    <t>0.35326455300414694 AUD</t>
  </si>
  <si>
    <t>1.999999999822771 AUD</t>
  </si>
  <si>
    <t>0.1914287744999883 AUD</t>
  </si>
  <si>
    <t>0.008571225000000016 AUD</t>
  </si>
  <si>
    <t>1.9801980198019749 AUD</t>
  </si>
  <si>
    <t>0.9900990099009874 AUD</t>
  </si>
  <si>
    <t>9.544709715100907 AUD</t>
  </si>
  <si>
    <t>9535.165005384899 AUD</t>
  </si>
  <si>
    <t>0.3990010439999878 AUD</t>
  </si>
  <si>
    <t>398.602042956 AUD</t>
  </si>
  <si>
    <t>0.49104753583861566 AUD</t>
  </si>
  <si>
    <t>1.5089524641609704 AUD</t>
  </si>
  <si>
    <t>39.60396039603984 AUD</t>
  </si>
  <si>
    <t>29.70297029702988 AUD</t>
  </si>
  <si>
    <t>196.60917663179862 AUD</t>
  </si>
  <si>
    <t>19464.308486548034 AUD</t>
  </si>
  <si>
    <t>19.80198019801992 AUD</t>
  </si>
  <si>
    <t>101.0101010101007 AUD</t>
  </si>
  <si>
    <t>10000 AUD</t>
  </si>
  <si>
    <t>50.50505050505035 AUD</t>
  </si>
  <si>
    <t>5000 AUD</t>
  </si>
  <si>
    <t>34.94277227722796 AUD</t>
  </si>
  <si>
    <t>96.25475319264842 AUD</t>
  </si>
  <si>
    <t>9529.220566072101 AUD</t>
  </si>
  <si>
    <t>4.384851485148545 AUD</t>
  </si>
  <si>
    <t>69.30693069306926 AUD</t>
  </si>
  <si>
    <t>115.58459307572957 AUD</t>
  </si>
  <si>
    <t>11442.874714497191 AUD</t>
  </si>
  <si>
    <t>10.39762376237627 AUD</t>
  </si>
  <si>
    <t>0.04369539999999802 AUD</t>
  </si>
  <si>
    <t>0.5402495860556156 AUD</t>
  </si>
  <si>
    <t>0.35625635237958936 AUD</t>
  </si>
  <si>
    <t>0.009640000119999428 AUD</t>
  </si>
  <si>
    <t>14.85148514851494 AUD</t>
  </si>
  <si>
    <t>28.205049504950694 AUD</t>
  </si>
  <si>
    <t>1.0987941191568638 AUD</t>
  </si>
  <si>
    <t>108.78061779652963 AUD</t>
  </si>
  <si>
    <t>1.8707084962525187 AUD</t>
  </si>
  <si>
    <t>185.200141129 AUD</t>
  </si>
  <si>
    <t>0.7313768278863648 AUD</t>
  </si>
  <si>
    <t>72.40630596075023 AUD</t>
  </si>
  <si>
    <t>1.0137420325454514 AUD</t>
  </si>
  <si>
    <t>100.360461222 AUD</t>
  </si>
  <si>
    <t>24.06020896513928 AUD</t>
  </si>
  <si>
    <t>2381.9606875488 AUD</t>
  </si>
  <si>
    <t>7.281553398058264 AUD</t>
  </si>
  <si>
    <t>14.563106796116529 AUD</t>
  </si>
  <si>
    <t>PETERSHAM LIQUOR MART PETERSHAM  AUS Tap and Pay xx4622 Value Date: 22/12/2018</t>
  </si>
  <si>
    <t>Louis Wayment Burger tip</t>
  </si>
  <si>
    <t xml:space="preserve">IGA DRUMMOYNE DRUMMOYNE AU Card xx8882 </t>
  </si>
  <si>
    <t xml:space="preserve">Transfer From JONATHAN OLIVER
lunch </t>
  </si>
  <si>
    <t xml:space="preserve">IGA DRUMMOYNE DRUMMOYNE AU
Card xx8882 </t>
  </si>
  <si>
    <t xml:space="preserve">D&amp;B Drummoyne Drummoyne NS AUS
Tap and Pay xx2711
Value Date: 04/07/2021 </t>
  </si>
  <si>
    <t xml:space="preserve">UBER *EATS Sydney AU AUS
Card xx8882
Value Date: 04/07/2021 </t>
  </si>
  <si>
    <t>SERVICE NSW SYDNEY AUS
Card xx8882
Value Date: 02/07/2021</t>
  </si>
  <si>
    <t>NRMA WEB SYDNEY NS AUS
Card xx8882
Value Date: 02/07/2021</t>
  </si>
  <si>
    <t>Salary SERVAUPAYROLL 20185P 85920286</t>
  </si>
  <si>
    <t>Direct Debit 314011 SUMO PAYWAY3004036904</t>
  </si>
  <si>
    <t>ROLAND TECHNICAL SER DEE WHY NS AUS Card xx8882 Value Date: 09/07/2021</t>
  </si>
  <si>
    <t>7-ELEVEN 2048 DRUMMOYNE NS AUS Card xx8882 Value Date: 10/07/2021</t>
  </si>
  <si>
    <t>UBER *EATS Sydney AU AUS Card xx8882 Value Date: 11/07/2021</t>
  </si>
  <si>
    <t>COLES 0849 DRUMMOYNE AU AUS Card xx8882 Value Date: 12/07/2021</t>
  </si>
  <si>
    <t>FS *Akai Pro Amsterdam NL NLD Card xx8882 AUD 15.99 Value Date: 14/07/2021</t>
  </si>
  <si>
    <t>Telstra Direct Debit AUSTRALIA SA AUS Card xx8882 Value Date: 15/07/2021</t>
  </si>
  <si>
    <t>Wdl ATM CAS CASHCARD DRUMMOYNENS AU</t>
  </si>
  <si>
    <t>UBER *EATS Sydney AU AUS Card xx8882 Value Date: 16/07/2021</t>
  </si>
  <si>
    <t>TELECOM BILLING SOUTH MELBOUR VI AUS Card xx8882 Value Date: 16/07/2021</t>
  </si>
  <si>
    <t>7-ELEVEN 2048 DRUMMOYNE NS AUS Card xx8882 Value Date: 20/07/2021</t>
  </si>
  <si>
    <t>Salary SERVAUPAYROLL 20264P 85920286</t>
  </si>
  <si>
    <t>BUNNINGS 595000 ASHFIELD AU Card xx8882</t>
  </si>
  <si>
    <t>COLES 0849 DRUMMOYNE AU AUS Card xx8882 Value Date: 24/07/2021</t>
  </si>
  <si>
    <t>SIENELLA PTY LTD RODD POINT NS AUS Card xx8882 Value Date: 25/07/2021</t>
  </si>
  <si>
    <t>Transfer From VARDANEGA DANIEL Winnings</t>
  </si>
  <si>
    <t>Transfer From Homayoun Present</t>
  </si>
  <si>
    <t>Transfer To Danny Vardanega CommBank App gamblor</t>
  </si>
  <si>
    <t>Direct Debit 245164 HCFHEALTHANDLIFE 057233969SNGZEO00H</t>
  </si>
  <si>
    <t>COLES 0849 DRUMMOYNE AU AUS Card xx8882 Value Date: 30/07/2021</t>
  </si>
  <si>
    <t>THE REJECT SHOP 2299 GLEBE NS AUS Card xx8882 Value Date: 31/07/2021</t>
  </si>
  <si>
    <t>JIMS COMPUTER SERVIC GUILDFORD AU</t>
  </si>
  <si>
    <t>DESTROS PHARMACY DRUMMOYNE NS AUS Card xx8882 Value Date: 31/07/2021</t>
  </si>
  <si>
    <t>SUMO POWER SOUTH MELBOUR AUS Card xx8882 Value Date: 03/08/2021</t>
  </si>
  <si>
    <t>Salary SERVAUPAYROLL 20095P 85920286</t>
  </si>
  <si>
    <t>WWW.DEVICEDEAL.COM.AU VERMONT VI AUS Card xx8882 Value Date: 07/08/2021</t>
  </si>
  <si>
    <t>Transfer To CoinSpot NetBank 996301576672</t>
  </si>
  <si>
    <t>Transfer To CoinSpot NetBank 996301576640</t>
  </si>
  <si>
    <t>LIQUORLAND 3301 DRUMMOYNE AU AUS Card xx8882 Value Date: 09/08/2021</t>
  </si>
  <si>
    <t>COLES 0849 DRUMMOYNE AU AUS Card xx8882 Value Date: 09/08/2021</t>
  </si>
  <si>
    <t>CONQUEST PTY LTD DRUMMOYNE NS AUS Card xx8882 Value Date: 10/08/2021</t>
  </si>
  <si>
    <t>CITYOFSYDNEY PARKING SYDNEY AUS Card xx8882 Value Date: 10/08/2021</t>
  </si>
  <si>
    <t>HARRIS FARM MARKETS DRUMMOYNE AU Card xx8882</t>
  </si>
  <si>
    <t>TELECOM BILLING SOUTH MELBOUR VI AUS Card xx8882 Value Date: 16/08/2021</t>
  </si>
  <si>
    <t>Telstra Direct Debit AUSTRALIA SA AUS Card xx8882 Value Date: 16/08/2021</t>
  </si>
  <si>
    <t>Salary SERVAUPAYROLL 20414P 85920286</t>
  </si>
  <si>
    <t>Transfer To CoinSpot NetBank 996302268718</t>
  </si>
  <si>
    <t>Transfer From H Roozbehani Present from Father</t>
  </si>
  <si>
    <t>Transfer To CoinSpot NetBank 996302431482</t>
  </si>
  <si>
    <t>International Transaction Fee Value Date: 22/08/2021</t>
  </si>
  <si>
    <t>PLUGINFOX PORTLAND OR USA Card xx8882 USD 139.00 Value Date: 22/08/2021</t>
  </si>
  <si>
    <t>BANDCAMP S THE DJ 402-935-7733 CA USA Card xx8882 EUR 1.43 Value Date: 22/08/2021</t>
  </si>
  <si>
    <t>7-ELEVEN 2048 DRUMMOYNE NS AUS Card xx8882 Value Date: 27/08/2021</t>
  </si>
  <si>
    <t>Direct Debit 245164 HCFHEALTHANDLIFE 057233969SXTF8KW6K</t>
  </si>
  <si>
    <t>Salary SERVAUPAYROLL 21151P 85920286</t>
  </si>
  <si>
    <t>SUMO POWER SOUTH MELBOUR AUS Card xx8882 Value Date: 02/09/2021</t>
  </si>
  <si>
    <t>UBER *EATS Sydney AU AUS Card xx8882 Value Date: 03/09/2021</t>
  </si>
  <si>
    <t>UBER *EATS Sydney AU AUS Card xx8882 Value Date: 05/09/2021</t>
  </si>
  <si>
    <t>UBER *EATS Sydney AU AUS Card xx8882 Value Date: 04/09/2021</t>
  </si>
  <si>
    <t>COLES 0849 DRUMMOYNE AU AUS Card xx8882 Value Date: 05/09/2021</t>
  </si>
  <si>
    <t>Transfer To CoinSpot NetBank 996303386356</t>
  </si>
  <si>
    <t>AMAZON MKTPLC AU SYDNEY SOUTH NS AUS Card xx8882 Value Date: 07/09/2021</t>
  </si>
  <si>
    <t>LIQUORLAND 3301 DRUMMOYNE AU AUS Card xx8882 Value Date: 10/09/2021</t>
  </si>
  <si>
    <t>COLES 0849 DRUMMOYNE AU AUS Card xx8882 Value Date: 10/09/2021</t>
  </si>
  <si>
    <t>UBER *EATS Sydney AU AUS Card xx8882 Value Date: 11/09/2021</t>
  </si>
  <si>
    <t>UTS HABERFIELD CLUB HABERFIELD NS AUS Card xx8882 Value Date: 11/09/2021</t>
  </si>
  <si>
    <t>AGL RETAIL ENERGY NetBank BPAY 208892 70804298439409530129 Victoria Pl gas</t>
  </si>
  <si>
    <t>Telstra Direct Debit AUSTRALIA SA AUS Card xx8882 Value Date: 14/09/2021</t>
  </si>
  <si>
    <t>Transfer To MASOUMEH GHOLAMSHAHI CommBank App iou</t>
  </si>
  <si>
    <t>TELECOM BILLING SOUTH MELBOUR VI AUS Card xx8882 Value Date: 16/09/2021</t>
  </si>
  <si>
    <t>COLES 0849 DRUMMOYNE AU AUS Card xx8882 Value Date: 15/09/2021</t>
  </si>
  <si>
    <t>COLES 0849 DRUMMOYNE AU AUS Card xx8882 Value Date: 19/09/2021</t>
  </si>
  <si>
    <t>Transfer To CoinSpot NetBank 996304227309</t>
  </si>
  <si>
    <t>UBER *EATS Sydney AU AUS Card xx8882 Value Date: 26/09/2021</t>
  </si>
  <si>
    <t>UBER *EATS Sydney AU AUS Card xx8882 Value Date: 27/09/2021</t>
  </si>
  <si>
    <t>Direct Credit 301500 Rent Trust Accou REIM GAS BILL</t>
  </si>
  <si>
    <t>Salary SERVAUPAYROLL 20070P 85920286</t>
  </si>
  <si>
    <t>Direct Debit 245164 HCFHEALTHANDLIFE 057233969SG52ZKZ4X</t>
  </si>
  <si>
    <t>Cardless Cash for collection shopping</t>
  </si>
  <si>
    <t>Cardless Cash return petrol</t>
  </si>
  <si>
    <t>Cardless Cash for collection petrol</t>
  </si>
  <si>
    <t>CommBank app TFR to 0451757385 iou</t>
  </si>
  <si>
    <t>STEAMGAMES.COM 4259522 Hamburg DE DEU Card xx8882 AUD 42.95 Value Date: 01/10/2021</t>
  </si>
  <si>
    <t>Transfer To Sue Maree Hamilton PayID Phone from CommBank App for rodney</t>
  </si>
  <si>
    <t>HARRIS FARM MARKETS DRUMMOYNE AU Card xx8188</t>
  </si>
  <si>
    <t>7-ELEVEN 2048 DRUMMOYNE NS AUS Card xx8188 Value Date: 09/10/2021</t>
  </si>
  <si>
    <t>UBER *EATS Sydney AU AUS Card xx8188 Value Date: 10/10/2021</t>
  </si>
  <si>
    <t>Salary SERVAUPAYROLL 20081P 85920286</t>
  </si>
  <si>
    <t>BEATPORT 720-974-9500 CO USA Card xx8188 AUD 1.86 Value Date: 13/10/2021</t>
  </si>
  <si>
    <t>COLES 0849 DRUMMOYNE AU AUS Card xx8188 Value Date: 12/10/2021</t>
  </si>
  <si>
    <t>ALDI STORES - DRUMMOYN DRUMMOYNE AU Card xx8188</t>
  </si>
  <si>
    <t>CommBank app TFR from ZAHRA NOURI EMAM Ubee</t>
  </si>
  <si>
    <t>Transfer From H Roozbehani Soon will be your Birthday</t>
  </si>
  <si>
    <t>LIQUORLAND 3301 DRUMMOYNE AU AUS Card xx8188 Value Date: 16/10/2021</t>
  </si>
  <si>
    <t>UBER *TRIP Sydney AU AUS Card xx8188 Value Date: 17/10/2021</t>
  </si>
  <si>
    <t>TRANSPORTFORNSW TAP SYDNEY AUS Card xx8188 Value Date: 18/10/2021</t>
  </si>
  <si>
    <t>HARRIS FARM MARKETS DRUMMOYNE AU</t>
  </si>
  <si>
    <t>SUMO POWER SOUTH MELBOUR AUS Card xx8188 Value Date: 19/10/2021</t>
  </si>
  <si>
    <t>KATOOMBA WINES KATOOMBA NSWAU</t>
  </si>
  <si>
    <t>TELECOM BILLING SOUTH MELBOUR VI AUS Card xx8188 Value Date: 20/10/2021</t>
  </si>
  <si>
    <t>Bottle Shop Blackheath AU</t>
  </si>
  <si>
    <t>NEW IVANHOE HOTEL Blackheath AU</t>
  </si>
  <si>
    <t>7-ELEVEN 2048 DRUMMOYNE NS AUS Card xx8188 Value Date: 21/10/2021</t>
  </si>
  <si>
    <t>Transfer To Kieran Krohn CommBank App accomodation</t>
  </si>
  <si>
    <t>IGA BLACKHEATH BLACKHEATH AUS Card xx8188 Value Date: 23/10/2021</t>
  </si>
  <si>
    <t>SMP*Victory Cafe Blackheath AU AUS Card xx8188 Value Date: 24/10/2021</t>
  </si>
  <si>
    <t>PAPADINOS KATOOMBA KATOOMBA NS AUS Card xx8188 Value Date: 22/10/2021</t>
  </si>
  <si>
    <t>Salary SERVAUPAYROLL 20351P 85920286</t>
  </si>
  <si>
    <t>NYMP PTY LTD NEWTOWN NSWAU</t>
  </si>
  <si>
    <t>SQ *ANYTHING BUT HUMBL Erskineville AU</t>
  </si>
  <si>
    <t>SQ *ANYTHING BUT HUMBL Alexandria AU</t>
  </si>
  <si>
    <t>Direct Debit 245164 HCFHEALTHANDLIFE 057233969SHMNETX2J</t>
  </si>
  <si>
    <t>Transfer To CoinSpot NetBank 996306738178</t>
  </si>
  <si>
    <t>Wdl ATM CUS AB HOTEL GLEBE NS AU</t>
  </si>
  <si>
    <t>LIQUORLAND 3301 DRUMMOYNE AU AUS Card xx8188 Value Date: 29/10/2021</t>
  </si>
  <si>
    <t>COLES 0849 DRUMMOYNE AU AUS Card xx8188 Value Date: 29/10/2021</t>
  </si>
  <si>
    <t>Dick's Hotel Balmain Balmain NS AUS Card xx8188 Value Date: 30/10/2021</t>
  </si>
  <si>
    <t>UBER *TRIP Sydney AU AUS Card xx8188 Value Date: 30/10/2021</t>
  </si>
  <si>
    <t>UNIVERSAL NEWTOWN PT NEWTOWN AUS Card xx8188 Value Date: 30/10/2021</t>
  </si>
  <si>
    <t>GM CABS PTY LTD MASCOT AUS Card xx8188 Value Date: 30/10/2021</t>
  </si>
  <si>
    <t>Transfer From DANIEL LOLLBACK Dan Lollback share of dinner</t>
  </si>
  <si>
    <t>Transfer From JOHN MINAI Italian dinner</t>
  </si>
  <si>
    <t>Transfer From AARON D'ABRUZZO Boyz Dinner Aaron</t>
  </si>
  <si>
    <t>Transfer From JACK BOSENBERG dinner</t>
  </si>
  <si>
    <t>The Oaks Hotel Neutral Bay NS AUS Card xx8188 Value Date: 06/11/2021</t>
  </si>
  <si>
    <t>The Oaks Hotel Neutral Bay NS AUS Card xx8188 Value Date: 07/11/2021</t>
  </si>
  <si>
    <t>UBER *EATS Sydney AU AUS Card xx8188 Value Date: 06/11/2021</t>
  </si>
  <si>
    <t>UBER *TRIP Sydney AU AUS Card xx8188 Value Date: 06/11/2021</t>
  </si>
  <si>
    <t>COLES EXPRESS 1607 CREMORNE AU AUS Card xx8188 Value Date: 07/11/2021</t>
  </si>
  <si>
    <t>ENOTECA 128 NEUTRAL BAY NS AUS Card xx8188 Value Date: 06/11/2021</t>
  </si>
  <si>
    <t>GM CABS PTY LTD MASCOT AUS Card xx8188 Value Date: 05/11/2021</t>
  </si>
  <si>
    <t>MCDONALDS CREMORNE CREMORNE AUS Card xx8188 Value Date: 07/11/2021</t>
  </si>
  <si>
    <t>MINSKYS HOTEL CREMORNE AUS Card xx8188 Value Date: 07/11/2021</t>
  </si>
  <si>
    <t>CAMINETTO ITALIAN RE THE ROCKS NS AUS Card xx8188 Value Date: 05/11/2021</t>
  </si>
  <si>
    <t>Salary SERVAUPAYROLL 20073P 85920286</t>
  </si>
  <si>
    <t>Direct Debit 314011 SUMO PAYWAY3086493381</t>
  </si>
  <si>
    <t>TELSTRA CORP LTD CommBank app BPAY 23796 2000710343987 telatra bill</t>
  </si>
  <si>
    <t>COLES 0849 DRUMMOYNE AU AUS Card xx8188 Value Date: 13/11/2021</t>
  </si>
  <si>
    <t>ROLLING CAFE AUSTRAL DRUMMOYNE NS AUS Card xx8188 Value Date: 14/11/2021</t>
  </si>
  <si>
    <t>ALDI STORES - DRUMMOYN DRUMMOYNE AUS Card xx8188 Value Date: 13/11/2021</t>
  </si>
  <si>
    <t>COLES 0849 DRUMMOYNE AU AUS Card xx8188 Value Date: 16/11/2021</t>
  </si>
  <si>
    <t>COLES 0849 DRUMMOYNE AU AUS Card xx8188 Value Date: 18/11/2021</t>
  </si>
  <si>
    <t>POLITIX BIRKIN HEAD DRUMMOYNE NS AUS Card xx8188 Value Date: 18/11/2021</t>
  </si>
  <si>
    <t>MCDONALDS DURAL DURAL NSWAU</t>
  </si>
  <si>
    <t>Transfer From Sofie Teh Thnx 5eva</t>
  </si>
  <si>
    <t>7-ELEVEN 2048 DRUMMOYNE NS AUS Card xx8188 Value Date: 20/11/2021</t>
  </si>
  <si>
    <t>SETTLERS ARMS INN ST ALBANS NS AUS Card xx8188 Value Date: 20/11/2021</t>
  </si>
  <si>
    <t>UBER *EATS Sydney AU AUS Card xx8188 Value Date: 22/11/2021</t>
  </si>
  <si>
    <t>Transfer To RAMTEAN ROOZBEHANI CommBank App gig and domain</t>
  </si>
  <si>
    <t>Salary SERVAUPAYROLL 20171P 85920286</t>
  </si>
  <si>
    <t>7-ELEVEN 2048 DRUMMOYNE NS AUS Card xx8188 Value Date: 25/11/2021</t>
  </si>
  <si>
    <t>Direct Debit 502642 Telecom Billing 3014468:5527156:30</t>
  </si>
  <si>
    <t>COLES 0849 DRUMMOYNE AU AUS Card xx8188 Value Date: 25/11/2021</t>
  </si>
  <si>
    <t>AMAZON MKTPLC AU SYDNEY SOUTH NS AUS Card xx8188 Value Date: 28/11/2021</t>
  </si>
  <si>
    <t>Direct Debit 245164 HCFHEALTHANDLIFE 057233969S9NDPRQ6E</t>
  </si>
  <si>
    <t>UBER *EATS Sydney AU AUS Card xx8188 Value Date: 29/11/2021</t>
  </si>
  <si>
    <t>UBER *EATS Sydney AU AUS Card xx8188 Value Date: 30/11/2021</t>
  </si>
  <si>
    <t>Transfer To CoinSpot NetBank 996308729615</t>
  </si>
  <si>
    <t>EASTWOOD NEW YEN YEN EASTWOOD NS AUS Card xx8188 Value Date: 04/12/2021</t>
  </si>
  <si>
    <t>DOORDASH*JASMIN 1 MELBOURNE VI AUS Card xx8188 Value Date: 05/12/2021</t>
  </si>
  <si>
    <t>UBER *EATS Sydney AU AUS Card xx8188 Value Date: 05/12/2021</t>
  </si>
  <si>
    <t>Transfer From Homayoun Happy Birthday Rodean Jan</t>
  </si>
  <si>
    <t>Salary SERVAUPAYROLL 20113P 85920286</t>
  </si>
  <si>
    <t>Oxford Hotel DRUMMOYNE AU AUS Card xx8188 Value Date: 09/12/2021</t>
  </si>
  <si>
    <t>UBER *EATS Sydney AU AUS Card xx8188 Value Date: 11/12/2021</t>
  </si>
  <si>
    <t>UBER *EATS Sydney AU AUS Card xx8188 Value Date: 13/12/2021</t>
  </si>
  <si>
    <t>Direct Debit 617704 PAYPAL AUSTRALIA 1017409756114</t>
  </si>
  <si>
    <t>Transfer From RODNEY MAZIK Too the moon</t>
  </si>
  <si>
    <t>Direct Debit 314011 SUMO PAYWAY3108005352</t>
  </si>
  <si>
    <t>Transfer To MASOUMEH GHOLAMSHAHI CommBank App halves for dinner</t>
  </si>
  <si>
    <t>Reversal Transfer To Soheyla Gholamshahi Invalid creditor account</t>
  </si>
  <si>
    <t>Transfer To Soheyla Gholamshahi CommBank App paying halves for dinner</t>
  </si>
  <si>
    <t>DOORDASH*JASMIN 1 MELBOURNE VI AUS Card xx8188 Value Date: 16/12/2021</t>
  </si>
  <si>
    <t>PAYPAL *SOREMIX 4029357733 AU AUS Card xx8188 Value Date: 15/12/2021</t>
  </si>
  <si>
    <t>Return PAYPAL *SOREMIX 4029357733 AU AUS Card xx8188 Value Date: 16/12/2021</t>
  </si>
  <si>
    <t>IGA DRUMMOYNE DRUMMOYNE AU Card xx8188</t>
  </si>
  <si>
    <t>Direct Debit 502642 Telecom Billing 3014468:5527669:16</t>
  </si>
  <si>
    <t>NATIVE INSTRUMENTS BERLIN BE DEU Card xx8188 AUD 893.25 Value Date: 17/12/2021</t>
  </si>
  <si>
    <t>DOORDASH*JASMIN 1 MELBOURNE VI AUS Card xx8188 Value Date: 17/12/2021</t>
  </si>
  <si>
    <t>AMAZON MKTPLC AU SYDNEY SOUTH NS AUS Card xx8188 Value Date: 18/12/2021</t>
  </si>
  <si>
    <t>NATIVE INSTRUMENTS BERLIN BE DEU Card xx8188 AUD 149.00 Value Date: 18/12/2021</t>
  </si>
  <si>
    <t>COLES 0829 NEUTRAL BAY AU AUS Card xx8188 Value Date: 19/12/2021</t>
  </si>
  <si>
    <t>The Oaks Hotel Neutral Bay NS AUS Card xx8188 Value Date: 19/12/2021</t>
  </si>
  <si>
    <t>INTERNATIONAL PARKING RANDWICK AU Card xx8188</t>
  </si>
  <si>
    <t>DESTROS PHARMACY DRUMMOYNE NS AUS Card xx8188 Value Date: 19/12/2021</t>
  </si>
  <si>
    <t>CHEMIST WAREHOUSE BIRK DRUMMOYNE NS AUS Card xx8188 Value Date: 18/12/2021</t>
  </si>
  <si>
    <t>Direct Debit 314011 SUMO PAYWAY3111514892</t>
  </si>
  <si>
    <t>PASTICCERIA PAPA FIV FIVE DOCK AU Card xx8188</t>
  </si>
  <si>
    <t>Love Crepe Russell Lea NS AUS Card xx8188 Value Date: 21/12/2021</t>
  </si>
  <si>
    <t>Salary SERVAUPAYROLL 20291P 85920286</t>
  </si>
  <si>
    <t>Direct Debit 507426 ENERGY LOCALS 424273</t>
  </si>
  <si>
    <t>Transfer From H Roozbehani Merry Christmas and Happy New</t>
  </si>
  <si>
    <t>NATIVE INSTRUMENTS BERLIN BE DEU Card xx8188 AUD 299.00 Value Date: 23/12/2021</t>
  </si>
  <si>
    <t>DYMOCKS ONLINE SYDNEY AUS Card xx8188 Value Date: 24/12/2021</t>
  </si>
  <si>
    <t>Transfer To Zahra Nouri Emamzadeh CommBank App iou</t>
  </si>
  <si>
    <t>SQ *SHILA KITCHEN Balmain AU</t>
  </si>
  <si>
    <t>MECCA COFFEE ROASTERS ALEXANDRIA NS AUS Card xx8188 Value Date: 24/12/2021</t>
  </si>
  <si>
    <t>DOORDASH*IGA SUPERMARK MELBOURNE VI AUS Card xx8188 Value Date: 25/12/2021</t>
  </si>
  <si>
    <t>7-ELEVEN 2048 DRUMMOYNE NS AUS Card xx8188 Value Date: 25/12/2021</t>
  </si>
  <si>
    <t>DESTROS PHARMACY DRUMMOYNE NS AUS Card xx8188 Value Date: 27/12/2021</t>
  </si>
  <si>
    <t>Return NATIVE INSTRUMENTS BERLIN BE DEU Card xx8188 AUD 219.00 Value Date: 23/12/2021</t>
  </si>
  <si>
    <t>PLINEPH BIRKENHEADPOI DRUMMOYNE NSWAU</t>
  </si>
  <si>
    <t>BED BATH N TABLE DRUMMOYNE AU</t>
  </si>
  <si>
    <t>Return MECCA COFFEE ROASTERS ALEXANDRIA NS AUS Card xx8188 Value Date: 30/12/2021</t>
  </si>
  <si>
    <t>Direct Debit 245164 HCFHEALTHANDLIFE 057233969SIJC37JKB</t>
  </si>
  <si>
    <t>Transfer To CoinSpot NetBank 996310272076</t>
  </si>
  <si>
    <t>Transfer To CoinSpot NetBank 996310271949</t>
  </si>
  <si>
    <t>Transfer from xx8675 CommBank app transfer</t>
  </si>
  <si>
    <t>MCDONALDS DRUMMOYNE DRUMMOYNE NSWAU Value Date: 06/01/2022</t>
  </si>
  <si>
    <t>Transfer From ZAHRA NOURI EMAMZADEH Zahra Burger Value Date: 06/01/2022</t>
  </si>
  <si>
    <t>LIQUORLAND 3301 DRUMMOYNE AU AUS Card xx8188 Value Date: 31/12/2021</t>
  </si>
  <si>
    <t>COLES 0849 DRUMMOYNE AU AUS Card xx8188 Value Date: 31/12/2021</t>
  </si>
  <si>
    <t>COLES 0849 DRUMMOYNE AU AUS Card xx8188 Value Date: 04/01/2022</t>
  </si>
  <si>
    <t>Salary SERVAUPAYROLL 19263P 85920286</t>
  </si>
  <si>
    <t>Transfer From ZAHRA NOURI EMAMZADEH zahra Dinner</t>
  </si>
  <si>
    <t>JASMIN 1 LEICHHARDT LEICHHARDT NSWAU</t>
  </si>
  <si>
    <t>Transfer From ZAHRA NOURI EMAMZADEH ZahraLunch</t>
  </si>
  <si>
    <t>DESTROS PHARMACY DRUMMOYNE NS AUS Card xx8188 Value Date: 09/01/2022</t>
  </si>
  <si>
    <t>DOMINOS DRUMMOYNE DRUMMOYNE NS AUS Card xx8188 Value Date: 08/01/2022</t>
  </si>
  <si>
    <t>NIKAN RESTAURANT RYDE NSW AU</t>
  </si>
  <si>
    <t>COLES 4788 FIVE DOCK AU AUS Card xx8188 Value Date: 11/01/2022</t>
  </si>
  <si>
    <t>Transfer From ZAHRA NOURI EMAMZADEH Zahra Nikan dinner</t>
  </si>
  <si>
    <t>PA RYDE ISE SUPERMARK RYDE NS AUS Card xx8188 Value Date: 14/01/2022</t>
  </si>
  <si>
    <t>International Transaction Fee Value Date: 16/01/2022</t>
  </si>
  <si>
    <t>DISTROKID.COM NEW YORK CITY NY USA Card xx8188 USD 35.99 Value Date: 16/01/2022</t>
  </si>
  <si>
    <t>PAYPAL *TECONTROLAB 4029357733 AU AUS Card xx8188 Value Date: 17/01/2022</t>
  </si>
  <si>
    <t>OFFICEWORKS 0209 GLEBE AU AUS Card xx8188 Value Date: 18/01/2022</t>
  </si>
  <si>
    <t>NATIVE INSTRUMENTS BERLIN BE DEU Card xx8188 AUD 388.00 Value Date: 18/01/2022</t>
  </si>
  <si>
    <t>OFFICEWORKS BENTLEIGH EAS AUS Card xx8188 Value Date: 18/01/2022</t>
  </si>
  <si>
    <t>Salary SERVAUPAYROLL 20402P 85920286</t>
  </si>
  <si>
    <t>Direct Debit 502642 Telecom Billing 3014468:5530949:21</t>
  </si>
  <si>
    <t>Transfer To Louis Wayment CommBank App iou</t>
  </si>
  <si>
    <t>Direct Debit 314011 SUMO PAYWAY3130950061</t>
  </si>
  <si>
    <t>COLES 4788 FIVE DOCK AU AUS Card xx8188 Value Date: 21/01/2022</t>
  </si>
  <si>
    <t>KADMUS ON THE GO P/L DRUMMOYNE NS AUS Card xx8188 Value Date: 20/01/2022</t>
  </si>
  <si>
    <t>IL POLLO FIVE DOCK FIVE DOCK NS AUS Card xx8188 Value Date: 21/01/2022</t>
  </si>
  <si>
    <t>Dick's Hotel Balmain Balmain NS AUS Card xx8188 Value Date: 22/01/2022</t>
  </si>
  <si>
    <t>TOP FRUIT MARKET DRUMMOYNE NS AUS Card xx8188 Value Date: 23/01/2022</t>
  </si>
  <si>
    <t>COLES 0849 DRUMMOYNE AU AUS Card xx8188 Value Date: 23/01/2022</t>
  </si>
  <si>
    <t>COLES 4788 FIVE DOCK AU AUS Card xx8188 Value Date: 25/01/2022</t>
  </si>
  <si>
    <t>Direct Debit 245164 HCFHEALTHANDLIFE 057233969S10W8QA6W</t>
  </si>
  <si>
    <t>Transfer To CoinSpot NetBank 996311638519</t>
  </si>
  <si>
    <t>UBER *EATS Sydney AU AUS Card xx8188 Value Date: 28/01/2022</t>
  </si>
  <si>
    <t>IGA DRUMMOYNE QPS DRUMMOYNE AUS Card xx8188 Value Date: 29/01/2022</t>
  </si>
  <si>
    <t>7-ELEVEN 2048 DRUMMOYNE NS AUS Card xx8188 Value Date: 29/01/2022</t>
  </si>
  <si>
    <t>FiverrEU Nicosia CY CYP Card xx8188 AUD 142.17 Value Date: 01/02/2022</t>
  </si>
  <si>
    <t>Salary SERVAUPAYROLL 20491P 85920286</t>
  </si>
  <si>
    <t>HARRY JUICE &amp; CO PTY L DRUMMOYNE AU</t>
  </si>
  <si>
    <t>DOORDASH*JASMIN 1 MELBOURNE VI AUS Card xx8188 Value Date: 02/02/2022</t>
  </si>
  <si>
    <t>TOP FRUIT AND SONS DRUMMOYNE AU Card xx8188</t>
  </si>
  <si>
    <t>International Transaction Fee Value Date: 03/02/2022</t>
  </si>
  <si>
    <t>SUBMITHUB HOLDINGS LLC 2183964074 DE USA Card xx8188 USD 72.00 Value Date: 03/02/2022</t>
  </si>
  <si>
    <t>UBER *EATS Sydney AU AUS Card xx8188 Value Date: 03/02/2022</t>
  </si>
  <si>
    <t>FiverrEU Nicosia CY CYP Card xx8188 AUD 23.95 Value Date: 03/02/2022</t>
  </si>
  <si>
    <t>PA RYDE ISE SUPERMARK RYDE NSW AU</t>
  </si>
  <si>
    <t>Transfer From ZAHRA NOURI EMAMZADEH Zahra lunch</t>
  </si>
  <si>
    <t>FARSI RESTAURANT PTY RYDE AU</t>
  </si>
  <si>
    <t>TOP FRUIT MARKET DRUMMOYNE NS AUS Card xx8188 Value Date: 04/02/2022</t>
  </si>
  <si>
    <t>COLES 0849 DRUMMOYNE AU AUS Card xx8188 Value Date: 05/02/2022</t>
  </si>
  <si>
    <t>Transfer From ZAHRA NOURI EMAMZADEH Zahra dinner</t>
  </si>
  <si>
    <t>Audible Australia MELBOURNE AU AUS Card xx8188 Value Date: 10/02/2022</t>
  </si>
  <si>
    <t>MANTA WHARF PL WOOLLOOMOOLOO NSW AU Card xx8188</t>
  </si>
  <si>
    <t>CHARGRILL CHARLIES Drummoyne NS AUS Card xx8188 Value Date: 11/02/2022</t>
  </si>
  <si>
    <t>The General &amp; Co. Lilyfield NS AUS Card xx8188 Value Date: 13/02/2022</t>
  </si>
  <si>
    <t>DESTROS PHARMACY DRUMMOYNE NS AUS Card xx8188 Value Date: 14/02/2022</t>
  </si>
  <si>
    <t>UBER *TRIP Sydney AU AUS Card xx8188 Value Date: 14/02/2022</t>
  </si>
  <si>
    <t>Direct Debit 502642 Telecom Billing 3014468:5531678:16</t>
  </si>
  <si>
    <t>UBER *EATS Sydney AU AUS Card xx8188 Value Date: 15/02/2022</t>
  </si>
  <si>
    <t>GM CABS PTY LTD MASCOT AUS Card xx8188 Value Date: 14/02/2022</t>
  </si>
  <si>
    <t>Salary SERVAUPAYROLL 20385P 85920286</t>
  </si>
  <si>
    <t>COLES 0849 DRUMMOYNE AU AUS Card xx8188 Value Date: 16/02/2022</t>
  </si>
  <si>
    <t>SoundCloud Berlin DE DEU Card xx8188 AUD 145.00 Value Date: 17/02/2022</t>
  </si>
  <si>
    <t>Transfer To CoinSpot NetBank 996312644268</t>
  </si>
  <si>
    <t>DOORDASH*JASMIN 1 MELBOURNE VI AUS Card xx8188 Value Date: 20/02/2022</t>
  </si>
  <si>
    <t>UBER *EATS Sydney AU AUS Card xx8188 Value Date: 20/02/2022</t>
  </si>
  <si>
    <t>DESTROS PHARMACY DRUMMOYNE NS AUS Card xx8188 Value Date: 19/02/2022</t>
  </si>
  <si>
    <t>Hurricane's Top Ryde Ryde NS AUS Card xx8188 Value Date: 22/02/2022</t>
  </si>
  <si>
    <t>Direct Debit 314011 SUMO PAYWAY3153037621</t>
  </si>
  <si>
    <t>The Party People - Dr Drummoyne AU</t>
  </si>
  <si>
    <t>Subway Birkenhead Point 19 Roseby StrAU</t>
  </si>
  <si>
    <t>ROSE TURKISH GOZLEME HOUS DRUMMOY NSW AU Card xx8188</t>
  </si>
  <si>
    <t>Direct Debit 245164 HCFHEALTHANDLIFE 057233969SDSSRHU8K</t>
  </si>
  <si>
    <t>Telstra Direct Debit AUSTRALIA SA AUS Card xx8188 Value Date: 24/02/2022</t>
  </si>
  <si>
    <t>7-ELEVEN 2048 DRUMMOYNE NS AUS Card xx8188 Value Date: 26/02/2022</t>
  </si>
  <si>
    <t>TURRAMURRA SUPERMARK TURRAMURRA NS AUS Card xx8188 Value Date: 26/02/2022</t>
  </si>
  <si>
    <t>DOORDASH*JASMIN 1 MELBOURNE VI AUS Card xx8188 Value Date: 28/02/2022</t>
  </si>
  <si>
    <t>Transfer From Mr Louis Robert Reynolds W Jasmine one dinner</t>
  </si>
  <si>
    <t>COLES 0849 DRUMMOYNE AU AUS Card xx8188 Value Date: 28/02/2022</t>
  </si>
  <si>
    <t>Salary SERVAUPAYROLL 21105P 85920286</t>
  </si>
  <si>
    <t>Transfer From RAMTEAN ROOZBEHANI dirtyfeet</t>
  </si>
  <si>
    <t>COLES 0849 DRUMMOYNE AU AUS Card xx8188 Value Date: 01/03/2022</t>
  </si>
  <si>
    <t>DOORDASH*JASMIN 1 MELBOURNE VI AUS Card xx8188 Value Date: 02/03/2022</t>
  </si>
  <si>
    <t>SCORPTEC COMPUTERS AUBURN NSWAU</t>
  </si>
  <si>
    <t>SCORPTEC COMPUTERS CLAYTON AUS Card xx8188 Value Date: 08/03/2022</t>
  </si>
  <si>
    <t>DOORDASH*JASMIN 1 MELBOURNE VI AUS Card xx8188 Value Date: 09/03/2022</t>
  </si>
  <si>
    <t>Audible Limited AU MELBOURNE AU AUS Card xx8188 Value Date: 10/03/2022</t>
  </si>
  <si>
    <t>UBER *EATS Sydney AU AUS Card xx8188 Value Date: 10/03/2022</t>
  </si>
  <si>
    <t>Transfer From ZAHRA NOURI EMAMZADEH Lunch and coffee</t>
  </si>
  <si>
    <t>HARE G PTY LTD SURRY HILLS AU Card xx8188</t>
  </si>
  <si>
    <t>IGA DRUMMOYNE DRUMMOYNE AUS Card xx8188 Value Date: 11/03/2022</t>
  </si>
  <si>
    <t>CHARGRILL MOSMAN Mosman NS AUS Card xx8188 Value Date: 13/03/2022</t>
  </si>
  <si>
    <t>Direct Debit 502642 Telecom Billing 3014468:5534867:16</t>
  </si>
  <si>
    <t>TENKOMORI SYDNEY AU Card xx8188</t>
  </si>
  <si>
    <t>COLES 0849 DRUMMOYNE AU AUS Card xx8188 Value Date: 15/03/2022</t>
  </si>
  <si>
    <t>MLEKO PTY LTD SURRY HILLS NS AUS Card xx8188 Value Date: 15/03/2022</t>
  </si>
  <si>
    <t>WW METRO 1669 SURRY HILLS NS AUS Card xx8188 Value Date: 15/03/2022</t>
  </si>
  <si>
    <t>Salary SERVAUPAYROLL 20415P 85920286</t>
  </si>
  <si>
    <t>Transfer From ZAHRA NOURI EMAMZADEH Zahra dinner farsi</t>
  </si>
  <si>
    <t>SQ *FARSI RESTAURANT Ryde AU</t>
  </si>
  <si>
    <t>TRANSPORTFORNSW TAP SYDNEY AUS Card xx8188 Value Date: 16/03/2022</t>
  </si>
  <si>
    <t>TRANSPORTFORNSW TAP SYDNEY AUS Card xx8188 Value Date: 17/03/2022</t>
  </si>
  <si>
    <t>Transfer to other Bank NetBank netflix</t>
  </si>
  <si>
    <t>Direct Debit 314011 SUMO PAYWAY3170191901</t>
  </si>
  <si>
    <t>GOU SUSHI SURRY HILLS AU</t>
  </si>
  <si>
    <t>AMAZON MARKETPLACE AU SYDNEY SOUTH NS AUS Card xx8188 Value Date: 18/03/2022</t>
  </si>
  <si>
    <t>Telstra Direct Debit AUSTRALIA SA AUS Card xx8188 Value Date: 18/03/2022</t>
  </si>
  <si>
    <t>Monthly Go Plus plan Berlin DE DEU Card xx8188 AUD 5.99 Value Date: 19/03/2022</t>
  </si>
  <si>
    <t>Transfer From ZAHRA NOURI EMAMZADEH Zahra Flowers for Valentine</t>
  </si>
  <si>
    <t>SQ *ELIZABETH STREET Surry Hills AU</t>
  </si>
  <si>
    <t>TRANSPORTFORNSW TAP SYDNEY AUS Card xx8188 Value Date: 22/03/2022</t>
  </si>
  <si>
    <t>TRANSPORTFORNSW TAP SYDNEY AUS Card xx8188 Value Date: 23/03/2022</t>
  </si>
  <si>
    <t>Direct Debit 314011 SUMO PAYWAY3172774116</t>
  </si>
  <si>
    <t>TRANSPORTFORNSW TAP SYDNEY AUS Card xx8188 Value Date: 24/03/2022</t>
  </si>
  <si>
    <t>Transfer From ZAHRA NOURI EMAMZADEH Trip to sunshine</t>
  </si>
  <si>
    <t>Transfer From ZAHRA NOURI EMAMZADEH Zahra Morgh</t>
  </si>
  <si>
    <t>LINDT AND SPRUNGLI AUS NORTH RYDE AU Card xx8188</t>
  </si>
  <si>
    <t>H&amp;M Sydney AU0004 197-223 HerriAU</t>
  </si>
  <si>
    <t>JD SPORTS FASHION AUST MACQUARIE PARAU Card xx8188</t>
  </si>
  <si>
    <t>Transfer To Zahra Nouri Emamzadeh CommBank App difference for noosa fli...</t>
  </si>
  <si>
    <t>Transfer From BISHOP WARREN GRANT to PayID Phone Dumpling _</t>
  </si>
  <si>
    <t>Transfer From BISHOP WARREN GRANT to PayID Phone Dumpling</t>
  </si>
  <si>
    <t>UBER *EATS Sydney AU AUS Card xx8188 Value Date: 25/03/2022</t>
  </si>
  <si>
    <t>International Transaction Fee Value Date: 25/03/2022</t>
  </si>
  <si>
    <t>UNIVERSAL AUDIO 8314401176 CA USA Card xx8188 USD 548.00 Value Date: 25/03/2022</t>
  </si>
  <si>
    <t>7-ELEVEN 2048 DRUMMOYNE NS AUS Card xx8188 Value Date: 26/03/2022</t>
  </si>
  <si>
    <t>KMART 1368 NORTH RYDE AU AUS Card xx8188 Value Date: 26/03/2022</t>
  </si>
  <si>
    <t>JETSTARKI768M MELBOURNE VI AUS Card xx8188 Value Date: 26/03/2022</t>
  </si>
  <si>
    <t>CR MACQUARIE NORTH RYDE NS AUS Card xx8188 Value Date: 26/03/2022</t>
  </si>
  <si>
    <t>TRANSPORTFORNSW TAP SYDNEY AUS Card xx8188 Value Date: 29/03/2022</t>
  </si>
  <si>
    <t>COLES 4788 FIVE DOCK AU AUS Card xx8188 Value Date: 28/03/2022</t>
  </si>
  <si>
    <t>TRANSPORTFORNSW TAP SYDNEY AUS Card xx8188 Value Date: 30/03/2022</t>
  </si>
  <si>
    <t>Salary SERVAUPAYROLL 20511P 85920286</t>
  </si>
  <si>
    <t>Direct Debit 245164 HCFHEALTHANDLIFE 057233969SOJ0V9EXB</t>
  </si>
  <si>
    <t>The Erko Hotel Erskineville NS AUS Card xx8188 Value Date: 30/03/2022</t>
  </si>
  <si>
    <t>SUBWAY HAYMARKET SYDNEY NS AUS Card xx8188 Value Date: 30/03/2022</t>
  </si>
  <si>
    <t>TRANSPORTFORNSW TAP SYDNEY AUS Card xx8188 Value Date: 31/03/2022</t>
  </si>
  <si>
    <t>OIDEN 11 PTY LTD SYDNEY NS AUS Card xx8188 Value Date: 30/03/2022</t>
  </si>
  <si>
    <t>UNCLE TETSU AUSTRALI SYDNEY AU</t>
  </si>
  <si>
    <t>SYDNEY FISH MARKET P PYRMONT AUS Card xx8188 Value Date: 02/04/2022</t>
  </si>
  <si>
    <t>SUBWAY HAYMARKET SYDNEY NS AUS Card xx8188 Value Date: 04/04/2022</t>
  </si>
  <si>
    <t>FISH MARKET CAFE PYRMONT NS AUS Card xx8188 Value Date: 02/04/2022</t>
  </si>
  <si>
    <t>BLACKWALL CAFE CHISWICK NS AUS Card xx8188 Value Date: 02/04/2022</t>
  </si>
  <si>
    <t>TRANSPORTFORNSW TAP SYDNEY AUS Card xx8188 Value Date: 05/04/2022</t>
  </si>
  <si>
    <t>Microsoft*Microsoft 36 msbill.info AU AUS Card xx8188 Value Date: 06/04/2022</t>
  </si>
  <si>
    <t>Transfer From ZAHRA NOURI EMAMZADEH zahra Korean BBQ</t>
  </si>
  <si>
    <t>TCSC PTY LTD HAYMARKET AU Card xx8188</t>
  </si>
  <si>
    <t>UBER *EATS Sydney AU AUS Card xx8188 Value Date: 08/04/2022</t>
  </si>
  <si>
    <t>Audible Limited AU MELBOURNE AU AUS Card xx8188 Value Date: 10/04/2022</t>
  </si>
  <si>
    <t>CHARGRILL CHARLIES Drummoyne NS AUS Card xx8188 Value Date: 11/04/2022</t>
  </si>
  <si>
    <t>TRANSPORTFORNSW TAP SYDNEY AUS Card xx8188 Value Date: 11/04/2022</t>
  </si>
  <si>
    <t>COLES 0849 DRUMMOYNE AU AUS Card xx8188 Value Date: 12/04/2022</t>
  </si>
  <si>
    <t>Salary SERVAUPAYROLL 20504P 85920286</t>
  </si>
  <si>
    <t>MR MANCINO Coolum Beach AU</t>
  </si>
  <si>
    <t>LIVELIFE PHARMACY COOL COOLUM BEACH AU Card xx8188</t>
  </si>
  <si>
    <t>GHANDA COOLUM BEACH AU Card xx8188</t>
  </si>
  <si>
    <t>SUN COAST 131008 MARCOOLA AU</t>
  </si>
  <si>
    <t>AIRBNB * HMYYPBT4CY Surry Hills AU AUS Card xx8188 Value Date: 12/04/2022</t>
  </si>
  <si>
    <t>AIRPORT RETAIL ENTERPR MASCOT AU Card xx8188</t>
  </si>
  <si>
    <t>Transfer From ZAHRA NOURI EMAMZADEH zahra groceries</t>
  </si>
  <si>
    <t>SEASONS SUPERMARKETS 4 NOOSA HEADS AU Card xx8188</t>
  </si>
  <si>
    <t>SMP*Copenhagen Ice Cre Noosa Heads04 AU</t>
  </si>
  <si>
    <t>Transfer From ZAHRA NOURI EMAMZADEH Zahra Steak</t>
  </si>
  <si>
    <t>Transfer From ZAHRA NOURI EMAMZADEH zahra seafood</t>
  </si>
  <si>
    <t>COOLUM THAI SPICE COOLUM BEACH QLD AU</t>
  </si>
  <si>
    <t>Transfer From ZAHRA NOURI EMAMZADEH zahra room and kayak</t>
  </si>
  <si>
    <t>CootharaBAR Boreen Point AU</t>
  </si>
  <si>
    <t>Transfer from xx8675 NetBank ua inflator</t>
  </si>
  <si>
    <t>DIVAN PERSIAN REST RYDE NSW AU</t>
  </si>
  <si>
    <t>Direct Debit 502642 Telecom Billing 3014468:5535800:16</t>
  </si>
  <si>
    <t>COLES 0839 BROADWAY AU AUS Card xx8188 Value Date: 14/04/2022</t>
  </si>
  <si>
    <t>APPLE R523 BROADWAY ULTIMO NS AUS Card xx8188 Value Date: 14/04/2022</t>
  </si>
  <si>
    <t>SQ *KANU KAPERS AUSTR Boreen Point AU AUS Card xx8188 Value Date: 13/04/2022</t>
  </si>
  <si>
    <t>ZLR*mount coolum Buderim AU AUS Card xx8188 Value Date: 15/04/2022</t>
  </si>
  <si>
    <t>UBER *TRIP Sydney AU AUS Card xx8188 Value Date: 14/04/2022</t>
  </si>
  <si>
    <t>Laguna Jacks Noosa Heads QL AUS Card xx8188 Value Date: 16/04/2022</t>
  </si>
  <si>
    <t>The Coffee Club Coolum Coolum Beach QL AUS Card xx8188 Value Date: 15/04/2022</t>
  </si>
  <si>
    <t>SUSHI SUSHI SCA MARCOOLA QL AUS Card xx8188 Value Date: 18/04/2022</t>
  </si>
  <si>
    <t>BP COOLUM BEACH 1584 COOLUM BEACH QL AUS Card xx8188 Value Date: 15/04/2022</t>
  </si>
  <si>
    <t>Monthly Go Plus plan Berlin DE DEU Card xx8188 AUD 5.99 Value Date: 18/04/2022</t>
  </si>
  <si>
    <t>International Transaction Fee Value Date: 18/04/2022</t>
  </si>
  <si>
    <t>UNIVERSAL AUDIO 8314401176 CA USA Card xx8188 USD 64.00 Value Date: 18/04/2022</t>
  </si>
  <si>
    <t>SUBWAY HAYMARKET SYDNEY NS AUS Card xx8188 Value Date: 19/04/2022</t>
  </si>
  <si>
    <t>THE ORGNL MNTZM NOOSA NOOSA HEADS AUS Card xx8188 Value Date: 16/04/2022</t>
  </si>
  <si>
    <t>Telstra Direct Debit AUSTRALIA SA AUS Card xx8188 Value Date: 19/04/2022</t>
  </si>
  <si>
    <t>LIVE TAXI AUSTRALIA WEST MELBOURN AUS Card xx8188 Value Date: 16/04/2022</t>
  </si>
  <si>
    <t>LIVE TAXI AUSTRALIA WEST MELBOURN AUS Card xx8188 Value Date: 17/04/2022</t>
  </si>
  <si>
    <t>BWS LIQUOR 1601 DRUMMOYNE NS AUS Card xx8188 Value Date: 21/04/2022</t>
  </si>
  <si>
    <t>SILVER SPOON BISTRO SURRY HILLS NS AUS Card xx8188 Value Date: 20/04/2022</t>
  </si>
  <si>
    <t>SMP*Europe Grill Resta Newtown02 AU</t>
  </si>
  <si>
    <t>Emilio's Specialty Bu Rozelle AU</t>
  </si>
  <si>
    <t>UBER *EATS Sydney AU AUS Card xx8188 Value Date: 22/04/2022</t>
  </si>
  <si>
    <t>CHARGRILL CHARLIES Drummoyne NS AUS Card xx8188 Value Date: 23/04/2022</t>
  </si>
  <si>
    <t>BRIDGE HOTEL ROZELLE ROZELLE NS AUS Card xx8188 Value Date: 24/04/2022</t>
  </si>
  <si>
    <t>UBER *TRIP Sydney AU AUS Card xx8188 Value Date: 23/04/2022</t>
  </si>
  <si>
    <t>DOORDASH*JASMIN 1 MELBOURNE VI AUS Card xx8188 Value Date: 24/04/2022</t>
  </si>
  <si>
    <t>PAYPAL *aemarks85 4029357733 AU AUS Card xx8188 Value Date: 24/04/2022</t>
  </si>
  <si>
    <t>ROLLING CAFE AUSTRAL DRUMMOYNE NS AUS Card xx8188 Value Date: 25/04/2022</t>
  </si>
  <si>
    <t>ELIZABETHS BOOKSHOP NEWTOWN NS AUS Card xx8188 Value Date: 25/04/2022</t>
  </si>
  <si>
    <t>Salary SERVAUPAYROLL 19253P 85920286</t>
  </si>
  <si>
    <t>WOOLWORTHS 1188 BALMAIN AU AUS Card xx8188 Value Date: 27/04/2022</t>
  </si>
  <si>
    <t>PHARMACY MANAGEMENT BALMAIN AUS Card xx8188 Value Date: 27/04/2022</t>
  </si>
  <si>
    <t>Direct Debit 245164 HCFHEALTHANDLIFE 057233969SH10UZWVW</t>
  </si>
  <si>
    <t>Return AIRBNB * HMYYPBT4CY Surry Hills AU AUS Card xx8188 Value Date: 29/04/2022</t>
  </si>
  <si>
    <t>Direct Debit 314011 SUMO PAYWAY3199258548</t>
  </si>
  <si>
    <t>7-ELEVEN 2048 DRUMMOYNE NS AUS Card xx8188 Value Date: 03/05/2022</t>
  </si>
  <si>
    <t>Transfer To Zahra Nouri Emamzadeh CommBank App flowers for pari</t>
  </si>
  <si>
    <t>COLES 0849 DRUMMOYNE AU AUS Card xx8188 Value Date: 03/05/2022</t>
  </si>
  <si>
    <t>HARRIS FARM MARKETSQPS DRUMMOYNE AUS Card xx8188 Value Date: 05/05/2022</t>
  </si>
  <si>
    <t>ALLEGRIA FLR &amp; HMWRE WAREEMBA NSWAU</t>
  </si>
  <si>
    <t>Transfer To Zahra Nouri Emamzadeh CommBank App iou cab</t>
  </si>
  <si>
    <t>Love Crepe Russell Lea NS AUS Card xx8188 Value Date: 07/05/2022</t>
  </si>
  <si>
    <t>TRANSPORTFORNSW TAP SYDNEY AUS Card xx8188 Value Date: 10/05/2022</t>
  </si>
  <si>
    <t>COLES 0849 DRUMMOYNE AU AUS Card xx8188 Value Date: 10/05/2022</t>
  </si>
  <si>
    <t>Audible Limited AU MELBOURNE AU AUS Card xx8188 Value Date: 10/05/2022</t>
  </si>
  <si>
    <t>Salary SERVAUPAYROLL 20112P 85920286</t>
  </si>
  <si>
    <t>Transfer From VICKY LUKMANA to PayID Phone Washer</t>
  </si>
  <si>
    <t>Non CBA ATM Withdrawal Fee Value Date: 15/05/2022</t>
  </si>
  <si>
    <t>Wdl ATM ETX MOUBIN PTY LTD SYDNEY AU Value Date: 15/05/2022</t>
  </si>
  <si>
    <t>B&amp;W Cabs NSW 133222 TEMPE AU</t>
  </si>
  <si>
    <t>MCDONALDS WATERLOO WATERLOO NSWAU</t>
  </si>
  <si>
    <t>Wdl ATM ETX MOUBIN PTY LTD SYDNEY AU</t>
  </si>
  <si>
    <t>Direct Debit 502642 Telecom Billing 3014468:5539240:16</t>
  </si>
  <si>
    <t>El Loco @ Slip Inn Sydney NS AUS Card xx8188 Value Date: 14/05/2022</t>
  </si>
  <si>
    <t>SURRY HILLS FINE WIN SURRY HILLS NS AUS Card xx8188 Value Date: 14/05/2022</t>
  </si>
  <si>
    <t>UBER *TRIP Sydney AU AUS Card xx8188 Value Date: 15/05/2022</t>
  </si>
  <si>
    <t>UBER *TRIP Sydney AU AUS Card xx8188 Value Date: 14/05/2022</t>
  </si>
  <si>
    <t>Transfer To RAMTEAN ROOZBEHANI CommBank App SC campaign</t>
  </si>
  <si>
    <t>UBER *EATS Sydney AU AUS Card xx8188 Value Date: 15/05/2022</t>
  </si>
  <si>
    <t>MARBRAND PTY LTD SYDNEY NS AUS Card xx8188 Value Date: 14/05/2022</t>
  </si>
  <si>
    <t>TRANSPORTFORNSW TAP SYDNEY AUS Card xx8188 Value Date: 17/05/2022</t>
  </si>
  <si>
    <t>Transfer From ENZO TEIXEIRA DESTRO to PayID Phone Fridge</t>
  </si>
  <si>
    <t>Telstra Direct Debit AUSTRALIA SA AUS Card xx8188 Value Date: 17/05/2022</t>
  </si>
  <si>
    <t>SoundCloud Monthly Go Berlin DE DEU Card xx8188 AUD 5.99 Value Date: 18/05/2022</t>
  </si>
  <si>
    <t>Transfer From Miss Rozalie Lakin to PayID Phone Clothes rack</t>
  </si>
  <si>
    <t>COLES 0849 DRUMMOYNE AU AUS Card xx8188 Value Date: 19/05/2022</t>
  </si>
  <si>
    <t>7-ELEVEN 2048 DRUMMOYNE NS AUS Card xx8188 Value Date: 19/05/2022</t>
  </si>
  <si>
    <t>DOYTAO DRUMMOYNE PTY FIVE DOCK AU</t>
  </si>
  <si>
    <t>UBER *EATS Sydney AU AUS Card xx8188 Value Date: 20/05/2022</t>
  </si>
  <si>
    <t>The Newport Newport NS AUS Card xx8188 Value Date: 22/05/2022</t>
  </si>
  <si>
    <t>THE LITTLE SNAIL RES PYRMONT NS AUS Card xx8188 Value Date: 21/05/2022</t>
  </si>
  <si>
    <t>COLES 0839 BROADWAY AU AUS Card xx8188 Value Date: 21/05/2022</t>
  </si>
  <si>
    <t>KMART 1155 BROADWAY AU AUS Card xx8188 Value Date: 21/05/2022</t>
  </si>
  <si>
    <t>UBER *EATS Sydney AU AUS Card xx8188 Value Date: 21/05/2022</t>
  </si>
  <si>
    <t>WOOLWORTHS 1248 SYDNEY AU AUS Card xx8188 Value Date: 23/05/2022</t>
  </si>
  <si>
    <t>OXFORD WORLD SQUARE SYDNEY AU AUS Card xx8188 Value Date: 23/05/2022</t>
  </si>
  <si>
    <t>BP EX PENINSULA 9540 MONA VALE NS AUS Card xx8188 Value Date: 22/05/2022</t>
  </si>
  <si>
    <t>CITYOFSYDNEY PARKING SYDNEY AUS Card xx8188 Value Date: 21/05/2022</t>
  </si>
  <si>
    <t>TRANSPORTFORNSW TAP SYDNEY AUS Card xx8188 Value Date: 24/05/2022</t>
  </si>
  <si>
    <t>WOOLWORTHS 1248 SYDNEY AU AUS Card xx8188 Value Date: 24/05/2022</t>
  </si>
  <si>
    <t>TRANSPORTFORNSW TAP SYDNEY AUS Card xx8188 Value Date: 25/05/2022</t>
  </si>
  <si>
    <t>Salary SERVAUPAYROLL 20242P 85920286</t>
  </si>
  <si>
    <t>EVENT CINEMAS MACQUA MACQUARIE PARAU Card xx8188</t>
  </si>
  <si>
    <t>Hungry Jacks Ryde AU</t>
  </si>
  <si>
    <t>WOOLWORTHS 1248 SYDNEY AU AUS Card xx8188 Value Date: 25/05/2022</t>
  </si>
  <si>
    <t>TRANSPORTFORNSW TAP SYDNEY AUS Card xx8188 Value Date: 26/05/2022</t>
  </si>
  <si>
    <t>WOOLWORTHS 1339 RYDE AU AUS Card xx8188 Value Date: 26/05/2022</t>
  </si>
  <si>
    <t>7-ELEVEN 2048 DRUMMOYNE NS AUS Card xx8188 Value Date: 26/05/2022</t>
  </si>
  <si>
    <t>CHARGRILL CHARLIES Drummoyne NS AUS Card xx8188 Value Date: 26/05/2022</t>
  </si>
  <si>
    <t>SPEEDWAY WEST RYDE WEST RYDE NS AUS Card xx8188 Value Date: 26/05/2022</t>
  </si>
  <si>
    <t>Transfer To Jonathan K Oliver NetBank Rent</t>
  </si>
  <si>
    <t>ALDI STORES - RYDE RYDE AU Card xx8188</t>
  </si>
  <si>
    <t>COLES 0846 LEICHHARDT AU AUS Card xx8188 Value Date: 27/05/2022</t>
  </si>
  <si>
    <t>Bowan IslandDrummoyne Drummoyne NS AUS Card xx8188 Value Date: 29/05/2022</t>
  </si>
  <si>
    <t>GOOGLE*MARTIN LINDAU SYDNEY AU AUS Card xx8188 Value Date: 29/05/2022</t>
  </si>
  <si>
    <t>UBER *EATS Sydney AU AUS Card xx8188 Value Date: 28/05/2022</t>
  </si>
  <si>
    <t>Direct Debit 245164 HCFHEALTHANDLIFE 057233969S5J1IZZPM</t>
  </si>
  <si>
    <t>Transfer From ZAHRA NOURI EMAMZADEH zahra food and groceries</t>
  </si>
  <si>
    <t>WOOLWORTHS 1339 RYDE AU AUS Card xx8188 Value Date: 30/05/2022</t>
  </si>
  <si>
    <t>KMART 1251 Top Ryde AU AUS Card xx8188 Value Date: 30/05/2022</t>
  </si>
  <si>
    <t>UBER *EATS Sydney AU AUS Card xx8188 Value Date: 29/05/2022</t>
  </si>
  <si>
    <t>PRYDE MEATS RYDE AU Card xx8188</t>
  </si>
  <si>
    <t>Direct Credit 301500 Rent Trust Accou Inv Crd ROOZBEHANI</t>
  </si>
  <si>
    <t>WOOLWORTHS 1339 RYDE AU AUS Card xx8188 Value Date: 31/05/2022</t>
  </si>
  <si>
    <t>OFFICEWORKS 0209 GLEBE AU AUS Card xx8188 Value Date: 31/05/2022</t>
  </si>
  <si>
    <t>REBEL TOP RYDE TOP RYDE NS AUS Card xx8188 Value Date: 30/05/2022</t>
  </si>
  <si>
    <t>DIVVY Parking divvy.com.au AU AUS Card xx8188 Value Date: 31/05/2022</t>
  </si>
  <si>
    <t>BAHAR SPRING PTY. LI RYDE NS AUS Card xx8188 Value Date: 01/06/2022</t>
  </si>
  <si>
    <t>TRANSPORTFORNSW TAP SYDNEY AUS Card xx8188 Value Date: 02/06/2022</t>
  </si>
  <si>
    <t>WOOLWORTHS 1339 RYDE AU AUS Card xx8188 Value Date: 02/06/2022</t>
  </si>
  <si>
    <t>SILVER SPOON BISTRO SURRY HILLS NS AUS Card xx8188 Value Date: 01/06/2022</t>
  </si>
  <si>
    <t>SDRO INFRNGMNT PAYME MAITLAND NS AUS Card xx8188 Value Date: 02/06/2022</t>
  </si>
  <si>
    <t>1CASTLE HILL HS 8382 CASTLE HILL NS AUS Card xx8188 Value Date: 03/06/2022</t>
  </si>
  <si>
    <t>EMPANADAS FACTORY ROZELLE NS AUS Card xx8188 Value Date: 04/06/2022</t>
  </si>
  <si>
    <t>UBER *EATS Sydney AU AUS Card xx8188 Value Date: 05/06/2022</t>
  </si>
  <si>
    <t>COLES 5801 RYDE AU AUS Card xx8188 Value Date: 06/06/2022</t>
  </si>
  <si>
    <t>GYG Top Ryde Ryde NS AUS Card xx8188 Value Date: 06/06/2022</t>
  </si>
  <si>
    <t>BAHAR SPRING PTY. LI RYDE NS AUS Card xx8188 Value Date: 06/06/2022</t>
  </si>
  <si>
    <t>TRANSPORTFORNSW TAP SYDNEY AUS Card xx8188 Value Date: 07/06/2022</t>
  </si>
  <si>
    <t>Direct Credit 301500 Rent Trust Accou Gas</t>
  </si>
  <si>
    <t>TRANSPORTFORNSW TAP SYDNEY AUS Card xx8188 Value Date: 08/06/2022</t>
  </si>
  <si>
    <t>Salary SERVAUPAYROLL 20424P 85920286</t>
  </si>
  <si>
    <t>BAR TOSCA SYDNEY NS AUS Card xx8188 Value Date: 08/06/2022</t>
  </si>
  <si>
    <t>SURRYHILLS NEWSAGENT SURRY HILLS NS AUS Card xx8188 Value Date: 08/06/2022</t>
  </si>
  <si>
    <t>SDRO INFRNGMNT PAYME MAITLAND NS AUS Card xx8188 Value Date: 08/06/2022</t>
  </si>
  <si>
    <t>TRANSPORTFORNSW TAP SYDNEY AUS Card xx8188 Value Date: 09/06/2022</t>
  </si>
  <si>
    <t>Transfer To MASOUMEH GHOLAMSHAHI CommBank App cafe iou</t>
  </si>
  <si>
    <t>Transfer To Jonathan K Oliver CommBank App maccas</t>
  </si>
  <si>
    <t>Audible Limited AU MELBOURNE AU AUS Card xx8188 Value Date: 10/06/2022</t>
  </si>
  <si>
    <t>BEATPORT 720-974-9500 CO USA Card xx8188 AUD 2.63 Value Date: 10/06/2022</t>
  </si>
  <si>
    <t>ANDERSEN'S OF DENMAR COOGEE NS AUS Card xx8188 Value Date: 10/06/2022</t>
  </si>
  <si>
    <t>LIQUORLAND 3463 HUNTERS HILL AU AUS Card xx8188 Value Date: 12/06/2022</t>
  </si>
  <si>
    <t>TRANSPORTFORNSW TAP SYDNEY AUS Card xx8188 Value Date: 11/06/2022</t>
  </si>
  <si>
    <t>Transfer From ZAHRA NOURI EMAMZADEH zahra joon pizza</t>
  </si>
  <si>
    <t>RT &amp; SD PTY LTD RYDE AU Card xx8188</t>
  </si>
  <si>
    <t>Direct Debit 502642 Telecom Billing 3014468:5540486:16</t>
  </si>
  <si>
    <t>SQ *BIG TONY CANOLI BA The Rocks AU</t>
  </si>
  <si>
    <t>SQ *STROOPBROS The Rocks AU</t>
  </si>
  <si>
    <t>SQ *EMMY GOZLEME The Rocks AU</t>
  </si>
  <si>
    <t>SQ *NOMAD BREWING CO. Darlinghurst AU</t>
  </si>
  <si>
    <t>UBER* EATS SYDNEY NS AUS Card xx8188 Value Date: 14/06/2022</t>
  </si>
  <si>
    <t>TICKETS* 3 HARPS SURRY HILLS NS AUS Card xx8188 Value Date: 15/06/2022</t>
  </si>
  <si>
    <t>Telstra Direct Debit AUSTRALIA SA AUS Card xx8188 Value Date: 15/06/2022</t>
  </si>
  <si>
    <t>MPAY.COM.AU ONE TAXI BELMORE NS AUS Card xx8188 Value Date: 16/06/2022</t>
  </si>
  <si>
    <t>7-ELEVEN 2048 DRUMMOYNE NS AUS Card xx8188 Value Date: 15/06/2022</t>
  </si>
  <si>
    <t>COLES 5801 RYDE AU AUS Card xx8188 Value Date: 15/06/2022</t>
  </si>
  <si>
    <t>TRANSPORTFORNSW TAP SYDNEY AUS Card xx8188 Value Date: 17/06/2022</t>
  </si>
  <si>
    <t>Direct Debit 314011 SUMO PAYWAY3233074445</t>
  </si>
  <si>
    <t>Direct Credit 371474 RENTALBONDBOARD T030465-2 2 / 3</t>
  </si>
  <si>
    <t>Direct Credit 301500 Rent Trust Accou Inv Crd Gas</t>
  </si>
  <si>
    <t>COLES 0849 DRUMMOYNE AU AUS Card xx8188 Value Date: 17/06/2022</t>
  </si>
  <si>
    <t>SoundCloud Monthly Go Berlin DE DEU Card xx8188 AUD 5.99 Value Date: 17/06/2022</t>
  </si>
  <si>
    <t>COLES 0849 DRUMMOYNE AU AUS Card xx8188 Value Date: 20/06/2022</t>
  </si>
  <si>
    <t>SPEEDWAY WEST RYDE WEST RYDE NS AUS Card xx8188 Value Date: 18/06/2022</t>
  </si>
  <si>
    <t>Transfer From JOSHUA HATFIELD to PayID Phone dinner</t>
  </si>
  <si>
    <t>Salary SERVAUPAYROLL 21223P 85920286</t>
  </si>
  <si>
    <t>Transfer From FIZZAH SALAHUDDIN Devina Dinner Value Date: 25/06/2022</t>
  </si>
  <si>
    <t>SQ *SUBWAY RESTRAUNT Sydney AU</t>
  </si>
  <si>
    <t>Menulog Pty Ltd Sydney AU AUS Card xx8188 Value Date: 24/06/2022</t>
  </si>
  <si>
    <t>Jimmy's Falafel Sydney NS AUS Card xx8188 Value Date: 25/06/2022</t>
  </si>
  <si>
    <t>LIQUORLAND 3301 DRUMMOYNE AU AUS Card xx8188 Value Date: 26/06/2022</t>
  </si>
  <si>
    <t>COLES 0849 DRUMMOYNE AU AUS Card xx8188 Value Date: 26/06/2022</t>
  </si>
  <si>
    <t>TRANSPORTFORNSW TAP SYDNEY AUS Card xx8188 Value Date: 26/06/2022</t>
  </si>
  <si>
    <t>Direct Debit 245164 HCFHEALTHANDLIFE 057233969SDJN6SBEJ</t>
  </si>
  <si>
    <t>SQ *LABEL Brookvale AU Value Date: 03/07/2022</t>
  </si>
  <si>
    <t>MCDONALDS CREMORNE CREMORNE NSWAU</t>
  </si>
  <si>
    <t>Winona Wine Manly NS AUS Card xx8188 Value Date: 02/07/2022</t>
  </si>
  <si>
    <t>COLES 0849 DRUMMOYNE AU AUS Card xx8188 Value Date: 04/07/2022</t>
  </si>
  <si>
    <t>Salary SERVAUPAYROLL 20283P 85920286</t>
  </si>
  <si>
    <t>7-ELEVEN 2048 DRUMMOYNE NS AUS Card xx8188 Value Date: 07/07/2022</t>
  </si>
  <si>
    <t>DESTROS PHARMACY DRUMMOYNE NS AUS Card xx8188 Value Date: 08/07/2022</t>
  </si>
  <si>
    <t>Audible Limited AU MELBOURNE AU AUS Card xx8188 Value Date: 10/07/2022</t>
  </si>
  <si>
    <t>UBER *EATS Sydney AU AUS Card xx8188 Value Date: 10/07/2022</t>
  </si>
  <si>
    <t>Fast Transfer From ZAHRA NOURI EMAMZADEH Zahra food</t>
  </si>
  <si>
    <t>Transfer To Zahra Nouri Emamzadeh CommBank App food iou</t>
  </si>
  <si>
    <t>Direct Debit 502642 Telecom Billing 3014468:5544121:16</t>
  </si>
  <si>
    <t>Telstra Direct Debit AUSTRALIA SA AUS Card xx8188 Value Date: 15/07/2022</t>
  </si>
  <si>
    <t>SoundCloud Monthly Go Berlin DE DEU Card xx8188 AUD 5.99 Value Date: 17/07/2022</t>
  </si>
  <si>
    <t>PASTIZZI CAFE PL NEWTOWN NS AUS Card xx8188 Value Date: 17/07/2022</t>
  </si>
  <si>
    <t>UBER *EATS Sydney AU AUS Card xx8188 Value Date: 18/07/2022</t>
  </si>
  <si>
    <t>Salary SERVAUPAYROLL 20074P 85920286</t>
  </si>
  <si>
    <t>JAIPUR SWEETS HARRIS PARK AU</t>
  </si>
  <si>
    <t>DOORDASH*DOS SENORITAS MELBOURNE VI AUS Card xx8188 Value Date: 22/07/2022</t>
  </si>
  <si>
    <t>COLES 0849 DRUMMOYNE AU AUS Card xx8188 Value Date: 23/07/2022</t>
  </si>
  <si>
    <t>BEATPORT 720-974-9500 CO USA Card xx8188 AUD 7.89 Value Date: 24/07/2022</t>
  </si>
  <si>
    <t>LEICHHARDT MUNICIPAL C LEICHHARDT AU AUS Card xx8188 Value Date: 24/07/2022</t>
  </si>
  <si>
    <t>MEANDU *ROCKPOOL DININ Surry Hills AU AUS Card xx8188 Value Date: 23/07/2022</t>
  </si>
  <si>
    <t>DOORDASH*LITTLE NEPAL MELBOURNE VI AUS Card xx8188 Value Date: 24/07/2022</t>
  </si>
  <si>
    <t>DA JIAN CHEN BURWOOD AU</t>
  </si>
  <si>
    <t>CHEMIST WAREHOUSE BIRK DRUMMOYNE NS AUS Card xx8188 Value Date: 23/07/2022</t>
  </si>
  <si>
    <t>BAR TOSCA SYDNEY NS AUS Card xx8188 Value Date: 25/07/2022</t>
  </si>
  <si>
    <t>EMPANADAS FACTORY ROZELLE NS AUS Card xx8188 Value Date: 24/07/2022</t>
  </si>
  <si>
    <t>TRANSPORTFORNSW TAP SYDNEY AUS Card xx8188 Value Date: 26/07/2022</t>
  </si>
  <si>
    <t>WOOLWORTHS 1248 SYDNEY AU AUS Card xx8188 Value Date: 26/07/2022</t>
  </si>
  <si>
    <t>TRANSPORTFORNSW TAP SYDNEY AUS Card xx8188 Value Date: 27/07/2022</t>
  </si>
  <si>
    <t>Transfer To Jonathan K Oliver CommBank App pizza</t>
  </si>
  <si>
    <t>BAR TOSCA SYDNEY NS AUS Card xx8188 Value Date: 27/07/2022</t>
  </si>
  <si>
    <t>WTW FOOD PTY LTD BURWOOD NS AUS Card xx8188 Value Date: 27/07/2022</t>
  </si>
  <si>
    <t>TRANSPORTFORNSW TAP SYDNEY AUS Card xx8188 Value Date: 28/07/2022</t>
  </si>
  <si>
    <t>Fast Transfer From NATHAN SINGH to PayID Phone Foodie</t>
  </si>
  <si>
    <t>Wdl ATM CAS BOWCLIFF PTY LTD ROZELLE NS AU</t>
  </si>
  <si>
    <t>Direct Debit 245164 HCFHEALTHANDLIFE 057233969S8MZCF4XB</t>
  </si>
  <si>
    <t>Subway Druitt St 36214 2/60 Druitt SAU</t>
  </si>
  <si>
    <t>Tickets-SUTRA SUNRISE MCMAHONS POIN AU AUS Card xx8188 Value Date: 30/07/2022</t>
  </si>
  <si>
    <t>Sackville Hotel Rozelle NS AUS Card xx8188 Value Date: 30/07/2022</t>
  </si>
  <si>
    <t>BRIDGE HOTEL ROZELLE ROZELLE NS AUS Card xx8188 Value Date: 31/07/2022</t>
  </si>
  <si>
    <t>UBER* TRIP SYDNEY NS AUS Card xx8188 Value Date: 31/07/2022</t>
  </si>
  <si>
    <t>COLES 0849 DRUMMOYNE AU AUS Card xx8188 Value Date: 31/07/2022</t>
  </si>
  <si>
    <t>GM CABS PTY LTD MASCOT AUS Card xx8188 Value Date: 30/07/2022</t>
  </si>
  <si>
    <t>TRANSPORTFORNSW TAP SYDNEY AUS Card xx8188 Value Date: 02/08/2022</t>
  </si>
  <si>
    <t>Salary SERVAUPAYROLL 20274P 85920286</t>
  </si>
  <si>
    <t>DOORDASH*MCDONALDS MELBOURNE VI AUS Card xx8188 Value Date: 03/08/2022</t>
  </si>
  <si>
    <t>COLES 0849 DRUMMOYNE AU AUS Card xx8188 Value Date: 03/08/2022</t>
  </si>
  <si>
    <t>SDRO INFRNGMNT PAYME MAITLAND NS AUS Card xx8188 Value Date: 02/08/2022</t>
  </si>
  <si>
    <t>KARAOKE WORLD SYDNEY NSWAU</t>
  </si>
  <si>
    <t>TRANSPORTFORNSW TAP SYDNEY AUS Card xx8188 Value Date: 05/08/2022</t>
  </si>
  <si>
    <t>Transfer To Peter Johnson CommBank App karaoke</t>
  </si>
  <si>
    <t>Transfer To Joseph Sallustio CommBank App birthday lunch</t>
  </si>
  <si>
    <t>ROZELLE AUTOMOTIVE ROZELLE NS AUS Card xx8188 Value Date: 05/08/2022</t>
  </si>
  <si>
    <t>UBER *EATS Sydney AU AUS Card xx8188 Value Date: 04/08/2022</t>
  </si>
  <si>
    <t>UBER *EATS Sydney AU AUS Card xx8188 Value Date: 07/08/2022</t>
  </si>
  <si>
    <t>TRANSPORTFORNSW TAP SYDNEY AUS Card xx8188 Value Date: 06/08/2022</t>
  </si>
  <si>
    <t>COLES 0849 DRUMMOYNE AU AUS Card xx8188 Value Date: 07/08/2022</t>
  </si>
  <si>
    <t>TRANSPORTFORNSW TAP SYDNEY AUS Card xx8188 Value Date: 09/08/2022</t>
  </si>
  <si>
    <t>7-ELEVEN 2048 DRUMMOYNE NS AUS Card xx8188 Value Date: 09/08/2022</t>
  </si>
  <si>
    <t>WW METRO 1669 SURRY HILLS AU AUS Card xx8188 Value Date: 09/08/2022</t>
  </si>
  <si>
    <t>PHOTOWN Alexandria NS AUS Card xx8188 Value Date: 09/08/2022</t>
  </si>
  <si>
    <t>SQ *ELIZABETH STREET Surry Hills AU AUS Card xx8188 Value Date: 08/08/2022</t>
  </si>
  <si>
    <t>TRANSPORTFORNSW TAP SYDNEY AUS Card xx8188 Value Date: 10/08/2022</t>
  </si>
  <si>
    <t>Fast Transfer From JONATHAN OLIVER maccers</t>
  </si>
  <si>
    <t>Audible Limited AU MELBOURNE AU AUS Card xx8188 Value Date: 10/08/2022</t>
  </si>
  <si>
    <t>COLES 0849 DRUMMOYNE AU AUS Card xx8188 Value Date: 09/08/2022</t>
  </si>
  <si>
    <t>Fast Transfer From Sue M Hamilton From sue for clinton from Sue for Clinton</t>
  </si>
  <si>
    <t>Fast Transfer From RODNEY MAZIK Rod4Clinton</t>
  </si>
  <si>
    <t>Direct Credit 027571 D A ZAPPACOSTA Clinton</t>
  </si>
  <si>
    <t>Fast Transfer From Mr Jolan Warren Clinton Monkey Power</t>
  </si>
  <si>
    <t>Fast Transfer From Chris McMahon Clinton gift</t>
  </si>
  <si>
    <t>DOORDASH*DOS SENORITAS MELBOURNE VI AUS Card xx8188 Value Date: 14/08/2022</t>
  </si>
  <si>
    <t>UBER *EATS Sydney AU AUS Card xx8188 Value Date: 13/08/2022</t>
  </si>
  <si>
    <t>Fast Transfer From BISHOP WARREN GRANT to PayID Phone CLINTON GIFT</t>
  </si>
  <si>
    <t>SDRO INFRNGMNT PAYME MAITLAND NS AUS Card xx8188 Value Date: 14/08/2022</t>
  </si>
  <si>
    <t>COLES 0849 DRUMMOYNE AU AUS Card xx8188 Value Date: 15/08/2022</t>
  </si>
  <si>
    <t>SUBWAY HAYMARKET SYDNEY NS AUS Card xx8188 Value Date: 16/08/2022</t>
  </si>
  <si>
    <t>NRMA HUT HURSTVILLE NS AUS Card xx8188 Value Date: 16/08/2022</t>
  </si>
  <si>
    <t>PHOTOWN Alexandria NS AUS Card xx8188 Value Date: 16/08/2022</t>
  </si>
  <si>
    <t>SoundCloud Monthly Go Berlin DE DEU Card xx8188 AUD 5.99 Value Date: 16/08/2022</t>
  </si>
  <si>
    <t>Telstra Direct Debit AUSTRALIA SA AUS Card xx8188 Value Date: 16/08/2022</t>
  </si>
  <si>
    <t>TRANSPORTFORNSW TAP SYDNEY AUS Card xx8188 Value Date: 17/08/2022</t>
  </si>
  <si>
    <t>Salary SERVAUPAYROLL 20254P 85920286</t>
  </si>
  <si>
    <t>ALDI STORES - GLADESVI GLADESVILLE AU Card xx8188</t>
  </si>
  <si>
    <t>PHOTOWN Alexandria NS AUS Card xx8188 Value Date: 17/08/2022</t>
  </si>
  <si>
    <t>SERVICE NSW 4007 HAYMARKET AUS Card xx8188 Value Date: 17/08/2022</t>
  </si>
  <si>
    <t>TRANSPORTFORNSW TAP SYDNEY AUS Card xx8188 Value Date: 18/08/2022</t>
  </si>
  <si>
    <t>Fast Transfer From ZAHRA NOURI EMAMZADEH Zahra Dinner and coffee</t>
  </si>
  <si>
    <t>SP DUTCHVINYL ABBOTSFORD VI AUS Card xx8188 Value Date: 18/08/2022</t>
  </si>
  <si>
    <t>Fast Transfer From ZAHRA NOURI EMAMZADEH Zahra coffee</t>
  </si>
  <si>
    <t>BAHAR SPRING PTY. LI RYDE NS AUS Card xx8188 Value Date: 19/08/2022</t>
  </si>
  <si>
    <t>Umart Online Milton AU AUS Card xx8188 Value Date: 21/08/2022</t>
  </si>
  <si>
    <t>SUSHI OTAKU SURRY HILLS NS AUS Card xx8188 Value Date: 22/08/2022</t>
  </si>
  <si>
    <t>COLES 0849 DRUMMOYNE AU AUS Card xx8188 Value Date: 21/08/2022</t>
  </si>
  <si>
    <t>Umart Online Milton AU AUS Card xx8188 Value Date: 22/08/2022</t>
  </si>
  <si>
    <t>MCDONALDS DRUMMOYNE DRUMMOYNE AUS Card xx8188 Value Date: 21/08/2022</t>
  </si>
  <si>
    <t>TRANSPORTFORNSW TAP SYDNEY AUS Card xx8188 Value Date: 23/08/2022</t>
  </si>
  <si>
    <t>WOOLWORTHS 1248 SYDNEY AU AUS Card xx8188 Value Date: 23/08/2022</t>
  </si>
  <si>
    <t>WW METRO 1669 SURRY HILLS AU AUS Card xx8188 Value Date: 23/08/2022</t>
  </si>
  <si>
    <t>SPEEDWAY WEST RYDE WEST RYDE NS AUS Card xx8188 Value Date: 22/08/2022</t>
  </si>
  <si>
    <t>TRANSPORTFORNSW TAP SYDNEY AUS Card xx8188 Value Date: 24/08/2022</t>
  </si>
  <si>
    <t>COVAU PTY LIMITED SYDNEY AU Card xx8188</t>
  </si>
  <si>
    <t>SMP*Dominos Pizza Drum Drummoyne02 AU</t>
  </si>
  <si>
    <t>Wdl ATM NAB NAB ATM SH LG2 1028 AU</t>
  </si>
  <si>
    <t>Priceland Ryde AU</t>
  </si>
  <si>
    <t>DOORDASH*FORLI RISTORA MELBOURNE VI AUS Card xx8188 Value Date: 27/08/2022</t>
  </si>
  <si>
    <t>Mr Cutz Top Ryde NS AUS Card xx8188 Value Date: 28/08/2022</t>
  </si>
  <si>
    <t>AREZZO JEWELLERY TOP RYDE NS AUS Card xx8188 Value Date: 28/08/2022</t>
  </si>
  <si>
    <t>TRANSPORTFORNSW TAP SYDNEY AUS Card xx8188 Value Date: 30/08/2022</t>
  </si>
  <si>
    <t>Direct Debit 245164 HCFHEALTHANDLIFE 057233969SQ7DK2GGM</t>
  </si>
  <si>
    <t>SUSHI OTAKU SURRY HILLS NS AUS Card xx8188 Value Date: 30/08/2022</t>
  </si>
  <si>
    <t>COLES 0849 DRUMMOYNE AU AUS Card xx8188 Value Date: 29/08/2022</t>
  </si>
  <si>
    <t>TRANSPORTFORNSW TAP SYDNEY AUS Card xx8188 Value Date: 31/08/2022</t>
  </si>
  <si>
    <t>Salary SERVAUPAYROLL 20215P 85920286</t>
  </si>
  <si>
    <t>COLES 0849 DRUMMOYNE AU AUS Card xx8188 Value Date: 31/08/2022</t>
  </si>
  <si>
    <t>PHOTOWN Alexandria NS AUS Card xx8188 Value Date: 31/08/2022</t>
  </si>
  <si>
    <t>TRANSPORTFORNSW TAP SYDNEY AUS Card xx8188 Value Date: 01/09/2022</t>
  </si>
  <si>
    <t>Opera Bar Sydney AU</t>
  </si>
  <si>
    <t>MANNYS Alexandria NS AUS Card xx8188 Value Date: 02/09/2022</t>
  </si>
  <si>
    <t>COLES 0849 DRUMMOYNE AU AUS Card xx8188 Value Date: 05/09/2022</t>
  </si>
  <si>
    <t>PHOTOWN Alexandria NS AUS Card xx8188 Value Date: 05/09/2022</t>
  </si>
  <si>
    <t>ALH VENUES 8758 MANLY AU AUS Card xx8188 Value Date: 05/09/2022</t>
  </si>
  <si>
    <t>GM CABS PTY LTD MASCOT AUS Card xx8188 Value Date: 05/09/2022</t>
  </si>
  <si>
    <t>CCWEB SDRO PARRAMATTA NS AUS Card xx8188 Value Date: 04/09/2022</t>
  </si>
  <si>
    <t>TRANSPORTFORNSW TAP SYDNEY AUS Card xx8188 Value Date: 06/09/2022</t>
  </si>
  <si>
    <t>TRANSPORTFORNSW TAP SYDNEY AUS Card xx8188 Value Date: 07/09/2022</t>
  </si>
  <si>
    <t>BUNNINGS 370000 ALEXANDRIA AU Card xx8188</t>
  </si>
  <si>
    <t>MANNYS Alexandria AU</t>
  </si>
  <si>
    <t>Audible Limited AU MELBOURNE AU AUS Card xx8188 Value Date: 10/09/2022</t>
  </si>
  <si>
    <t>COLES 0849 DRUMMOYNE AU AUS Card xx8188 Value Date: 10/09/2022</t>
  </si>
  <si>
    <t>UBER *EATS Sydney AU AUS Card xx8188 Value Date: 11/09/2022</t>
  </si>
  <si>
    <t>COLES 0849 DRUMMOYNE AU AUS Card xx8188 Value Date: 12/09/2022</t>
  </si>
  <si>
    <t>SUSHI OTAKU SURRY HILLS NS AUS Card xx8188 Value Date: 13/09/2022</t>
  </si>
  <si>
    <t>TRANSPORTFORNSW TAP SYDNEY AUS Card xx8188 Value Date: 14/09/2022</t>
  </si>
  <si>
    <t>Salary SERVAUPAYROLL 20122P 85920286</t>
  </si>
  <si>
    <t>Transfer To Jonathan K Oliver CommBank App macattack</t>
  </si>
  <si>
    <t>BAR TOSCA SYDNEY NS AUS Card xx8188 Value Date: 14/09/2022</t>
  </si>
  <si>
    <t>Telstra Direct Debit AUSTRALIA SA AUS Card xx8188 Value Date: 14/09/2022</t>
  </si>
  <si>
    <t>TRANSPORTFORNSW TAP SYDNEY AUS Card xx8188 Value Date: 15/09/2022</t>
  </si>
  <si>
    <t>SoundCloud Monthly Go Berlin DE DEU Card xx8188 AUD 5.99 Value Date: 15/09/2022</t>
  </si>
  <si>
    <t>UBER *EATS Sydney AU AUS Card xx8188 Value Date: 18/09/2022</t>
  </si>
  <si>
    <t>COLES 0849 DRUMMOYNE AU AUS Card xx8188 Value Date: 19/09/2022</t>
  </si>
  <si>
    <t>Transfer To Alex Grierson CommBank App dinner</t>
  </si>
  <si>
    <t>LIQUOR ON OXFORD DARLINGHURST AU Card xx8188</t>
  </si>
  <si>
    <t>Surly's Surry Hills AU</t>
  </si>
  <si>
    <t>PICTON KARTING TRACK PICTON NSWAU</t>
  </si>
  <si>
    <t>MCDONALDS CROYDON PRK CROYDON PARK NSWAU</t>
  </si>
  <si>
    <t>Transfer to other Bank NetBank Johns Bucks</t>
  </si>
  <si>
    <t>Fast Transfer From KRISTOFER GUSTI Payback</t>
  </si>
  <si>
    <t>Return No account or incorrect account no Kris Gusti Johns Bucks Value Date: 26/09/2022</t>
  </si>
  <si>
    <t>IGA ABBOTSFORD WAREEMBA AU Card xx8188</t>
  </si>
  <si>
    <t>SMP*Ralph Lauren 7101 Drummoyne AU AUS Card xx8188 Value Date: 24/09/2022</t>
  </si>
  <si>
    <t>UBER *TRIP Sydney AU AUS Card xx8188 Value Date: 24/09/2022</t>
  </si>
  <si>
    <t>SUBWAY HAYMARKET SYDNEY NS AUS Card xx8188 Value Date: 26/09/2022</t>
  </si>
  <si>
    <t>PHOTOWN Alexandria NS AUS Card xx8188 Value Date: 26/09/2022</t>
  </si>
  <si>
    <t>UBER *EATS Sydney AU AUS Card xx8188 Value Date: 25/09/2022</t>
  </si>
  <si>
    <t>GM CABS PTY LTD MASCOT AUS Card xx8188 Value Date: 25/09/2022</t>
  </si>
  <si>
    <t>TRANSPORTFORNSW TAP SYDNEY AUS Card xx8188 Value Date: 27/09/2022</t>
  </si>
  <si>
    <t>BAR TOSCA SYDNEY NS AUS Card xx8188 Value Date: 27/09/2022</t>
  </si>
  <si>
    <t>Salary SERVAUPAYROLL 20222P 85920286</t>
  </si>
  <si>
    <t>TRANSPORTFORNSW TAP SYDNEY AUS Card xx8188 Value Date: 28/09/2022</t>
  </si>
  <si>
    <t>Direct Debit 245164 HCFHEALTHANDLIFE 057233969SKO0YSQOB</t>
  </si>
  <si>
    <t>UBER *EATS Sydney AU AUS Card xx8188 Value Date: 01/10/2022</t>
  </si>
  <si>
    <t>DOORDASH*OPORTO MELBOURNE VI AUS Card xx8188 Value Date: 02/10/2022</t>
  </si>
  <si>
    <t>UBER *EATS Sydney AU AUS Card xx8188 Value Date: 03/10/2022</t>
  </si>
  <si>
    <t>COLES 0849 DRUMMOYNE AU AUS Card xx8188 Value Date: 04/10/2022</t>
  </si>
  <si>
    <t>TRANSPORTFORNSW TAP SYDNEY AUS Card xx8188 Value Date: 05/10/2022</t>
  </si>
  <si>
    <t>Wdl ATM ETX Odeon Plaza OS Drummoyne AU</t>
  </si>
  <si>
    <t>SYDMOSA PTY LTD SURRY HILLS AU</t>
  </si>
  <si>
    <t>International Transaction Fee Value Date: 06/10/2022</t>
  </si>
  <si>
    <t>MIDJOURNEY INC. SAN FRANCISCO CA USA Card xx8188 USD 11.00 Value Date: 07/10/2022</t>
  </si>
  <si>
    <t>EG GROUP 1296 WEST RYDE AU AUS Card xx8188 Value Date: 08/10/2022</t>
  </si>
  <si>
    <t>UBER *TRIP Sydney AU AUS Card xx8188 Value Date: 09/10/2022</t>
  </si>
  <si>
    <t>COLES 0849 DRUMMOYNE AU AUS Card xx8188 Value Date: 10/10/2022</t>
  </si>
  <si>
    <t>DESTROS PHARMACY DRUMMOYNE NS AUS Card xx8188 Value Date: 08/10/2022</t>
  </si>
  <si>
    <t>TRANSPORTFORNSW TAP SYDNEY AUS Card xx8188 Value Date: 11/10/2022</t>
  </si>
  <si>
    <t>Salary SERVAUPAYROLL 20263P 85920286</t>
  </si>
  <si>
    <t>PHOTOWN Alexandria NS AUS Card xx8188 Value Date: 12/10/2022</t>
  </si>
  <si>
    <t>TRANSPORTFORNSW TAP SYDNEY AUS Card xx8188 Value Date: 12/10/2022</t>
  </si>
  <si>
    <t>International Transaction Fee Value Date: 13/10/2022</t>
  </si>
  <si>
    <t>MIDJOURNEY INC. SAN FRANCISCO CA USA Card xx8188 USD 11.00 Value Date: 13/10/2022</t>
  </si>
  <si>
    <t>UBER *EATS Sydney AU AUS Card xx8188 Value Date: 12/10/2022</t>
  </si>
  <si>
    <t>Return MIDJOURNEY INC. SAN FRANCISCO CA USA Card xx8188 USD 11.00 Value Date: 13/10/2022</t>
  </si>
  <si>
    <t>TRANSPORTFORNSW TAP SYDNEY AUS Card xx8188 Value Date: 13/10/2022</t>
  </si>
  <si>
    <t>WINGHAUS GATEWAY Sydney AU</t>
  </si>
  <si>
    <t>COLES 0849 DRUMMOYNE AU AUS Card xx8188 Value Date: 14/10/2022</t>
  </si>
  <si>
    <t>UBER *EATS Sydney AU AUS Card xx8188 Value Date: 13/10/2022</t>
  </si>
  <si>
    <t>HOKKA HOKKA DRUMMOYNE NS AUS Card xx8188 Value Date: 14/10/2022</t>
  </si>
  <si>
    <t>ROSE TURKISH GOZLEME H DRUMMOYNE AUS Card xx8188 Value Date: 14/10/2022</t>
  </si>
  <si>
    <t>MANNYS Alexandria NS AUS Card xx8188 Value Date: 15/10/2022</t>
  </si>
  <si>
    <t>SoundCloud Monthly Go Berlin DE DEU Card xx8188 AUD 5.99 Value Date: 15/10/2022</t>
  </si>
  <si>
    <t>WWW.PACIFICCONCE* ME&amp;U THE ROCKS NS AUS Card xx8188 Value Date: 16/10/2022</t>
  </si>
  <si>
    <t>UBER* EATS SYDNEY NS AUS Card xx8188 Value Date: 16/10/2022</t>
  </si>
  <si>
    <t>UBER *EATS Sydney AU AUS Card xx8188 Value Date: 15/10/2022</t>
  </si>
  <si>
    <t>TRANSPORTFORNSW TAP SYDNEY AUS Card xx8188 Value Date: 17/10/2022</t>
  </si>
  <si>
    <t>UBER *EATS Sydney AU AUS Card xx8188 Value Date: 17/10/2022</t>
  </si>
  <si>
    <t>Fast Transfer From Krohn K R to PayID Phone Dinner legend</t>
  </si>
  <si>
    <t>SUSHI OTAKU SURRY HILLS NS AUS Card xx8188 Value Date: 18/10/2022</t>
  </si>
  <si>
    <t>Syd Aprt Intnl Carp50 Sydney NS AUS Card xx8188 Value Date: 17/10/2022</t>
  </si>
  <si>
    <t>Syd Aprt Dom Carp54 Sydney NS AUS Card xx8188 Value Date: 17/10/2022</t>
  </si>
  <si>
    <t>COLES 0849 DRUMMOYNE AU AUS Card xx8188 Value Date: 18/10/2022</t>
  </si>
  <si>
    <t>Telstra Direct Debit AUSTRALIA SA AUS Card xx8188 Value Date: 18/10/2022</t>
  </si>
  <si>
    <t>TRANSPORTFORNSW TAP SYDNEY AUS Card xx8188 Value Date: 19/10/2022</t>
  </si>
  <si>
    <t>TRANSPORTFORNSW TAP SYDNEY AUS Card xx8188 Value Date: 20/10/2022</t>
  </si>
  <si>
    <t>Fast Transfer From ZAHRA NOURI EMAMZADEH Zahra Braza</t>
  </si>
  <si>
    <t>BRAZA CHURRASCARIA PTY SYDNEY AU Card xx8188</t>
  </si>
  <si>
    <t>UBER *EATS Sydney AU AUS Card xx8188 Value Date: 20/10/2022</t>
  </si>
  <si>
    <t>UBER *EATS Sydney AU AUS Card xx8188 Value Date: 23/10/2022</t>
  </si>
  <si>
    <t>UBER *EATS Sydney AU AUS Card xx8188 Value Date: 22/10/2022</t>
  </si>
  <si>
    <t>TRANSPORTFORNSW TAP SYDNEY AUS Card xx8188 Value Date: 24/10/2022</t>
  </si>
  <si>
    <t>Transfer To Jonathan K Oliver CommBank App weed</t>
  </si>
  <si>
    <t>BLACKWALL CAFE CHISWICK AU</t>
  </si>
  <si>
    <t>TRANSPORTFORNSW TAP SYDNEY AUS Card xx8188 Value Date: 25/10/2022</t>
  </si>
  <si>
    <t>COLES 0849 DRUMMOYNE AU AUS Card xx8188 Value Date: 24/10/2022</t>
  </si>
  <si>
    <t>Direct Debit 245164 HCFHEALTHANDLIFE 057233969SY729ZIC9</t>
  </si>
  <si>
    <t>COLES 0849 DRUMMOYNE AU AUS Card xx8188 Value Date: 30/10/2022</t>
  </si>
  <si>
    <t>UBER *EATS Sydney AU AUS Card xx8188 Value Date: 29/10/2022</t>
  </si>
  <si>
    <t>SUSHI OTAKU SURRY HILLS NS AUS Card xx8188 Value Date: 31/10/2022</t>
  </si>
  <si>
    <t>TRANSPORTFORNSW TAP SYDNEY AUS Card xx8188 Value Date: 01/11/2022</t>
  </si>
  <si>
    <t>Camy's Chargrill SH Surry Hills NS AUS Card xx8188 Value Date: 01/11/2022</t>
  </si>
  <si>
    <t>TRANSPORTFORNSW TAP SYDNEY AUS Card xx8188 Value Date: 02/11/2022</t>
  </si>
  <si>
    <t>TRANSPORTFORNSW TAP SYDNEY AUS Card xx8188 Value Date: 03/11/2022</t>
  </si>
  <si>
    <t>DAVID GOJAK'S MEATS HABERFIELD AU</t>
  </si>
  <si>
    <t>Your Choice Pharmacy Haberfield AU</t>
  </si>
  <si>
    <t>UBER *EATS Sydney AU AUS Card xx8188 Value Date: 05/11/2022</t>
  </si>
  <si>
    <t>7-ELEVEN 2048 DRUMMOYNE NS AUS Card xx8188 Value Date: 07/11/2022</t>
  </si>
  <si>
    <t>Crystal Carwash Cafe Haberfield NS AUS Card xx8188 Value Date: 07/11/2022</t>
  </si>
  <si>
    <t>HAPPYFIELD Haberfield NS AUS Card xx8188 Value Date: 07/11/2022</t>
  </si>
  <si>
    <t>COLES 0849 DRUMMOYNE AU AUS Card xx8188 Value Date: 06/11/2022</t>
  </si>
  <si>
    <t>MASSAGE LINK RYDE NS AUS Card xx8188 Value Date: 07/11/2022</t>
  </si>
  <si>
    <t>Salary SERVAUPAYROLL 20534P 85920286</t>
  </si>
  <si>
    <t>AGR SERVICES PTY LTD SYDNEY NS AUS Card xx8188 Value Date: 08/11/2022</t>
  </si>
  <si>
    <t>TRANSPORTFORNSW TAP SYDNEY AUS Card xx8188 Value Date: 09/11/2022</t>
  </si>
  <si>
    <t>HARRY JUICE &amp; CO PTY L DRUMMOYNE AU Card xx8188</t>
  </si>
  <si>
    <t>CHARGRILL CHARLIES Drummoyne NS AUS Card xx8188 Value Date: 10/11/2022</t>
  </si>
  <si>
    <t>TRANSPORTFORNSW TAP SYDNEY AUS Card xx8188 Value Date: 10/11/2022</t>
  </si>
  <si>
    <t>Transfer To Jonathan K Oliver CommBank App rio</t>
  </si>
  <si>
    <t>UBER* EATS SYDNEY NS AUS Card xx8188 Value Date: 11/11/2022</t>
  </si>
  <si>
    <t>COLES 0849 DRUMMOYNE AU AUS Card xx8188 Value Date: 12/11/2022</t>
  </si>
  <si>
    <t>International Transaction Fee Value Date: 13/11/2022</t>
  </si>
  <si>
    <t>MIDJOURNEY INC. SAN FRANCISCO CA USA Card xx8188 USD 22.85 Value Date: 13/11/2022</t>
  </si>
  <si>
    <t>SoundCloud Monthly Go Berlin DE DEU Card xx8188 AUD 5.99 Value Date: 14/11/2022</t>
  </si>
  <si>
    <t>UBER *EATS Sydney AU AUS Card xx8188 Value Date: 13/11/2022</t>
  </si>
  <si>
    <t>UBER* EATS SYDNEY NS AUS Card xx8188 Value Date: 14/11/2022</t>
  </si>
  <si>
    <t>eBay O*04-09345-39795 Sydney AU AUS Card xx8188 Value Date: 15/11/2022</t>
  </si>
  <si>
    <t>PHOTOWN Alexandria NS AUS Card xx8188 Value Date: 15/11/2022</t>
  </si>
  <si>
    <t>SEOG KYU CHOI DRUMMOYNE NSW AU Card xx8188</t>
  </si>
  <si>
    <t>Telstra Direct Debit AUSTRALIA SA AUS Card xx8188 Value Date: 16/11/2022</t>
  </si>
  <si>
    <t>TRANSPORTFORNSW TAP SYDNEY AUS Card xx8188 Value Date: 16/11/2022</t>
  </si>
  <si>
    <t>TICKETEK PTY LTD WEB SYDNEY AUS Card xx8188 Value Date: 16/11/2022</t>
  </si>
  <si>
    <t>Transfer To Rodney Mazik PayID Phone from CommBank App for sue</t>
  </si>
  <si>
    <t>UBER* EATS SYDNEY NS AUS Card xx8188 Value Date: 16/11/2022</t>
  </si>
  <si>
    <t>Bowan IslandDrummoyne Drummoyne NS AUS Card xx8188 Value Date: 17/11/2022</t>
  </si>
  <si>
    <t>DYMOCKS ONLINE SYDNEY AUS Card xx8188 Value Date: 18/11/2022</t>
  </si>
  <si>
    <t>Transfer To Jonathan K Oliver CommBank App frappe</t>
  </si>
  <si>
    <t>RISE BAKEHOUSE DRUMMOYNE AU</t>
  </si>
  <si>
    <t>UBER* EATS SYDNEY NS AUS Card xx8188 Value Date: 18/11/2022</t>
  </si>
  <si>
    <t>International Transaction Fee Value Date: 19/11/2022</t>
  </si>
  <si>
    <t>JAKEREEDMUSIC.COM SOUTH PASADEN CA USA Card xx8188 USD 30.00 Value Date: 19/11/2022</t>
  </si>
  <si>
    <t>DOORDASH*DOS SENORITAS MELBOURNE VI AUS Card xx8188 Value Date: 19/11/2022</t>
  </si>
  <si>
    <t>UBER* EATS SYDNEY NS AUS Card xx8188 Value Date: 20/11/2022</t>
  </si>
  <si>
    <t>DOORDASH*DOS SENORITAS MELBOURNE VI AUS Card xx8188 Value Date: 20/11/2022</t>
  </si>
  <si>
    <t>OFFICEWORKS 0209 GLEBE AU AUS Card xx8188 Value Date: 21/11/2022</t>
  </si>
  <si>
    <t>UBER* EATS SYDNEY NS AUS Card xx8188 Value Date: 21/11/2022</t>
  </si>
  <si>
    <t>COLES 0849 DRUMMOYNE AU AUS Card xx8188 Value Date: 22/11/2022</t>
  </si>
  <si>
    <t>Salary SERVAUPAYROLL 21515P 85920286</t>
  </si>
  <si>
    <t>7-ELEVEN 2048 DRUMMOYNE NS AUS Card xx8188 Value Date: 23/11/2022</t>
  </si>
  <si>
    <t>International Transaction Fee Value Date: 24/11/2022</t>
  </si>
  <si>
    <t>UNIVERSAL AUDIO 8314401176 CA USA Card xx8188 USD 99.00 Value Date: 25/11/2022</t>
  </si>
  <si>
    <t>UNIVERSAL AUDIO 8314401176 CA USA Card xx8188 USD 399.00 Value Date: 25/11/2022</t>
  </si>
  <si>
    <t>WWRD AUSTRALIA PTY LTD ARNDELL PARK NS AUS Card xx8188 Value Date: 25/11/2022</t>
  </si>
  <si>
    <t>UBER* EATS SYDNEY NS AUS Card xx8188 Value Date: 26/11/2022</t>
  </si>
  <si>
    <t>UBER* EATS SYDNEY NS AUS Card xx8188 Value Date: 27/11/2022</t>
  </si>
  <si>
    <t>7-ELEVEN 2048 DRUMMOYNE NS AUS Card xx8188 Value Date: 27/11/2022</t>
  </si>
  <si>
    <t>UBER *EATS Sydney AU AUS Card xx8188 Value Date: 25/11/2022</t>
  </si>
  <si>
    <t>DOORDASH*DOS SENORITAS MELBOURNE VI AUS Card xx8188 Value Date: 27/11/2022</t>
  </si>
  <si>
    <t>Transfer To RAMTEAN ROOZBEHANI CommBank App email server</t>
  </si>
  <si>
    <t>Direct Debit 245164 HCFHEALTHANDLIFE 057233969SFC78AD9C</t>
  </si>
  <si>
    <t>COLES 0849 DRUMMOYNE AU AUS Card xx8188 Value Date: 28/11/2022</t>
  </si>
  <si>
    <t>Fast Transfer From JONATHAN OLIVER pizza pizza</t>
  </si>
  <si>
    <t>BP EXPRESS 2241 WEST RYDE NS AUS Card xx8188 Value Date: 29/11/2022</t>
  </si>
  <si>
    <t>International Transaction Fee Value Date: 01/12/2022</t>
  </si>
  <si>
    <t>Transfer To Warren Bishop CommBank App rodney gift</t>
  </si>
  <si>
    <t>Fast Transfer From H Roozbehani Happy birthday Homayoun</t>
  </si>
  <si>
    <t>UBER *EATS Sydney AU AUS Card xx8188 Value Date: 03/12/2022</t>
  </si>
  <si>
    <t>UBER *EATS Sydney AU AUS Card xx8188 Value Date: 02/12/2022</t>
  </si>
  <si>
    <t>7-ELEVEN 2118 CAMPERDOWN NS AUS Card xx8188 Value Date: 04/12/2022</t>
  </si>
  <si>
    <t>PHOTOWN Alexandria NS AUS Card xx8188 Value Date: 05/12/2022</t>
  </si>
  <si>
    <t>TRANSPORTFORNSW TAP SYDNEY AUS Card xx8188 Value Date: 06/12/2022</t>
  </si>
  <si>
    <t>DRI*iZotope iZotope.com NS AUS Card xx8188 Value Date: 05/12/2022</t>
  </si>
  <si>
    <t>SEOG KYU CHOI DRUMMOYNE AUS Card xx8188 Value Date: 06/12/2022</t>
  </si>
  <si>
    <t>Salary SERVAUPAYROLL 21243P 85920286</t>
  </si>
  <si>
    <t>Fast Transfer From MASOUMEH GHOLAMSHAHI Happy Birthday Azizam Mum to U</t>
  </si>
  <si>
    <t>Netflix.com Melbourne VI AUS Card xx8188 Value Date: 08/12/2022</t>
  </si>
  <si>
    <t>Transfer To Jack Bosenberg CommBank App dinner</t>
  </si>
  <si>
    <t>Transfer To Josh Hatfield CommBank App dinner</t>
  </si>
  <si>
    <t>PHOTOWN Alexandria NS AUS Card xx8188 Value Date: 08/12/2022</t>
  </si>
  <si>
    <t>TRANSPORTFORNSW TAP SYDNEY AUS Card xx8188 Value Date: 08/12/2022</t>
  </si>
  <si>
    <t>International Transaction Fee Value Date: 09/12/2022</t>
  </si>
  <si>
    <t>MEGA LIMITED AUCKLAND NZL Card xx8188 EUR 4.99 Value Date: 09/12/2022</t>
  </si>
  <si>
    <t>Patreon* Membership INTERNET AUS Card xx8188 Value Date: 09/12/2022</t>
  </si>
  <si>
    <t>OFFICEWORKS 0201 FIVE DOCK AU AUS Card xx8188 Value Date: 09/12/2022</t>
  </si>
  <si>
    <t>MCDONALDS DRUMMOYNE DRUMMOYNE AUS Card xx8188 Value Date: 08/12/2022</t>
  </si>
  <si>
    <t>SEOG KYU CHOI DRUMMOYNE AUS Card xx8188 Value Date: 09/12/2022</t>
  </si>
  <si>
    <t>UBER *TRIP Sydney AU AUS Card xx8188 Value Date: 11/12/2022</t>
  </si>
  <si>
    <t>TRANSPORTFORNSW TAP SYDNEY AUS Card xx8188 Value Date: 10/12/2022</t>
  </si>
  <si>
    <t>TRANSPORTFORNSW TAP SYDNEY AUS Card xx8188 Value Date: 11/12/2022</t>
  </si>
  <si>
    <t>BAR TOSCA SYDNEY NS AUS Card xx8188 Value Date: 12/12/2022</t>
  </si>
  <si>
    <t>GM CABS PTY LTD MASCOT AUS Card xx8188 Value Date: 10/12/2022</t>
  </si>
  <si>
    <t>TRANSPORTFORNSW TAP SYDNEY AUS Card xx8188 Value Date: 13/12/2022</t>
  </si>
  <si>
    <t>Transfer To Jonathan K Oliver CommBank App bills to date excl water</t>
  </si>
  <si>
    <t>International Transaction Fee Value Date: 13/12/2022</t>
  </si>
  <si>
    <t>MIDJOURNEY INC. SAN FRANCISCO CA USA Card xx8188 USD 29.39 Value Date: 13/12/2022</t>
  </si>
  <si>
    <t>7-ELEVEN 2048 DRUMMOYNE NS AUS Card xx8188 Value Date: 13/12/2022</t>
  </si>
  <si>
    <t>BWS LIQUOR 1601 DRUMMOYNE AU AUS Card xx8188 Value Date: 13/12/2022</t>
  </si>
  <si>
    <t>CHARGRILL CHARLIES Drummoyne NS AUS Card xx8188 Value Date: 13/12/2022</t>
  </si>
  <si>
    <t>HARRIS FARM MARKETSQPS DRUMMOYNE AUS Card xx8188 Value Date: 13/12/2022</t>
  </si>
  <si>
    <t>SEOG KYU CHOI DRUMMOYNE AUS Card xx8188 Value Date: 14/12/2022</t>
  </si>
  <si>
    <t>TRANSPORTFORNSW TAP SYDNEY AUS Card xx8188 Value Date: 14/12/2022</t>
  </si>
  <si>
    <t>Telstra Direct Debit AUSTRALIA SA AUS Card xx8188 Value Date: 15/12/2022</t>
  </si>
  <si>
    <t>IGA DRUMMOYNE QPS DRUMMOYNE AUS Card xx8188 Value Date: 15/12/2022</t>
  </si>
  <si>
    <t>ETERNAL HEALTH GROUP RYDE NSWAU</t>
  </si>
  <si>
    <t>HARRY JUICE &amp; CO PTY L DRUMMOYNE AUS Card xx8188 Value Date: 16/12/2022</t>
  </si>
  <si>
    <t>ROSE TURKISH GOZLEME H DRUMMOYNE AUS Card xx8188 Value Date: 16/12/2022</t>
  </si>
  <si>
    <t>UBER* EATS SYDNEY NS AUS Card xx8188 Value Date: 17/12/2022</t>
  </si>
  <si>
    <t>UBER *EATS Sydney AU AUS Card xx8188 Value Date: 18/12/2022</t>
  </si>
  <si>
    <t>HAYDEN THEATRES CREMORNE AU Card xx8188</t>
  </si>
  <si>
    <t>7-ELEVEN 2048 DRUMMOYNE NS AUS Card xx8188 Value Date: 18/12/2022</t>
  </si>
  <si>
    <t>UBER *EATS Sydney AU AUS Card xx8188 Value Date: 19/12/2022</t>
  </si>
  <si>
    <t>CHARGRILL CHARLIES Drummoyne NS AUS Card xx8188 Value Date: 20/12/2022</t>
  </si>
  <si>
    <t>Salary SERVAUPAYROLL 20403P 85920286</t>
  </si>
  <si>
    <t>UBER *EATS Sydney AU AUS Card xx8188 Value Date: 21/12/2022</t>
  </si>
  <si>
    <t>UBER *EATS Sydney AU AUS Card xx8188 Value Date: 22/12/2022</t>
  </si>
  <si>
    <t>Transfer To Jonathan K Oliver CommBank App cafe</t>
  </si>
  <si>
    <t>International Transaction Fee Value Date: 23/12/2022</t>
  </si>
  <si>
    <t>MIDJOURNEY INC. SOUTH SAN FRA CA USA Card xx8188 USD 4.00 Value Date: 23/12/2022</t>
  </si>
  <si>
    <t>LIQUORLAND 3301 DRUMMOYNE AU AUS Card xx8188 Value Date: 24/12/2022</t>
  </si>
  <si>
    <t>COLES 0849 DRUMMOYNE AU AUS Card xx8188 Value Date: 24/12/2022</t>
  </si>
  <si>
    <t>International Transaction Fee Value Date: 24/12/2022</t>
  </si>
  <si>
    <t>UNIVERSAL AUDIO 8314401176 CA USA Card xx8188 USD 49.00 Value Date: 25/12/2022</t>
  </si>
  <si>
    <t>DESTROS PHARMACY DRUMMOYNE NS AUS Card xx8188 Value Date: 26/12/2022</t>
  </si>
  <si>
    <t>UBER *EATS Sydney AU AUS Card xx8188 Value Date: 23/12/2022</t>
  </si>
  <si>
    <t>DRI*iZotope iZotope.com NS AUS Card xx8188 Value Date: 26/12/2022</t>
  </si>
  <si>
    <t>International Transaction Fee Value Date: 26/12/2022</t>
  </si>
  <si>
    <t>WWW.LALAL.AI ZUG DU CHE Card xx8188 USD 15.00 Value Date: 27/12/2022</t>
  </si>
  <si>
    <t>Return Netflix.com Melbourne VI AUS Card xx8188 Value Date: 28/12/2022</t>
  </si>
  <si>
    <t>NETFLIX.COM Melbourne AU AUS Card xx8188 Value Date: 29/12/2022</t>
  </si>
  <si>
    <t>UBER *EATS Sydney AU AUS Card xx8188 Value Date: 28/12/2022</t>
  </si>
  <si>
    <t>UBER *EATS Sydney AU AUS Card xx8188 Value Date: 29/12/2022</t>
  </si>
  <si>
    <t>Direct Debit 245164 HCFHEALTHANDLIFE 057233969S6GIUSC4R</t>
  </si>
  <si>
    <t>Gladesville Sporties Gladesville AU</t>
  </si>
  <si>
    <t>IGA DRUMMOYNE QPS DRUMMOYNE AUS Card xx8188 Value Date: 30/12/2022</t>
  </si>
  <si>
    <t>HARRIS FARM MARKETS DRUMMOYNE AUS Card xx8188 Value Date: 30/12/2022</t>
  </si>
  <si>
    <t>ACADEMY BRAND - BIRKEN Rosebery AU AUS Card xx8188 Value Date: 31/12/2022</t>
  </si>
  <si>
    <t>HUGO BOSS Australia Drummoyne AU AUS Card xx8188 Value Date: 31/12/2022</t>
  </si>
  <si>
    <t>SMP*Ralph Lauren 7101 Drummoyne AU AUS Card xx8188 Value Date: 31/12/2022</t>
  </si>
  <si>
    <t>APPLE.COM/BILL SYDNEY AU AUS Card xx8188 Value Date: 30/12/2022</t>
  </si>
  <si>
    <t>UBER *EATS Sydney AU AUS Card xx8188 Value Date: 31/12/2022</t>
  </si>
  <si>
    <t>UBER* EATS SYDNEY NS AUS Card xx8188 Value Date: 02/01/2023</t>
  </si>
  <si>
    <t>COLES 0849 DRUMMOYNE AU AUS Card xx8188 Value Date: 02/01/2023</t>
  </si>
  <si>
    <t>Patreon* Membership INTERNET AUS Card xx8188 Value Date: 02/01/2023</t>
  </si>
  <si>
    <t>COLES 0849 DRUMMOYNE AU AUS Card xx8188 Value Date: 03/01/2023</t>
  </si>
  <si>
    <t>Salary SERVAUPAYROLL 20071P 85920286</t>
  </si>
  <si>
    <t>ARC AT UNSW LTD KENSINGTON AU Card xx8188</t>
  </si>
  <si>
    <t>Netflix.com Melbourne VI AUS Card xx8188 Value Date: 04/01/2023</t>
  </si>
  <si>
    <t>SQ *FAIR TRADE AT THE Summer Hill AU</t>
  </si>
  <si>
    <t>UBER *EATS Sydney AU AUS Card xx8188 Value Date: 05/01/2023</t>
  </si>
  <si>
    <t>Return Netflix.com Melbourne VI AUS Card xx8188 Value Date: 05/01/2023</t>
  </si>
  <si>
    <t>Return NETFLIX.COM Melbourne AU AUS Card xx8188 Value Date: 05/01/2023</t>
  </si>
  <si>
    <t>International Transaction Fee Value Date: 06/01/2023</t>
  </si>
  <si>
    <t>MIDJOURNEY INC. SOUTH SAN FRA CA USA Card xx8188 USD 4.00 Value Date: 06/01/2023</t>
  </si>
  <si>
    <t>International Transaction Fee Value Date: 05/01/2023</t>
  </si>
  <si>
    <t>Da Vinci's Restaurant Summer Hill NS AUS Card xx8188 Value Date: 07/01/2023</t>
  </si>
  <si>
    <t>UBER *EATS Sydney AU AUS Card xx8188 Value Date: 08/01/2023</t>
  </si>
  <si>
    <t>Audible Limited AU MELBOURNE AU AUS Card xx8188 Value Date: 10/01/2023</t>
  </si>
  <si>
    <t>International Transaction Fee Value Date: 10/01/2023</t>
  </si>
  <si>
    <t>MIDJOURNEY INC. SOUTH SAN FRA CA USA Card xx8188 USD 20.00 Value Date: 11/01/2023</t>
  </si>
  <si>
    <t>IGA DRUMMOYNE QPS DRUMMOYNE AUS Card xx8188 Value Date: 11/01/2023</t>
  </si>
  <si>
    <t>HARRIS FARM MARKETSQPS DRUMMOYNE AUS Card xx8188 Value Date: 11/01/2023</t>
  </si>
  <si>
    <t>OEH KIRRAWEE NS AUS Card xx8188 Value Date: 12/01/2023</t>
  </si>
  <si>
    <t>NASER PTY LIMITED SYDNEY AU</t>
  </si>
  <si>
    <t>PHOTOWN Alexandria AU</t>
  </si>
  <si>
    <t>DEPOSIT CASH $101.00 CHEQUE $0.00 Branch 300 ELIZABETH ST SYDNEY</t>
  </si>
  <si>
    <t>DEPOSIT CASH $655.00 CHEQUE $0.00 Branch 300 ELIZABETH ST SYDNEY</t>
  </si>
  <si>
    <t>International Transaction Fee Value Date: 13/01/2023</t>
  </si>
  <si>
    <t>MIDJOURNEY INC. SOUTH SAN FRA CA USA Card xx8188 USD 11.00 Value Date: 13/01/2023</t>
  </si>
  <si>
    <t>7-ELEVEN 2048 DRUMMOYNE NS AUS Card xx8188 Value Date: 13/01/2023</t>
  </si>
  <si>
    <t>UBER* EATS SYDNEY NS AUS Card xx8188 Value Date: 14/01/2023</t>
  </si>
  <si>
    <t>COLES 0849 DRUMMOYNE AU AUS Card xx8188 Value Date: 15/01/2023</t>
  </si>
  <si>
    <t>HARRIS FARM MARKETSQPS DRUMMOYNE AUS Card xx8188 Value Date: 15/01/2023</t>
  </si>
  <si>
    <t>International Transaction Fee Value Date: 15/01/2023</t>
  </si>
  <si>
    <t>UNIVERSAL AUDIO 8314401176 CA USA Card xx8188 USD 124.00 Value Date: 16/01/2023</t>
  </si>
  <si>
    <t>CEX PTY LTD PARRAMATTA NS AUS Card xx8188 Value Date: 16/01/2023</t>
  </si>
  <si>
    <t>MV&amp;CO THE VIETASTEZ NSWNSW AUS Card xx8188 Value Date: 16/01/2023</t>
  </si>
  <si>
    <t>Return Audible Limited AU MELBOURNE AU AUS Card xx8188 Value Date: 16/01/2023</t>
  </si>
  <si>
    <t>TRANSPORTFORNSW TAP SYDNEY AUS Card xx8188 Value Date: 17/01/2023</t>
  </si>
  <si>
    <t>International Transaction Fee Value Date: 17/01/2023</t>
  </si>
  <si>
    <t>DISTROKID.COM NEW YORK NY USA Card xx8188 USD 35.99 Value Date: 17/01/2023</t>
  </si>
  <si>
    <t>Telstra Direct Debit AUSTRALIA SA AUS Card xx8188 Value Date: 17/01/2023</t>
  </si>
  <si>
    <t>Salary SERVAUPAYROLL 21233P 85920286</t>
  </si>
  <si>
    <t>NOVOTEL DARLING SQR SYDNEY AU Card xx8188</t>
  </si>
  <si>
    <t>TRANSPORTFORNSW TAP SYDNEY AUS Card xx8188 Value Date: 18/01/2023</t>
  </si>
  <si>
    <t>Transfer To Joseph Sallustio CommBank App succulent chinese meal</t>
  </si>
  <si>
    <t>BAR TOSCA SYDNEY NS AUS Card xx8188 Value Date: 19/01/2023</t>
  </si>
  <si>
    <t>HARRIS FARM MARKETS DRUMMOYNE AUS Card xx8188 Value Date: 19/01/2023</t>
  </si>
  <si>
    <t>ICC Sydney Sydney NS AUS Card xx8188 Value Date: 20/01/2023</t>
  </si>
  <si>
    <t>COLES EXPRESS 1617 DRUMMOYNE AU AUS Card xx8188 Value Date: 21/01/2023</t>
  </si>
  <si>
    <t>7-ELEVEN 2048 DRUMMOYNE NS AUS Card xx8188 Value Date: 21/01/2023</t>
  </si>
  <si>
    <t>HARRIS FARM MARKETSQPS DRUMMOYNE AUS Card xx8188 Value Date: 21/01/2023</t>
  </si>
  <si>
    <t>Nike Drummoyne Drummoyne AU AUS Card xx8188 Value Date: 22/01/2023</t>
  </si>
  <si>
    <t>SMP*Fat Fish Annandal Annandale AU AUS Card xx8188 Value Date: 22/01/2023</t>
  </si>
  <si>
    <t>HARRY JUICE &amp; CO PTY L DRUMMOYNE AUS Card xx8188 Value Date: 22/01/2023</t>
  </si>
  <si>
    <t>Return DISTROKID.COM NEW YORK NY USA Card xx8188 USD 35.99 Value Date: 19/01/2023</t>
  </si>
  <si>
    <t>TRANSPORTFORNSW TAP SYDNEY AUS Card xx8188 Value Date: 20/01/2023</t>
  </si>
  <si>
    <t>Fast Transfer From JONATHAN OLIVER pizza</t>
  </si>
  <si>
    <t>JACKS HAIRDRESSING SYDNEY NSW AU</t>
  </si>
  <si>
    <t>COLES 0849 DRUMMOYNE AU AUS Card xx8188 Value Date: 22/01/2023</t>
  </si>
  <si>
    <t>THE VINTAGE RECORD ANNANDALE NS AUS Card xx8188 Value Date: 22/01/2023</t>
  </si>
  <si>
    <t>HARRIS FARM MARKETSQPS DRUMMOYNE AUS Card xx8188 Value Date: 23/01/2023</t>
  </si>
  <si>
    <t>APPLE.COM/BILL SYDNEY AU AUS Card xx8188 Value Date: 22/01/2023</t>
  </si>
  <si>
    <t>WW METRO 1669 SURRY HILLS AU AUS Card xx8188 Value Date: 25/01/2023</t>
  </si>
  <si>
    <t>BAR TOSCA SYDNEY NS AUS Card xx8188 Value Date: 25/01/2023</t>
  </si>
  <si>
    <t>CHEMIST WAREHOUSE SYDNEY NS AUS Card xx8188 Value Date: 25/01/2023</t>
  </si>
  <si>
    <t>UBER *EATS Sydney AU AUS Card xx8188 Value Date: 25/01/2023</t>
  </si>
  <si>
    <t>HARRIS FARM MARKETSQPS DRUMMOYNE AUS Card xx8188 Value Date: 26/01/2023</t>
  </si>
  <si>
    <t>TRANSPORTFORNSW TAP SYDNEY AUS Card xx8188 Value Date: 25/01/2023</t>
  </si>
  <si>
    <t>TRANSPORTFORNSW TAP SYDNEY AUS Card xx8188 Value Date: 26/01/2023</t>
  </si>
  <si>
    <t>Fast Transfer From Krohn K R Pizza</t>
  </si>
  <si>
    <t>UBER* EATS SYDNEY NS AUS Card xx8188 Value Date: 27/01/2023</t>
  </si>
  <si>
    <t>HARRIS FARM MARKETSQPS DRUMMOYNE AUS Card xx8188 Value Date: 28/01/2023</t>
  </si>
  <si>
    <t>COLES 0849 DRUMMOYNE AU AUS Card xx8188 Value Date: 29/01/2023</t>
  </si>
  <si>
    <t>Direct Debit 245164 HCFHEALTHANDLIFE 057233969SR9PFLEM5</t>
  </si>
  <si>
    <t>PHOTOWN Alexandria NS AUS Card xx8188 Value Date: 30/01/2023</t>
  </si>
  <si>
    <t>TRANSPORTFORNSW TAP SYDNEY AUS Card xx8188 Value Date: 31/01/2023</t>
  </si>
  <si>
    <t>Transfer To Jonathan K Oliver CommBank App internet</t>
  </si>
  <si>
    <t>Salary SERVAUPAYROLL 21430P 85920286</t>
  </si>
  <si>
    <t>Direct Credit 002221 MCARE BENEFITS 494043223 CYWQ</t>
  </si>
  <si>
    <t>JOANNE WILLIAMS PTY LIMIT DRUMMOY NSW AU</t>
  </si>
  <si>
    <t>NRMA LTD SYDNEY OLYMPI NS AUS Card xx8188 Value Date: 01/02/2023</t>
  </si>
  <si>
    <t>Patreon* Membership INTERNET AUS Card xx8188 Value Date: 02/02/2023</t>
  </si>
  <si>
    <t>MV&amp;CO THE VIETASTEZ NSWNSW AUS Card xx8188 Value Date: 01/02/2023</t>
  </si>
  <si>
    <t>TRANSPORTFORNSW TAP SYDNEY AUS Card xx8188 Value Date: 01/02/2023</t>
  </si>
  <si>
    <t>TRANSPORTFORNSW TAP SYDNEY AUS Card xx8188 Value Date: 02/02/2023</t>
  </si>
  <si>
    <t>Transfer To Jonathan K Oliver CommBank App elec bill</t>
  </si>
  <si>
    <t>UBER *EATS Sydney AU AUS Card xx8188 Value Date: 02/02/2023</t>
  </si>
  <si>
    <t>HARRIS FARM MARKETSQPS DRUMMOYNE AUS Card xx8188 Value Date: 04/02/2023</t>
  </si>
  <si>
    <t>HARRIS FARM MARKETS DRUMMOYNE AUS Card xx8188 Value Date: 05/02/2023</t>
  </si>
  <si>
    <t>Fast Transfer From Megan Cartwright RR2301 contemplate mix master RR2301 TOE</t>
  </si>
  <si>
    <t>COLES 0849 DRUMMOYNE AU AUS Card xx8188 Value Date: 06/02/2023</t>
  </si>
  <si>
    <t>SILVER SPOON BISTRO SURRY HILLS NS AUS Card xx8188 Value Date: 06/02/2023</t>
  </si>
  <si>
    <t>TRANSPORTFORNSW TAP SYDNEY AUS Card xx8188 Value Date: 07/02/2023</t>
  </si>
  <si>
    <t>BAR TOSCA SYDNEY NS AUS Card xx8188 Value Date: 08/02/2023</t>
  </si>
  <si>
    <t>WWW.ALIEXPRESS.COM LONDON GB GBR Card xx8188 AUD 26.02 Value Date: 08/02/2023</t>
  </si>
  <si>
    <t>TRANSPORTFORNSW TAP SYDNEY AUS Card xx8188 Value Date: 09/02/2023</t>
  </si>
  <si>
    <t>COLES 0849 DRUMMOYNE AU</t>
  </si>
  <si>
    <t>ALH VENUES 8733 CROWS NEST AU AUS Card xx8188 Value Date: 11/02/2023</t>
  </si>
  <si>
    <t>THE GREENS NORTH SYDNEY AU AUS Card xx8188 Value Date: 11/02/2023</t>
  </si>
  <si>
    <t>UBER *TRIP Sydney AU AUS Card xx8188 Value Date: 11/02/2023</t>
  </si>
  <si>
    <t>Wdl ATM CBA ATM 300ELIZABETH C NSW 203303 AUS</t>
  </si>
  <si>
    <t>International Transaction Fee Value Date: 13/02/2023</t>
  </si>
  <si>
    <t>MIDJOURNEY INC. SOUTH SAN FRA CA USA Card xx8188 USD 11.00 Value Date: 13/02/2023</t>
  </si>
  <si>
    <t>COLES 0849 DRUMMOYNE AU AUS Card xx8188 Value Date: 12/02/2023</t>
  </si>
  <si>
    <t>SILVER SPOON BISTRO SURRY HILLS NS AUS Card xx8188 Value Date: 13/02/2023</t>
  </si>
  <si>
    <t>Telstra Direct Debit AUSTRALIA SA AUS Card xx8188 Value Date: 14/02/2023</t>
  </si>
  <si>
    <t>TRANSPORTFORNSW TAP SYDNEY AUS Card xx8188 Value Date: 14/02/2023</t>
  </si>
  <si>
    <t>Salary SERVAUPAYROLL 21363P 85920286</t>
  </si>
  <si>
    <t>Fast Transfer From GEOFFREY COLLINS geoff</t>
  </si>
  <si>
    <t>Torotoro Ramen Bar Barangaroo AU</t>
  </si>
  <si>
    <t>IGA DRUMMOYNE DRUMMOYNE AU</t>
  </si>
  <si>
    <t>TRANSPORTFORNSW TAP SYDNEY AUS Card xx8188 Value Date: 16/02/2023</t>
  </si>
  <si>
    <t>UBER* EATS SYDNEY NS AUS Card xx8188 Value Date: 16/02/2023</t>
  </si>
  <si>
    <t>TRANSPORTFORNSW TAP SYDNEY AUS Card xx8188 Value Date: 17/02/2023</t>
  </si>
  <si>
    <t>BAR TOSCA SYDNEY AU</t>
  </si>
  <si>
    <t>SoundCloud Yearly Next Berlin DE DEU Card xx8188 AUD 145.00 Value Date: 17/02/2023</t>
  </si>
  <si>
    <t>UBER *TRIP Sydney AU AUS Card xx8188 Value Date: 17/02/2023</t>
  </si>
  <si>
    <t>COLES 0849 DRUMMOYNE AU AUS Card xx8188 Value Date: 18/02/2023</t>
  </si>
  <si>
    <t>TRANSPORTFORNSW TAP SYDNEY AUS Card xx8188 Value Date: 18/02/2023</t>
  </si>
  <si>
    <t>Fast Transfer From RAMTEAN ROOZBEHANI ramen</t>
  </si>
  <si>
    <t>7-ELEVEN 2117 SYDNEY NS AUS Card xx8188 Value Date: 21/02/2023</t>
  </si>
  <si>
    <t>TRANSPORTFORNSW TAP SYDNEY AUS Card xx8188 Value Date: 21/02/2023</t>
  </si>
  <si>
    <t>Andiamo Tr Abbotsford Abbotsford NS AUS Card xx8188 Value Date: 23/02/2023</t>
  </si>
  <si>
    <t>UBER *EATS Sydney AU AUS Card xx8188 Value Date: 22/02/2023</t>
  </si>
  <si>
    <t>Direct Credit 462125 APRA Limited AU Royalty W739163</t>
  </si>
  <si>
    <t>BWS LIQUOR 1601 DRUMMOYNE AU AUS Card xx8188 Value Date: 24/02/2023</t>
  </si>
  <si>
    <t>7-ELEVEN 2048 DRUMMOYNE NS AUS Card xx8188 Value Date: 24/02/2023</t>
  </si>
  <si>
    <t>TRANSPORTFORNSW TAP SYDNEY AUS Card xx8188 Value Date: 26/02/2023</t>
  </si>
  <si>
    <t>TRANSPORTFORNSW OPAL CHIPPENDALE AUS Card xx8188 Value Date: 27/02/2023</t>
  </si>
  <si>
    <t>Direct Debit 245164 HCFHEALTHANDLIFE 057233969SR6ZDNYTV</t>
  </si>
  <si>
    <t>Transfer To RAMTEAN ROOZBEHANI CommBank App for u</t>
  </si>
  <si>
    <t>Fast Transfer From RAMTEAN ROOZBEHANI loan back</t>
  </si>
  <si>
    <t>SILVER SPOON BISTRO SURRY HILLS NS AUS Card xx8188 Value Date: 27/02/2023</t>
  </si>
  <si>
    <t>WW METRO 1669 SURRY HILLS AU AUS Card xx8188 Value Date: 01/03/2023</t>
  </si>
  <si>
    <t>TRANSPORTFORNSW OPAL CHIPPENDALE AUS Card xx8188 Value Date: 01/03/2023</t>
  </si>
  <si>
    <t>Salary SERVAUPAYROLL 21093P 85920286</t>
  </si>
  <si>
    <t>SUSHI OTAKU SURRY HILLS NS AUS Card xx8188 Value Date: 01/03/2023</t>
  </si>
  <si>
    <t>Patreon* Membership INTERNET AUS Card xx8188 Value Date: 02/03/2023</t>
  </si>
  <si>
    <t>Return SoundCloud Yearly Next Berlin DE DEU Card xx8188 AUD 145.00 Value Date: 01/03/2023</t>
  </si>
  <si>
    <t>TRANSPORTFORNSW TAP SYDNEY AUS Card xx8188 Value Date: 02/03/2023</t>
  </si>
  <si>
    <t>SILVER SPOON BISTRO SURRY HILLS NS AUS Card xx8188 Value Date: 07/03/2023</t>
  </si>
  <si>
    <t>Fast Transfer From ARASH NIKHOUSH to PayID Phone S01</t>
  </si>
  <si>
    <t>UBER* EATS SYDNEY NS AUS Card xx8188 Value Date: 10/03/2023</t>
  </si>
  <si>
    <t>SEOG KYU CHOI DRUMMOYNE NSW AU</t>
  </si>
  <si>
    <t>TRANSPORTFORNSW OPAL CHIPPENDALE AUS Card xx8188 Value Date: 15/03/2023</t>
  </si>
  <si>
    <t>Salary SERVAUPAYROLL 21131P 85920286</t>
  </si>
  <si>
    <t>RAYVEN PTY LTD SYDNEY NSW AU</t>
  </si>
  <si>
    <t>SQ *MOOM LIVING Pyrmont AU</t>
  </si>
  <si>
    <t>Wdl ATM CBA ATM DARLING PARK NSW 202891 AUS</t>
  </si>
  <si>
    <t>Fast Transfer From ARASH NIKHOUSH to PayID Phone Production Session2</t>
  </si>
  <si>
    <t>BEATPORT 720-974-9500 CO USA Card xx8188 AUD 1.86 Value Date: 16/03/2023</t>
  </si>
  <si>
    <t>International Transaction Fee Value Date: 15/03/2023</t>
  </si>
  <si>
    <t>WAVES INC 8659099200 TN USA Card xx8188 USD 84.68 Value Date: 16/03/2023</t>
  </si>
  <si>
    <t>Google YouTube Videos Pyrmont AU AUS Card xx8188 Value Date: 19/03/2023</t>
  </si>
  <si>
    <t>UBER *EATS Sydney AU AUS Card xx8188 Value Date: 19/03/2023</t>
  </si>
  <si>
    <t>Menulog Pty Ltd Sydney AU AUS Card xx8188 Value Date: 19/03/2023</t>
  </si>
  <si>
    <t>Google YouTube Videos Pyrmont AU AUS Card xx8188 Value Date: 20/03/2023</t>
  </si>
  <si>
    <t>GM CABS PTY LTD MASCOT AUS Card xx8188 Value Date: 19/03/2023</t>
  </si>
  <si>
    <t>Google YouTube Videos Pyrmont AU AUS Card xx8188 Value Date: 21/03/2023</t>
  </si>
  <si>
    <t>COLES 0849 DRUMMOYNE AU AUS Card xx8188 Value Date: 20/03/2023</t>
  </si>
  <si>
    <t>Telstra Direct Debit AUSTRALIA SA AUS Card xx8188 Value Date: 21/03/2023</t>
  </si>
  <si>
    <t>BAR TOSCA SYDNEY NS AUS Card xx8188 Value Date: 22/03/2023</t>
  </si>
  <si>
    <t>TRANSPORTFORNSW OPAL CHIPPENDALE AUS Card xx8188 Value Date: 22/03/2023</t>
  </si>
  <si>
    <t>7-ELEVEN 2048 DRUMMOYNE AU</t>
  </si>
  <si>
    <t>International Transaction Fee Value Date: 24/03/2023</t>
  </si>
  <si>
    <t>MIDJOURNEY INC. SOUTH SAN FRA CA USA Card xx8188 USD 11.00 Value Date: 25/03/2023</t>
  </si>
  <si>
    <t>TRANSPORTFORNSW OPAL CHIPPENDALE AUS Card xx8188 Value Date: 27/03/2023</t>
  </si>
  <si>
    <t>Fast Transfer From ARASH NIKHOUSH to PayID Phone Music Production</t>
  </si>
  <si>
    <t>LINKT SYDNEY SYDNEY AUS Card xx8188 Value Date: 28/03/2023</t>
  </si>
  <si>
    <t>TRANSPORTFORNSW OPAL CHIPPENDALE AUS Card xx8188 Value Date: 29/03/2023</t>
  </si>
  <si>
    <t>Salary SERVAUPAYROLL 21050P 85920286</t>
  </si>
  <si>
    <t>BAR TOSCA SYDNEY NS AUS Card xx8188 Value Date: 29/03/2023</t>
  </si>
  <si>
    <t>Google YouTube Videos Pyrmont AU AUS Card xx8188 Value Date: 29/03/2023</t>
  </si>
  <si>
    <t>JB HI FI SYDNEY CITY SYDNEY NS AUS Card xx8188 Value Date: 29/03/2023</t>
  </si>
  <si>
    <t>Direct Debit 245164 HCFHEALTHANDLIFE 057233969SZD6VADV1</t>
  </si>
  <si>
    <t>AMAZON MARKETPLACE AU SYDNEY SOUTH NS AUS Card xx8188 Value Date: 31/03/2023</t>
  </si>
  <si>
    <t>Patreon* Membership INTERNET AUS Card xx8188 Value Date: 02/04/2023</t>
  </si>
  <si>
    <t>BAR TOSCA SYDNEY NS AUS Card xx8188 Value Date: 03/04/2023</t>
  </si>
  <si>
    <t>TRANSPORTFORNSW OPAL CHIPPENDALE AUS Card xx8188 Value Date: 04/04/2023</t>
  </si>
  <si>
    <t>COLES EXPRESS 1617 DRUMMOYNE AU</t>
  </si>
  <si>
    <t>Microsoft*Subscription msbill.info AU AUS Card xx8188 Value Date: 06/04/2023</t>
  </si>
  <si>
    <t>BP ROSE BAY CENT 7750 ROSE BAY NS AUS Card xx8188 Value Date: 05/04/2023</t>
  </si>
  <si>
    <t>International Transaction Fee Value Date: 07/04/2023</t>
  </si>
  <si>
    <t>WAVES INC 8659099200 TN USA Card xx8188 USD 32.99 Value Date: 07/04/2023</t>
  </si>
  <si>
    <t>UBER *EATS Sydney AU AUS Card xx8188 Value Date: 10/04/2023</t>
  </si>
  <si>
    <t>TRANSPORTFORNSW OPAL CHIPPENDALE AUS Card xx8188 Value Date: 11/04/2023</t>
  </si>
  <si>
    <t>COLES 0849 DRUMMOYNE AU AUS Card xx8188 Value Date: 11/04/2023</t>
  </si>
  <si>
    <t>BAR TOSCA SYDNEY NS AUS Card xx8188 Value Date: 11/04/2023</t>
  </si>
  <si>
    <t>Salary SERVAUPAYROLL 20303P 85920286</t>
  </si>
  <si>
    <t>SILVER SPOON BISTRO SURRY HILLS NS AUS Card xx8188 Value Date: 12/04/2023</t>
  </si>
  <si>
    <t>Fast Transfer From JONATHAN OLIVER frappe</t>
  </si>
  <si>
    <t>Fast Transfer From ARASH NIKHOUSH Music Production</t>
  </si>
  <si>
    <t>Menulog Pty Ltd Sydney AU AUS Card xx8188 Value Date: 15/04/2023</t>
  </si>
  <si>
    <t>International Transaction Fee Value Date: 15/04/2023</t>
  </si>
  <si>
    <t>JAKEREEDMUSIC.COM SOUTH PASADEN CA USA Card xx8188 USD 50.00 Value Date: 15/04/2023</t>
  </si>
  <si>
    <t>UBER *EATS Sydney AU AUS Card xx8188 Value Date: 15/04/2023</t>
  </si>
  <si>
    <t>TRANSPORTFORNSW OPAL CHIPPENDALE AUS Card xx8188 Value Date: 17/04/2023</t>
  </si>
  <si>
    <t>WW METRO 1669 SURRY HILLS AU AUS Card xx8188 Value Date: 17/04/2023</t>
  </si>
  <si>
    <t>UBER *EATS Sydney AU AUS Card xx8188 Value Date: 16/04/2023</t>
  </si>
  <si>
    <t>UBER *EATS Sydney AU AUS Card xx8188 Value Date: 17/04/2023</t>
  </si>
  <si>
    <t>WW METRO 1669 SURRY HILLS AU AUS Card xx8188 Value Date: 19/04/2023</t>
  </si>
  <si>
    <t>SILVER SPOON BISTRO SURRY HILLS NS AUS Card xx8188 Value Date: 18/04/2023</t>
  </si>
  <si>
    <t>Telstra Direct Debit AUSTRALIA SA AUS Card xx8188 Value Date: 19/04/2023</t>
  </si>
  <si>
    <t>UBER *EATS Sydney AU AUS Card xx8188 Value Date: 20/04/2023</t>
  </si>
  <si>
    <t>UBER *EATS Sydney AU AUS Card xx8188 Value Date: 23/04/2023</t>
  </si>
  <si>
    <t>Transfer To RAMTEAN ROOZBEHANI CommBank App for grunt</t>
  </si>
  <si>
    <t>UBER* EATS SYDNEY NS AUS Card xx8188 Value Date: 24/04/2023</t>
  </si>
  <si>
    <t>International Transaction Fee Value Date: 24/04/2023</t>
  </si>
  <si>
    <t>MIDJOURNEY INC. SOUTH SAN FRA CA USA Card xx8188 USD 11.00 Value Date: 25/04/2023</t>
  </si>
  <si>
    <t>TRANSPORTFORNSW OPAL CHIPPENDALE AUS Card xx8188 Value Date: 26/04/2023</t>
  </si>
  <si>
    <t>Salary SERVAUPAYROLL 20533P 85920286</t>
  </si>
  <si>
    <t>WW METRO 1669 SURRY HILLS AU AUS Card xx8188 Value Date: 26/04/2023</t>
  </si>
  <si>
    <t>COLES 0849 DRUMMOYNE AU AUS Card xx8188 Value Date: 25/04/2023</t>
  </si>
  <si>
    <t>SDRO INFRNGMNT PAYME MAITLAND NS AUS Card xx8188 Value Date: 26/04/2023</t>
  </si>
  <si>
    <t>Direct Credit 245127 HCFHEALTH 057233969SVTU3IEOI</t>
  </si>
  <si>
    <t>Direct Debit 245164 HCFHEALTH 057233969SVTU3IEOI</t>
  </si>
  <si>
    <t>Direct Debit 245164 HCFHEALTHANDLIFE 057233969SEFF4S089</t>
  </si>
  <si>
    <t>SQ *TENTACIONES Surry Hills AU</t>
  </si>
  <si>
    <t>UBER* EATS SYDNEY NS AUS Card xx8188 Value Date: 30/04/2023</t>
  </si>
  <si>
    <t>WW METRO 1669 SURRY HILLS AU AUS Card xx8188 Value Date: 01/05/2023</t>
  </si>
  <si>
    <t>International Transaction Fee Value Date: 01/05/2023</t>
  </si>
  <si>
    <t>Patreon* Membership INTERNET AUS Card xx8188 Value Date: 02/05/2023</t>
  </si>
  <si>
    <t>TRANSPORTFORNSW OPAL CHIPPENDALE AUS Card xx8188 Value Date: 02/05/2023</t>
  </si>
  <si>
    <t>WW METRO 1669 SURRY HILLS AU AUS Card xx8188 Value Date: 02/05/2023</t>
  </si>
  <si>
    <t>WW METRO 1669 SURRY HILLS AU AUS Card xx8188 Value Date: 03/05/2023</t>
  </si>
  <si>
    <t>Fast Transfer From MASOUMEH GHOLAMSHAHI With Thanks for Payment for tonight</t>
  </si>
  <si>
    <t>Moretti Ristorante Leichhardt AU</t>
  </si>
  <si>
    <t>CAFFE CHERRY BEANS-B DRUMMOYNE NS AUS Card xx8188 Value Date: 06/05/2023</t>
  </si>
  <si>
    <t>7-ELEVEN 2270 ROZELLE NS AUS Card xx8188 Value Date: 06/05/2023</t>
  </si>
  <si>
    <t>TRANSPORTFORNSW OPAL CHIPPENDALE AUS Card xx8188 Value Date: 09/05/2023</t>
  </si>
  <si>
    <t>Salary SERVAUPAYROLL 20194P 85920286</t>
  </si>
  <si>
    <t>WW METRO 1669 SURRY HILLS AU AUS Card xx8188 Value Date: 10/05/2023</t>
  </si>
  <si>
    <t>Dick's Hotel Balmain Balmain AU</t>
  </si>
  <si>
    <t>Fast Transfer From RAMTEAN ROOZBEHANI loanies</t>
  </si>
  <si>
    <t>MALONEYS GROCER PTY SURRY HILLS AU Card xx8188</t>
  </si>
  <si>
    <t>Fast Transfer From BISHOP WARREN GRANT to PayID Phone RODEAN LUNCH</t>
  </si>
  <si>
    <t>UBER *EATS Sydney AU AUS Card xx8188 Value Date: 14/05/2023</t>
  </si>
  <si>
    <t>WW METRO 1669 SURRY HILLS AU AUS Card xx8188 Value Date: 15/05/2023</t>
  </si>
  <si>
    <t>TRANSPORTFORNSW OPAL CHIPPENDALE AUS Card xx8188 Value Date: 16/05/2023</t>
  </si>
  <si>
    <t>WW METRO 1669 SURRY HILLS AU AUS Card xx8188 Value Date: 16/05/2023</t>
  </si>
  <si>
    <t>Telstra Direct Debit AUSTRALIA SA AUS Card xx8188 Value Date: 16/05/2023</t>
  </si>
  <si>
    <t>TIMEZONE CHATSWOOD AU Card xx8188</t>
  </si>
  <si>
    <t>Photown Alexandria Alexandria AU</t>
  </si>
  <si>
    <t>UBER *EATS Sydney AU AUS Card xx8188 Value Date: 19/05/2023</t>
  </si>
  <si>
    <t>HUNTERS HILL COUNCIL HUNTERS HILL AU AUS Card xx8188 Value Date: 20/05/2023</t>
  </si>
  <si>
    <t>DECKHOUSE CAFE WOOLWICH AU AUS Card xx8188 Value Date: 20/05/2023</t>
  </si>
  <si>
    <t>HAAK EATERY PTY LTD SURRY HILLS AU</t>
  </si>
  <si>
    <t>WW METRO 1669 SURRY HILLS AU AUS Card xx8188 Value Date: 22/05/2023</t>
  </si>
  <si>
    <t>TRANSPORTFORNSW OPAL CHIPPENDALE AUS Card xx8188 Value Date: 23/05/2023</t>
  </si>
  <si>
    <t>WW METRO 1669 SURRY HILLS AU AUS Card xx8188 Value Date: 23/05/2023</t>
  </si>
  <si>
    <t>Salary SERVAUPAYROLL 19545P 85920286</t>
  </si>
  <si>
    <t>International Transaction Fee Value Date: 24/05/2023</t>
  </si>
  <si>
    <t>MIDJOURNEY INC. SOUTH SAN FRA CA USA Card xx8188 USD 11.00 Value Date: 25/05/2023</t>
  </si>
  <si>
    <t>UBER *EATS Sydney AU AUS Card xx8188 Value Date: 28/05/2023</t>
  </si>
  <si>
    <t>TRANSPORTFORNSW OPAL CHIPPENDALE AUS Card xx8188 Value Date: 29/05/2023</t>
  </si>
  <si>
    <t>SUSHI OTAKU SURRY HILLS NS AUS Card xx8188 Value Date: 29/05/2023</t>
  </si>
  <si>
    <t>Direct Debit 245164 HCFHEALTHANDLIFE 057233969S3L4F3XB2</t>
  </si>
  <si>
    <t>Fast Transfer From JONATHAN OLIVER shopping</t>
  </si>
  <si>
    <t>BAR TOSCA SYDNEY NS AUS Card xx8188 Value Date: 30/05/2023</t>
  </si>
  <si>
    <t>LINKT SYDNEY SYDNEY AUS Card xx8188 Value Date: 30/05/2023</t>
  </si>
  <si>
    <t>TRANSPORTFORNSW OPAL CHIPPENDALE AUS Card xx8188 Value Date: 31/05/2023</t>
  </si>
  <si>
    <t>WW METRO 1669 SURRY HILLS AU AUS Card xx8188 Value Date: 31/05/2023</t>
  </si>
  <si>
    <t>Patreon* Membership INTERNET AUS Card xx8188 Value Date: 02/06/2023</t>
  </si>
  <si>
    <t>SILVER SPOON BISTRO SURRY HILLS NS AUS Card xx8188 Value Date: 31/05/2023</t>
  </si>
  <si>
    <t>CHARGRILL CHARLIES Drummoyne NS AUS Card xx8188 Value Date: 02/06/2023</t>
  </si>
  <si>
    <t>UBER* EATS SYDNEY NS AUS Card xx8188 Value Date: 03/06/2023</t>
  </si>
  <si>
    <t>SUSHI OTAKU SURRY HILLS NS AUS Card xx8188 Value Date: 05/06/2023</t>
  </si>
  <si>
    <t>WW METRO 1669 SURRY HILLS AU AUS Card xx8188 Value Date: 05/06/2023</t>
  </si>
  <si>
    <t>TRANSPORTFORNSW TAP SYDNEY AUS Card xx8188 Value Date: 06/06/2023</t>
  </si>
  <si>
    <t>Refund from CBA Value Date: 07/06/2023</t>
  </si>
  <si>
    <t>Salary SERVAUPAYROLL 19311P 85920286</t>
  </si>
  <si>
    <t>UBER *EATS Sydney AU AUS Card xx8188 Value Date: 06/06/2023</t>
  </si>
  <si>
    <t>UBER *EATS Sydney AU AUS Card xx8188 Value Date: 07/06/2023</t>
  </si>
  <si>
    <t>Dumplings &amp; Momo House Sydney AU</t>
  </si>
  <si>
    <t>UBER *EATS Sydney AU AUS Card xx8188 Value Date: 11/06/2023</t>
  </si>
  <si>
    <t>TRANSPORTFORNSW OPAL CHIPPENDALE AUS Card xx8188 Value Date: 13/06/2023</t>
  </si>
  <si>
    <t>BAR TOSCA SYDNEY NS AUS Card xx8188 Value Date: 13/06/2023</t>
  </si>
  <si>
    <t>SILVER SPOON BISTRO SURRY HILLS NS AUS Card xx8188 Value Date: 14/06/2023</t>
  </si>
  <si>
    <t>Telstra Direct Debit AUSTRALIA SA AUS Card xx8188 Value Date: 15/06/2023</t>
  </si>
  <si>
    <t>UBER *EATS Sydney AU AUS Card xx8188 Value Date: 16/06/2023</t>
  </si>
  <si>
    <t>UBER *EATS Sydney AU AUS Card xx8188 Value Date: 19/06/2023</t>
  </si>
  <si>
    <t>Fast Transfer From JONATHAN OLIVER MPC 1/16 MPC 1/16</t>
  </si>
  <si>
    <t>COLES 0849 DRUMMOYNE AU AUS Card xx8188 Value Date: 21/06/2023</t>
  </si>
  <si>
    <t>UBER *EATS Sydney AU AUS Card xx8188 Value Date: 23/06/2023</t>
  </si>
  <si>
    <t>International Transaction Fee Value Date: 24/06/2023</t>
  </si>
  <si>
    <t>MIDJOURNEY INC. SOUTH SAN FRA CA USA Card xx8188 USD 11.00 Value Date: 25/06/2023</t>
  </si>
  <si>
    <t>Revolut**8052* Melbourne AU AUS Card xx8188 Value Date: 26/06/2023</t>
  </si>
  <si>
    <t>SDRO INFRNGMNT PAYME MAITLAND NS AUS Card xx8188 Value Date: 27/06/2023</t>
  </si>
  <si>
    <t>Direct Debit 245164 HCFHEALTHANDLIFE 057233969SM7IZH6UO</t>
  </si>
  <si>
    <t>UBER* EATS SYDNEY NS AUS Card xx8188 Value Date: 30/06/2023</t>
  </si>
  <si>
    <t>CKO*Patreon INTERNET AUS Card xx8188 Value Date: 01/07/2023</t>
  </si>
  <si>
    <t>TRANSPORTFORNSW OPAL CHIPPENDALE AUS Card xx8188 Value Date: 03/07/2023</t>
  </si>
  <si>
    <t>Fast Transfer From JONATHAN OLIVER MPC 2/16 mpc 2/16</t>
  </si>
  <si>
    <t>TRANSPORTFORNSW OPAL CHIPPENDALE AUS Card xx8188 Value Date: 05/07/2023</t>
  </si>
  <si>
    <t>Salary SERVAUPAYROLL 20120P 85920286</t>
  </si>
  <si>
    <t>Refund from CBA</t>
  </si>
  <si>
    <t>Transfer from ARASH NIKHOUSH Production</t>
  </si>
  <si>
    <t>Internet share</t>
  </si>
  <si>
    <t>Fast Transfer From YIXUAN LIAO to PayID Phone Moog Lp thanks</t>
  </si>
  <si>
    <t>Netbank to Complete Access Chair HrmnMiller Beyou</t>
  </si>
  <si>
    <t>Internet Share 2 months</t>
  </si>
  <si>
    <t xml:space="preserve"> Transfer from xx8675 NetBank</t>
  </si>
  <si>
    <t>Transfer To Masoumeh Gholamshahi CommBank App food - movies</t>
  </si>
  <si>
    <t>Cardless Cash for collection stuff</t>
  </si>
  <si>
    <t>Cardless Cash return food and stuff</t>
  </si>
  <si>
    <t>Cardless Cash for collection food and stuff</t>
  </si>
  <si>
    <t>International Transaction Fee Value Date: 24/07/2023</t>
  </si>
  <si>
    <t>MIDJOURNEY INC. SOUTH SAN FRA CA USA Card xx7126 USD 11.00 Value Date: 25/07/2023</t>
  </si>
  <si>
    <t>BANDCAMP MEEM 402-935-7733 CA USA Card xx7126 AUD 15.00 Value Date: 22/07/2023</t>
  </si>
  <si>
    <t>International Transaction Fee Value Date: 22/07/2023</t>
  </si>
  <si>
    <t>ARTURIA MONTBONNOT ST FR FRA Card xx7126 USD 74.00 Value Date: 22/07/2023</t>
  </si>
  <si>
    <t>UBER *TRIP HELP.UBER.COM NH NLD Card xx7126 EUR 29.96 Value Date: 22/07/2023</t>
  </si>
  <si>
    <t>UBER *TRIP HELP.UBER.COM NH NLD Card xx7126 EUR 27.44 Value Date: 22/07/2023</t>
  </si>
  <si>
    <t>UBER *TRIP HELP.UBER.COM NH NLD Card xx7126 EUR 21.71 Value Date: 22/07/2023</t>
  </si>
  <si>
    <t>UBER *TRIP HELP.UBER.COM NH NLD Card xx7126 EUR 7.20 Value Date: 22/07/2023</t>
  </si>
  <si>
    <t>UBER *TRIP HELP.UBER.C Amsterdam NL NLD Card xx7126 EUR 112.80 Value Date: 22/07/2023</t>
  </si>
  <si>
    <t>UBER *EATS Sydney AU AUS Card xx8188 Value Date: 20/07/2023</t>
  </si>
  <si>
    <t>7-ELEVEN 2048 DRUMMOYNE NS AUS Card xx8188 Value Date: 19/07/2023</t>
  </si>
  <si>
    <t>Direct Debit 002619 THE C&amp;PSU CPSU Membership</t>
  </si>
  <si>
    <t>Fast Transfer From JONATHAN OLIVER MPC 3/16 MPC 3/16</t>
  </si>
  <si>
    <t>Salary SERVAUPAYROLL 19371P 85920286</t>
  </si>
  <si>
    <t>Telstra Direct Debit AUSTRALIA SA AUS Card xx8188 Value Date: 17/07/2023</t>
  </si>
  <si>
    <t>TRANSPORTFORNSW OPAL CHIPPENDALE AUS Card xx8188 Value Date: 11/07/2023</t>
  </si>
  <si>
    <t>Fast Transfer From GEOFFREY COLLINS geoff geoff</t>
  </si>
  <si>
    <t>Direct Credit 617702 PAYPAL AUSTRALIA 1028072139454</t>
  </si>
  <si>
    <t>Interest Rate</t>
  </si>
  <si>
    <t>HARRIS FARM MARKETS DRUMMOYNE AU Card xx2869</t>
  </si>
  <si>
    <t>Transfer to CBA A/c NetBank Internet</t>
  </si>
  <si>
    <t>Unpaid NetBank Payment Fee</t>
  </si>
  <si>
    <t>Transfer To Jonathan K Oliver CommBank App rent</t>
  </si>
  <si>
    <t>Transfer to xx8675 CommBank app</t>
  </si>
  <si>
    <t>ZLR*Amir Baulkham Hill AU</t>
  </si>
  <si>
    <t>THE WHITE BARN POKO POKOLBIN AU</t>
  </si>
  <si>
    <t>NEWPORTO WYONG JILLIBY AU</t>
  </si>
  <si>
    <t>LOUIE Coogee AU</t>
  </si>
  <si>
    <t>International Transaction Fee Value Date: 24/09/2023</t>
  </si>
  <si>
    <t>MIDJOURNEY INC. SOUTH SAN FRA CA USA Card xx2869 USD 11.00 Value Date: 25/09/2023</t>
  </si>
  <si>
    <t>UBER *TRIP Sydney AU AUS Card xx2869 Value Date: 25/09/2023</t>
  </si>
  <si>
    <t>CHARGRILL CHARLIES Drummoyne NS AUS Card xx2869 Value Date: 22/09/2023</t>
  </si>
  <si>
    <t>UBER *EATS Sydney AU AUS Card xx2869 Value Date: 24/09/2023</t>
  </si>
  <si>
    <t>UBER *TRIP Sydney AU AUS Card xx2869 Value Date: 24/09/2023</t>
  </si>
  <si>
    <t>UBER *TRIP Sydney AU AUS Card xx2869 Value Date: 23/09/2023</t>
  </si>
  <si>
    <t>7-ELEVEN 2048 DRUMMOYNE AU Cash Out $100.00</t>
  </si>
  <si>
    <t>The Sporting Globe Sydney AU</t>
  </si>
  <si>
    <t>International Transaction Fee Value Date: 20/09/2023</t>
  </si>
  <si>
    <t>SP LOUIS CK COLUMBIA TN USA Card xx2869 USD 15.00 Value Date: 20/09/2023</t>
  </si>
  <si>
    <t>LIQUORLAND 3301 DRUMMOYNE AU</t>
  </si>
  <si>
    <t>GM CABS PTY LTD MASCOT AUS Card xx2869 Value Date: 15/09/2023</t>
  </si>
  <si>
    <t>TRANSPORTFORNSW OPAL CHIPPENDALE AUS Card xx2869 Value Date: 19/09/2023</t>
  </si>
  <si>
    <t>CHARGRILL CHARLIES Drummoyne NS AUS Card xx2869 Value Date: 15/09/2023</t>
  </si>
  <si>
    <t>Sussudio Sydney Potts Point NS AUS Card xx2869 Value Date: 16/09/2023</t>
  </si>
  <si>
    <t>WOOLLOOMOOLOO BAY WOOLLOOMOOLOO AU AUS Card xx2869 Value Date: 15/09/2023</t>
  </si>
  <si>
    <t>UBER *EATS Sydney AU AUS Card xx2869 Value Date: 17/09/2023</t>
  </si>
  <si>
    <t>UBER *TRIP Sydney AU AUS Card xx2869 Value Date: 16/09/2023</t>
  </si>
  <si>
    <t>Coogee Bay Hotel Coogee AU</t>
  </si>
  <si>
    <t>MCDONALDS COOGEE COOGEE NSWAU</t>
  </si>
  <si>
    <t>COLES 0849 DRUMMOYNE AU AUS Card xx2869 Value Date: 13/09/2023</t>
  </si>
  <si>
    <t>Fast Transfer From JONATHAN OLIVER MPC 7/16 MPC 7/16</t>
  </si>
  <si>
    <t>TELSTRA BILL PAYMENT MELBOURNE AUS Card xx2869 Value Date: 13/09/2023</t>
  </si>
  <si>
    <t>Salary SERVAUPAYROLL 19453P 85920286</t>
  </si>
  <si>
    <t>WOOLWORTHS 1188 BALMAIN AU AUS Card xx2869 Value Date: 11/09/2023</t>
  </si>
  <si>
    <t>EB *BNC pres.Kasper Ko 801-413-7200 VI AUS Card xx2869 Value Date: 10/09/2023</t>
  </si>
  <si>
    <t>QE FOODSTORES BALMAIN NS AUS Card xx2869 Value Date: 08/09/2023</t>
  </si>
  <si>
    <t>WOOLWORTHS 1188 BALMAIN AU AUS Card xx2869 Value Date: 09/09/2023</t>
  </si>
  <si>
    <t>UBER *EATS Sydney AU AUS Card xx2869 Value Date: 10/09/2023</t>
  </si>
  <si>
    <t>TRANSPORTFORNSW OPAL CHIPPENDALE AUS Card xx2869 Value Date: 11/09/2023</t>
  </si>
  <si>
    <t>SQ *T1721 GM CABS Drummoyne AU</t>
  </si>
  <si>
    <t>Transfer To RAMTEAN ROOZBEHANI CommBank App jji</t>
  </si>
  <si>
    <t>Ivy Pool Club Sydney AU</t>
  </si>
  <si>
    <t>SMP*Fire and Food Aus Sydney02 AU</t>
  </si>
  <si>
    <t>COLES 0849 DRUMMOYNE AU AUS Card xx2869 Value Date: 04/09/2023</t>
  </si>
  <si>
    <t>PEACH AUDIO ANNANDALE NS AUS Card xx2869 Value Date: 01/09/2023</t>
  </si>
  <si>
    <t>COLES EXPRESS 1617 DRUMMOYNE AU AUS Card xx2869 Value Date: 02/09/2023</t>
  </si>
  <si>
    <t>SQ *EAT AT ROBS - DARL Rozelle AU</t>
  </si>
  <si>
    <t>The Alexandria Hotel Alexandria AU</t>
  </si>
  <si>
    <t>BREWDOG SOUTH EVELEIG Eveleigh AU</t>
  </si>
  <si>
    <t>Overdraw Fee For exceeding available funds on 01 Sep</t>
  </si>
  <si>
    <t>Transfer To Amir Ehsani CommBank App brewdog food n drinks</t>
  </si>
  <si>
    <t>Direct Debit 245164 HCFHEALTHANDLIFE 057233969SCTQCEVGK</t>
  </si>
  <si>
    <t>QE FOODSTORES BALMAIN AU</t>
  </si>
  <si>
    <t>Fast Transfer From JONATHAN OLIVER mpc 6/16</t>
  </si>
  <si>
    <t>TRANSPORTFORNSW OPAL CHIPPENDALE AUS Card xx2869 Value Date: 30/08/2023</t>
  </si>
  <si>
    <t>Salary SERVAUPAYROLL 19265P 85920286</t>
  </si>
  <si>
    <t>QE FOODSTORES BALMAIN NS AUS Card xx2869 Value Date: 25/08/2023</t>
  </si>
  <si>
    <t>International Transaction Fee Value Date: 24/08/2023</t>
  </si>
  <si>
    <t>MIDJOURNEY INC. SOUTH SAN FRA CA USA Card xx2869 USD 11.00 Value Date: 25/08/2023</t>
  </si>
  <si>
    <t>UBER *EATS Sydney AU AUS Card xx2869 Value Date: 26/08/2023</t>
  </si>
  <si>
    <t>TRANSPORTFORNSW OPAL CHIPPENDALE AUS Card xx2869 Value Date: 28/08/2023</t>
  </si>
  <si>
    <t>Fast Transfer From JONATHAN OLIVER brownies</t>
  </si>
  <si>
    <t>TRANSPORTFORNSW TAP SYDNEY AUS Card xx2869 Value Date: 25/08/2023</t>
  </si>
  <si>
    <t>B AND C PHARMACY SERVI BALMAIN NS AUS Card xx2869 Value Date: 23/08/2023</t>
  </si>
  <si>
    <t>QE FOODSTORES BALMAIN NS AUS Card xx2869 Value Date: 23/08/2023</t>
  </si>
  <si>
    <t>Fast Transfer From JOSEPH SALLUSTIO Dinner</t>
  </si>
  <si>
    <t>PA RYDE ISE SUPERMARK RYDE NS AUS Card xx2869 Value Date: 21/08/2023</t>
  </si>
  <si>
    <t>UBER *EATS Sydney AU AUS Card xx2869 Value Date: 18/08/2023</t>
  </si>
  <si>
    <t>BALMAIN THE CHAR PTY BALMAIN AUS Card xx2869 Value Date: 18/08/2023</t>
  </si>
  <si>
    <t>UBER* EATS SYDNEY NS AUS Card xx2869 Value Date: 19/08/2023</t>
  </si>
  <si>
    <t>Oxford Hotel DRUMMOYNE AU AUS Card xx2869 Value Date: 18/08/2023</t>
  </si>
  <si>
    <t>Fast Transfer From JONATHAN OLIVER chinese food dinner</t>
  </si>
  <si>
    <t>TASTE BAGUETTE BALMA BALMAIN NS AUS Card xx2869 Value Date: 17/08/2023</t>
  </si>
  <si>
    <t>SERVICE NSW SYDNEY AUS Card xx2869 Value Date: 15/08/2023</t>
  </si>
  <si>
    <t>Fast Transfer From JONATHAN OLIVER Mpc 5/16 Mpc 5/16</t>
  </si>
  <si>
    <t>International Transaction Fee Value Date: 15/08/2023</t>
  </si>
  <si>
    <t>LALALS.COM ABU DHABI AZ ARE Card xx2869 USD 24.00 Value Date: 15/08/2023</t>
  </si>
  <si>
    <t>UBER *EATS Sydney AU AUS Card xx2869 Value Date: 15/08/2023</t>
  </si>
  <si>
    <t>Salary SERVAUPAYROLL 19584P 85920286</t>
  </si>
  <si>
    <t>PEACH AUDIO ANNANDALE NS AUS Card xx2869 Value Date: 14/08/2023</t>
  </si>
  <si>
    <t>COLES EXPRESS 1617 DRUMMOYNE AU AUS Card xx2869 Value Date: 14/08/2023</t>
  </si>
  <si>
    <t>NRMA WEB SYDNEY NS AUS Card xx2869 Value Date: 14/08/2023</t>
  </si>
  <si>
    <t>ULTRA TUNE DRUMMOYNE AU Card xx2869</t>
  </si>
  <si>
    <t>THE LOOKOUT @ ECHO POI KATOOMBA AU Card xx2869</t>
  </si>
  <si>
    <t>LEURA GOURMET LEURA AU Card xx2869</t>
  </si>
  <si>
    <t>NATIVE INSTRUMENTS BERLIN BE DEU Card xx2869 AUD 1439.20 Value Date: 11/08/2023</t>
  </si>
  <si>
    <t>Transfer from xx8675 CommBank app Value Date: 11/08/2023</t>
  </si>
  <si>
    <t>Transfer To Jonathan K Oliver NetBank Lots of Bills</t>
  </si>
  <si>
    <t>Adjust Purchase ADJUSTMENT TO ACCOUNT Card xx2869 AUD 49.56 Value Date: 22/07/2023</t>
  </si>
  <si>
    <t>Adjust Purchase ADJUSTMENT TO ACCOUNT Card xx2869 AUD 45.39 Value Date: 22/07/2023</t>
  </si>
  <si>
    <t>Adjust Purchase ADJUSTMENT TO ACCOUNT Card xx2869 AUD 11.91 Value Date: 22/07/2023</t>
  </si>
  <si>
    <t>Adjust Purchase ADJUSTMENT TO ACCOUNT Card xx2869 AUD 35.91 Value Date: 22/07/2023</t>
  </si>
  <si>
    <t>Adjust Purchase ADJUSTMENT TO ACCOUNT Card xx2869 AUD 186.59 Value Date: 22/07/2023</t>
  </si>
  <si>
    <t>Rfnd O'Seas Transaction Value Date: 22/07/2023</t>
  </si>
  <si>
    <t>Cardless Cash for collection food</t>
  </si>
  <si>
    <t>Cardless Cash return food</t>
  </si>
  <si>
    <t>Transfer to xx8675 CommBank app netbank saver</t>
  </si>
  <si>
    <t>Fast Transfer From JONATHAN OLIVER Mpc 4/16 mpc 4/16</t>
  </si>
  <si>
    <t>Salary SERVAUPAYROLL 21070P 85920286</t>
  </si>
  <si>
    <t>Direct Debit 245164 HCFHEALTHANDLIFE 057233969SLG7YRD1F</t>
  </si>
  <si>
    <t>Total</t>
  </si>
  <si>
    <t>Utilities</t>
  </si>
  <si>
    <t>Financial Services</t>
  </si>
  <si>
    <t>Occupancy</t>
  </si>
  <si>
    <t>Insurance</t>
  </si>
  <si>
    <t>ANZ Frequent Flyer Black credit card</t>
  </si>
  <si>
    <t>NAB Qantas Rewards Signature Card</t>
  </si>
  <si>
    <t>NAB Qantas Business Signature Card</t>
  </si>
  <si>
    <t>Westpac Altitude Qantas Black credit card</t>
  </si>
  <si>
    <t>Bonus Points</t>
  </si>
  <si>
    <t>Earn Rate (Per Dollar)</t>
  </si>
  <si>
    <t>Annual Fee</t>
  </si>
  <si>
    <t>International Fees</t>
  </si>
  <si>
    <t>Unauthorised Transaction Insurance~
Transport Accident Insurance~
24/7 Emergency assistance if your card is lost or stolen
Visa's Concierge Service**
Visa Offers and Perks***</t>
  </si>
  <si>
    <t>Other benefits</t>
  </si>
  <si>
    <t>Cap (per statement period)</t>
  </si>
  <si>
    <t>Bonus Eligibility</t>
  </si>
  <si>
    <t>Additional Bonus Points</t>
  </si>
  <si>
    <t>1 point up to $7,500
0.5 above $7,500</t>
  </si>
  <si>
    <t>NA</t>
  </si>
  <si>
    <t>2 Complimentary Qantas Club Lounge Invitations per year±
Discounted Qantas Club Membership#
Additional point per $1 on selected Qantas spend~
Complimentary Insurances§</t>
  </si>
  <si>
    <t>$5,000 in 90 days for 100,000 points</t>
  </si>
  <si>
    <t>5 complimentary insurances
NAB Concierge Service</t>
  </si>
  <si>
    <t>$3,000 in 60 days for 90,000 points</t>
  </si>
  <si>
    <t>Conditions</t>
  </si>
  <si>
    <t>$395 on second year</t>
  </si>
  <si>
    <t>20.49% PA on purchases + 21.99% cash advances</t>
  </si>
  <si>
    <t>$6,000 in 120 days for 90,000 points</t>
  </si>
  <si>
    <t>2 Complimentary Qantas Club Lounge Invitations per year+
Complimentary Travel Insurance^^
Complimentary cover for Interstate Flight Inconvenience and International Travel Insurance</t>
  </si>
  <si>
    <t>Points do not expire  so long as the card account is open and active</t>
  </si>
  <si>
    <t>Positive factors</t>
  </si>
  <si>
    <t>$250 discounted on first year
(credited within 3 months of meeting criteria)</t>
  </si>
  <si>
    <t>30,000 points over 12 months
(credited within 3 months of meeting criteria)</t>
  </si>
  <si>
    <t>30,000 points after first purchase in year 2
(credited within 3 months)</t>
  </si>
  <si>
    <t xml:space="preserve">30,000 after 12 months
</t>
  </si>
  <si>
    <t>$4,000 in 60 days for 150,000 points
(credited within 3 months of meeting criteria)</t>
  </si>
  <si>
    <t>Criteria</t>
  </si>
  <si>
    <t>Transactions that don't earn points</t>
  </si>
  <si>
    <t>Cash advances, bank fees, government fees (except ATO payments), balance transfers, foreign exchange, gambling, and unauthorized or fraudulent transactions​</t>
  </si>
  <si>
    <t>interest charges, bank fees, government charges, balance transfers, cash advances, and certain merchant-identified transactions​</t>
  </si>
  <si>
    <t>all fees, interest charges, cash advances, balance transfers, government-related payments, and others​</t>
  </si>
  <si>
    <t>Points gathered with $13,500</t>
  </si>
  <si>
    <t>Year 1: $295 (103,500 points)
Year 2: $690 (133,500 points)</t>
  </si>
  <si>
    <t>Year 1: $370 (100,125 points)
Year 2: $740 (130,125 points)</t>
  </si>
  <si>
    <t>Total Cost + Points Accrued based off conditions</t>
  </si>
  <si>
    <t>Year 1: $295 (158,901 points)</t>
  </si>
  <si>
    <t>Sum Total Points (after 12 months)</t>
  </si>
  <si>
    <t>Sum Total Points (Pre 12 months)</t>
  </si>
  <si>
    <t>Purchase Rate 18.50% &amp; Cash advance rate 21.74% PA</t>
  </si>
  <si>
    <t>Qantas Business Signature Account required for setup.</t>
  </si>
  <si>
    <t>Rodean Notes</t>
  </si>
  <si>
    <t>Syd to Paris</t>
  </si>
  <si>
    <t>Paris to Syd</t>
  </si>
  <si>
    <t>Year 1: $425 (110,500 points)
Year 2: $600 (140,00 points)</t>
  </si>
  <si>
    <t xml:space="preserve">Up to 55 interest-free days on purchases
Minimum credit limit $15,000
</t>
  </si>
  <si>
    <t>FLR/AUD</t>
  </si>
  <si>
    <t>1.5974190569234281 AUD</t>
  </si>
  <si>
    <t>158.14448663542035 AUD</t>
  </si>
  <si>
    <t>0.20202020202020066 AUD</t>
  </si>
  <si>
    <t>20 AUD</t>
  </si>
  <si>
    <t>0.0990099009900991 AUD</t>
  </si>
  <si>
    <t>10.00 AUD</t>
  </si>
  <si>
    <t>0.15151515151515227 AUD</t>
  </si>
  <si>
    <t>15 AUD</t>
  </si>
  <si>
    <t>2.2803030303030313e-7 AUD</t>
  </si>
  <si>
    <t>0.000022575 AUD</t>
  </si>
  <si>
    <t>SGB/AUD</t>
  </si>
  <si>
    <t>Hotel CBD Sydney AU</t>
  </si>
  <si>
    <t>Food and Dining</t>
  </si>
  <si>
    <t>Healthcare</t>
  </si>
  <si>
    <t>Shopping and Retail</t>
  </si>
  <si>
    <t>Entertainment and Recreation</t>
  </si>
  <si>
    <t>Miscellaneous Expenses</t>
  </si>
  <si>
    <t>Accomodation</t>
  </si>
  <si>
    <t>CATCH BENTLEIGH EAS VI AUS Card xx8882 Value Date: 24/12/2020 (DJI Mavic 2 Fly more Pack)</t>
  </si>
  <si>
    <t>Housing</t>
  </si>
  <si>
    <t>Business Services and Equipment</t>
  </si>
  <si>
    <t>Public Service</t>
  </si>
  <si>
    <t>Henry St Apartment</t>
  </si>
  <si>
    <t>Travel: Public</t>
  </si>
  <si>
    <t>Travel: Car</t>
  </si>
  <si>
    <t>Complete Access</t>
  </si>
  <si>
    <t>Transfer to xx6542 CommBank app</t>
  </si>
  <si>
    <t>Credit Interest</t>
  </si>
  <si>
    <t>Transfer from xx6542 CommBank app</t>
  </si>
  <si>
    <t>Transfer to xx6542 CommBank app Value Date: 11/08/2023</t>
  </si>
  <si>
    <t>Transfer from xx6542 CommBank app netbank saver</t>
  </si>
  <si>
    <t>Direct Credit 012721 ATO ATO007000017224616</t>
  </si>
  <si>
    <t>Transfer to xx6542 NetBank ua inflator</t>
  </si>
  <si>
    <t>Netbank Saver</t>
  </si>
  <si>
    <t>NEW MILLENNIUM 2 PTY L SURRY HILLS  AUS Tap and Pay xx4622 Value Date: 08/01/2019 (Camys Chicken)</t>
  </si>
  <si>
    <t>NEW MILLENNIUM 2 PTY L SURRY HILLS  AUS Tap and Pay xx4622 Value Date: 21/12/2018 (Camys Chicken)</t>
  </si>
  <si>
    <t>NEW MILLENNIUM 2 PTY L SURRY HILLS  AUS Tap and Pay xx4622 Value Date: 20/12/2018 (Camys Chicken)</t>
  </si>
  <si>
    <t>NEW MILLENNIUM 2 PTY L SURRY HILLS  AUS Tap and Pay xx4622 Value Date: 19/12/2018 (Camys Chicken)</t>
  </si>
  <si>
    <t>NEW MILLENNIUM 2 PTY L SURRY HILLS  AUS Tap and Pay xx4622 Value Date: 17/12/2018 (Camys Chicken)</t>
  </si>
  <si>
    <t>NEW MILLENNIUM 2 PTY L SURRY HILLS  AUS Tap and Pay xx4622 Value Date: 13/12/2018 (Camys Chicken)</t>
  </si>
  <si>
    <t>NEW MILLENNIUM 2 PTY L SURRY HILLS  AUS Tap and Pay xx4622 Value Date: 10/12/2018 (Camys Chicken)</t>
  </si>
  <si>
    <t>NEW MILLENNIUM 2 PTY L SURRY HILLS  AUS Tap and Pay xx4622 Value Date: 04/12/2018 (Camys Chicken)</t>
  </si>
  <si>
    <t>NEW MILLENNIUM 2 PTY L SURRY HILLS  AUS Tap and Pay xx4622 Value Date: 12/11/2018 (Camys Chicken)</t>
  </si>
  <si>
    <t>NEW MILLENNIUM 2 PTY L SURRY HILLS  AUS Tap and Pay xx4622 Value Date: 05/11/2018 (Camys Chicken)</t>
  </si>
  <si>
    <t>NEW MILLENNIUM 2 PTY L SURRY HILLS  AUS Tap and Pay xx4622 Value Date: 29/10/2018 (Camys Chicken)</t>
  </si>
  <si>
    <t>NEW MILLENNIUM 2 PTY L   SURRY HILLS  AU (Camys Chicken)</t>
  </si>
  <si>
    <t>NEW MILLENNIUM 2 PTY L SURRY HILLS  AUS Tap and Pay xx4622 Value Date: 26/10/2018 (Camys Chicken)</t>
  </si>
  <si>
    <t>NEW MILLENNIUM 2 PTY L SURRY HILLS  AUS Tap and Pay xx4622 Value Date: 24/10/2018 (Camys Chicken)</t>
  </si>
  <si>
    <t>NEW MILLENNIUM 2 PTY L SURRY HILLS  AUS Tap and Pay xx4622 Value Date: 04/10/2018 (Camys Chicken)</t>
  </si>
  <si>
    <t>NEW MILLENNIUM 2 PTY L   SURRY HILLS  AU Card xx0052 (Camys Chicken)</t>
  </si>
  <si>
    <t>NEW MILLENNIUM 2 PTY L SURRY HILLS  AUS Card xx0052 Value Date: 14/08/2018 (Camys Chicken)</t>
  </si>
  <si>
    <t>NEW MILLENNIUM 2 PTY L SURRY HILLS  AUS Card xx0052 Value Date: 09/08/2018 (Camys Chicken)</t>
  </si>
  <si>
    <t>NEW MILLENNIUM 2 PTY L SURRY HILLS  AUS Card xx0052 Value Date: 08/08/2018 (Camys Chicken)</t>
  </si>
  <si>
    <t>NEW MILLENNIUM 2 PTY L SURRY HILLS  AUS Card xx0052 Value Date: 18/07/2018 (Camys Chicken)</t>
  </si>
  <si>
    <t>NEW MILLENNIUM 2 PTY L SURRY HILLS  AUS Card xx0052 Value Date: 03/07/2018 (Camys Chicken)</t>
  </si>
  <si>
    <t>YULIA ANGESTI &amp; MICH LEICHHARDT NS AUS Card xx8882 Value Date: 22/05/2019 (Norton Seafoods)</t>
  </si>
  <si>
    <t>YULIA ANGESTI &amp; MICH LEICHHARDT NS AUS Card xx8882 Value Date: 13/05/2019 (Norton Seafoods)</t>
  </si>
  <si>
    <t>YULIA ANGESTI &amp; MICH LEICHHARDT NS AUS Card xx8882 Value Date: 06/05/2019 (Norton Seafoods)</t>
  </si>
  <si>
    <t>YULIA ANGESTI &amp; MICH LEICHHARDT NS AUS Card xx8882 Value Date: 07/04/2019 (Norton Seafoods)</t>
  </si>
  <si>
    <t>YULIA ANGESTI &amp; MICH LEICHHARDT NS AUS Card xx8882 Value Date: 16/02/2019 (Norton Seafoods)</t>
  </si>
  <si>
    <t>YULIA ANGESTI &amp; MICH LEICHHARDT NS AUS Card xx8882 Value Date: 02/02/2019 (Norton Seafoods)</t>
  </si>
  <si>
    <t>YULIA ANGESTI &amp; MICH LEICHHARDT NS AUS Card xx0052 Value Date: 03/09/2018 (Norton Seafoods)</t>
  </si>
  <si>
    <t>YULIA ANGESTI &amp; MICH LEICHHARDT NS AUS Card xx0052 Value Date: 28/08/2018 (Norton Seafoods)</t>
  </si>
  <si>
    <t>YULIA ANGESTI &amp; MICH LEICHHARDT NS AUS Card xx0052 Value Date: 25/08/2018 (Norton Seafoods)</t>
  </si>
  <si>
    <t>YULIA ANGESTI &amp; MICH LEICHHARDT NS AUS Card xx0052 Value Date: 19/08/2018 (Norton Seafoods)</t>
  </si>
  <si>
    <t>YULIA ANGESTI &amp; MICH LEICHHARDT NS AUS Card xx0052 Value Date: 13/08/2018 (Norton Seafoods)</t>
  </si>
  <si>
    <t>YULIA ANGESTI &amp; MICH LEICHHARDT NS AUS Card xx0052 Value Date: 30/07/2018 (Norton Seafoods)</t>
  </si>
  <si>
    <t>YULIA ANGESTI &amp; MICH LEICHHARDT NS AUS Card xx0052 Value Date: 23/07/2018 (Norton Seafoods)</t>
  </si>
  <si>
    <t>YULIA ANGESTI &amp; MICH LEICHHARDT NS AUS Card xx0052 Value Date: 16/07/2018 (Norton Seafoods)</t>
  </si>
  <si>
    <t>YULIA ANGESTI &amp; MICH LEICHHARDT NS AUS Card xx0052 Value Date: 09/07/2018 (Norton Seafoods)</t>
  </si>
  <si>
    <t>YULIA ANGESTI &amp; MICH LEICHHARDT NS AUS Card xx0052 Value Date: 02/07/2018 (Norton Seafoods)</t>
  </si>
  <si>
    <t>Transfer to other Bank CommBank app rrrtr1</t>
  </si>
  <si>
    <t>2334271OntarioLtd 855-2348273 ON CAN Card xx8882 USD 327.69 Value Date: 08/08/2019 (Zeus Arc)</t>
  </si>
  <si>
    <t>Transfer To Kat Duncan IOU</t>
  </si>
  <si>
    <t>Entertainment and Rec - Transfer To Dan P CommBank App rodean nuggets bucks</t>
  </si>
  <si>
    <t>Entertainment and Rec - Transfer To Kris Gusti CommBank App johns bucks</t>
  </si>
  <si>
    <t>Entertainment and Rec - Transfer To Jonathan K Oliver CommBank App nile rodgers</t>
  </si>
  <si>
    <t>Entertainment and Rec - Transfer To Kris Gusti CommBank App entertainment</t>
  </si>
  <si>
    <t>Entertainment and Rec - Transfer To Jonathan K Oliver CommBank App folamour</t>
  </si>
  <si>
    <t xml:space="preserve">Entertainment and Rec - Transfer To Megan Cartwright IOU </t>
  </si>
  <si>
    <t>SCORPTEC COMPUTERS AUBURN AU Card xx8188 - Brateck Single Monitor Pole-Mounted Gas Spring Arm,</t>
  </si>
  <si>
    <t>Samsung Electronics AU Sydney AU AUS Card xx8188 Value Date: 23/11/2022 - Desktop monitor</t>
  </si>
  <si>
    <t>BELFIELD MUSIC PTY LTD BASS HILL NSW AU Card xx8188 - PKS7902 Support Arm Kit Suit</t>
  </si>
  <si>
    <t>Jaycar Electronics Croydon AU - power supply fuse</t>
  </si>
  <si>
    <t>Jaycar Electronics Croydon AU - cabling</t>
  </si>
  <si>
    <t>Transfer To nick irving CommBank App ns10 - studio speaker / monitor</t>
  </si>
  <si>
    <t>eBay O*05-09371-02454 San Jose CA USA Card xx8188 AUD 1558.69 Value Date: 21/11/2022 UAD DSP Octo Card</t>
  </si>
  <si>
    <t>REVERB.COM LLC CHICAGO IL USA Card xx8188 USD 69.85 Value Date: 01/05/2023 - Fee for transaction</t>
  </si>
  <si>
    <t>REVERB.COM LLC CHICAGO IL USA Card xx8188 USD 63.29 Value Date: 01/12/2022 - Fee for transaction</t>
  </si>
  <si>
    <t>Fast Transfer From James Mitchell White to PayID Phone Payment 2/2 for Roland Jupiter 80 Keyboard (second hand sale)</t>
  </si>
  <si>
    <t>Fast Transfer From James Mitchell White to PayID Phone Payment 1/2 for Roland Jupiter 80 (second hand sale)</t>
  </si>
  <si>
    <t>Direct Credit 617702 PAYPAL AUSTRALIA 1023753557769 Roger Linn Linnstrument</t>
  </si>
  <si>
    <t>2CO.COM*- 173639085 89 AMSTERDAM NL NLD Card xx8188 AUD 394.28 Value Date: 28/01/2022 - SWAM Flutes</t>
  </si>
  <si>
    <t>BUNNINGS 388000 RYDALMERE AU Card xx2869</t>
  </si>
  <si>
    <t>Account Type</t>
  </si>
  <si>
    <t>EDITOR VST HANNOVER BE DEU Card xx2869 EUR 6.90 Value Date: 27/04/2024</t>
  </si>
  <si>
    <t>CONTAINER NORTH PARR NTH PARRAMATTNSWAU</t>
  </si>
  <si>
    <t>Transfer to other Bank NetBank Mortgage Payment</t>
  </si>
  <si>
    <t>Albion Hotel Parramatta AU</t>
  </si>
  <si>
    <t>Direct Debit 502574 THE C&amp;PSU CPSU Membership</t>
  </si>
  <si>
    <t>TAM PH PTY LTD PARRAMATTA NSW AU Card xx2869</t>
  </si>
  <si>
    <t>Little Greece Parra Parramatta AU</t>
  </si>
  <si>
    <t>MAD MEX PARRAMATTA PARRAMATTA NSW AU Card xx2869</t>
  </si>
  <si>
    <t>MANNYS MUSIC STORE Crows Nest AU</t>
  </si>
  <si>
    <t>KOUZINA GRECO PARRAMATTA AU</t>
  </si>
  <si>
    <t>MANNYS Alexandria NS AUS Card xx2869 Value Date: 07/05/2024</t>
  </si>
  <si>
    <t>Abercrombie Hotel Chippendale AU</t>
  </si>
  <si>
    <t>Britannia Group Pty Lt Darlington AU</t>
  </si>
  <si>
    <t>WHEELHOUSE BUSHWICK BROOKLYN NY USA Card xx2869 USD 45.00 Value Date: 18/08/2024</t>
  </si>
  <si>
    <t>CURB NYC TAXI QUEENS NY USA Card xx2869 USD 26.40 Value Date: 15/08/2024</t>
  </si>
  <si>
    <t>TST*IL CORALLO New York NY USA Card xx2869 USD 52.34 Value Date: 16/08/2024</t>
  </si>
  <si>
    <t>J. CREW RETAIL #756 NEW YORK NY USA Card xx2869 USD 221.79 Value Date: 16/08/2024</t>
  </si>
  <si>
    <t>MTA*NYCT PAYGO NEW YORK NY USA Card xx2869 USD 2.10 Value Date: 16/08/2024</t>
  </si>
  <si>
    <t>TST* ANALOGUE NEW YORK NY USA Card xx2869 USD 270.59 Value Date: 17/08/2024</t>
  </si>
  <si>
    <t>LA VERA PIZZA NEW YORK NY USA Card xx2869 USD 34.41 Value Date: 17/08/2024</t>
  </si>
  <si>
    <t>SQ *FATHER KNOWS BEST Brooklyn NY USA Card xx2869 USD 41.89 Value Date: 18/08/2024</t>
  </si>
  <si>
    <t>AT *MOMA NEW YORK NY USA Card xx2869 USD 60.00 Value Date: 18/08/2024</t>
  </si>
  <si>
    <t>TST* RUSS &amp; DAUGHTERS NEW YORK NY USA Card xx2869 USD 37.29 Value Date: 15/08/2024</t>
  </si>
  <si>
    <t>MRJ NEWSTAND NEW YORK NY USA Card xx2869 USD 4.00 Value Date: 15/08/2024</t>
  </si>
  <si>
    <t>THE VILLAGE UNDERGROUN NEW YORK NY USA Card xx2869 USD 100.10 Value Date: 14/08/2024</t>
  </si>
  <si>
    <t>PRINCE ST. PIZZA NEW YORK NY USA Card xx2869 USD 19.69 Value Date: 14/08/2024</t>
  </si>
  <si>
    <t>Duane Reade 14410 Brooklyn NY USA Card xx2869 AUD 18.66 Value Date: 14/08/2024</t>
  </si>
  <si>
    <t>BROADWAY MINI MARKET D BROOKLYN NY USA Card xx2869 USD 2.08 Value Date: 14/08/2024</t>
  </si>
  <si>
    <t>PDS IRISH PUB NEW YORK NY USA Card xx2869 USD 42.82 Value Date: 15/08/2024</t>
  </si>
  <si>
    <t>MAXIMUM DEALS BROOKLYN NY USA Card xx2869 USD 7.60 Value Date: 14/08/2024</t>
  </si>
  <si>
    <t>SOREIKU VINYARDS BROOKLYN NY USA Card xx2869 USD 76.19 Value Date: 14/08/2024</t>
  </si>
  <si>
    <t>HUDSONNEWS ST1176 JAMAICA NY USA Card xx2869 AUD 8.64 Value Date: 12/08/2024</t>
  </si>
  <si>
    <t>WORLD FAMOUS DELI BROOKLYN NY USA Card xx2869 USD 9.88 Value Date: 12/08/2024</t>
  </si>
  <si>
    <t>TST*DO OR DIVE Brooklyn NY USA Card xx2869 USD 34.80 Value Date: 13/08/2024</t>
  </si>
  <si>
    <t>SQ *JOE'S CORNER Fremont CA USA Card xx2869 USD 69.41 Value Date: 09/08/2024</t>
  </si>
  <si>
    <t>EVERETT &amp; JONES BBQ IN OAKLAND CA USA Card xx2869 USD 238.03 Value Date: 10/08/2024</t>
  </si>
  <si>
    <t>TRADER JOE S #071 FAIR OAKS CA USA Card xx2869 USD 79.32 Value Date: 08/08/2024</t>
  </si>
  <si>
    <t>BEL AIR MART #511 CARMICHAEL CA USA Card xx2869 USD 38.84 Value Date: 07/08/2024</t>
  </si>
  <si>
    <t>SHOGUN SUSHI - CARMICH CARMICHAEL CA USA Card xx2869 USD 53.37 Value Date: 07/08/2024</t>
  </si>
  <si>
    <t>TM *PATTON OSWALT 800-653-8000 CA USA Card xx2869 USD 124.70 Value Date: 01/08/2024</t>
  </si>
  <si>
    <t>MARINIS CANDIES ON THE SANTA CRUZ CA USA Card xx2869 USD 19.20 Value Date: 04/08/2024</t>
  </si>
  <si>
    <t>KOKKARI SAN FRANCISCO CA USA Card xx2869 USD 160.11 Value Date: 03/08/2024</t>
  </si>
  <si>
    <t>COBBS COMEDY CLUB SAN FRANCISCO CA USA Card xx2869 USD 70.39 Value Date: 03/08/2024</t>
  </si>
  <si>
    <t>THE MYSTERY SPOT SANTA CRUZ CA USA Card xx2869 USD 16.00 Value Date: 04/08/2024</t>
  </si>
  <si>
    <t>SQ *MISSION HILL COFFE Santa Cruz CA USA Card xx2869 USD 7.00 Value Date: 04/08/2024</t>
  </si>
  <si>
    <t>TST* APRIL JEAN SAN FRANCISCO CA USA Card xx2869 USD 12.06 Value Date: 03/08/2024</t>
  </si>
  <si>
    <t>TST* BRENDA'S FRENCH S SAN FRANCISCO CA USA Card xx2869 USD 108.24 Value Date: 03/08/2024</t>
  </si>
  <si>
    <t>PIZZA MY HEART SANTA CRUZ CA USA Card xx2869 USD 46.32 Value Date: 04/08/2024</t>
  </si>
  <si>
    <t>MVC PULSE SAN FRANCISC SAN FRANCISCO CA USA Card xx2869 USD 422.81 Value Date: 03/08/2024</t>
  </si>
  <si>
    <t>BART-CLIPPER UNION CIT UNION CITY CA USA Card xx2869 USD 20.00 Value Date: 01/08/2024</t>
  </si>
  <si>
    <t>BEST COMEDY TICKETS UTRECHT UT NLD Card xx2869 USD 62.61 Value Date: 01/08/2024</t>
  </si>
  <si>
    <t>DELTA00622556915761 BRUSSELS BE BEL Card xx2869 USD 496.94 Value Date: 28/07/2024</t>
  </si>
  <si>
    <t>SQ *CANDY BARREL Sacramento CA USA Card xx2869 USD 18.66 Value Date: 26/07/2024</t>
  </si>
  <si>
    <t>TST* URBAN ROOTS BREWE SACRAMENTO CA USA Card xx2869 USD 88.94 Value Date: 26/07/2024</t>
  </si>
  <si>
    <t>CSJ SMART METERS SAN JOSE CA USA Card xx2869 USD 2.00 Value Date: 27/07/2024</t>
  </si>
  <si>
    <t>CKE*IKES SAN JOSE DT S SAN JOSE CA USA Card xx2869 USD 25.85 Value Date: 27/07/2024</t>
  </si>
  <si>
    <t>The Chefs' Olive Mix SACRAMENTO CA USA Card xx2869 USD 43.85 Value Date: 26/07/2024</t>
  </si>
  <si>
    <t>SQ *OLD MISSION SAN JO Fremont CA USA Card xx2869 USD 10.00 Value Date: 27/07/2024</t>
  </si>
  <si>
    <t>THRIFTY #0072216 OAKLAND CA USA Card xx2869 USD 375.07 Value Date: 27/07/2024</t>
  </si>
  <si>
    <t>AMZN Mktp US*RJ8SZ2TK1 Amzn.com/bill WA USA Card xx2869 AUD 67.37 Value Date: 20/07/2024</t>
  </si>
  <si>
    <t>Uniqlo Australia Pty Ltd Parramatta AU</t>
  </si>
  <si>
    <t>N LEONARDO PTY LTD PARRAMATTA AU</t>
  </si>
  <si>
    <t>Personal</t>
  </si>
  <si>
    <t>CRYSTAL PARRAMATTA</t>
  </si>
  <si>
    <t>COLES 7663 PARRAMATTA AU</t>
  </si>
  <si>
    <t>Return MANNYS Alexandria NS AUS Card xx2869 Value Date: 02/12/2024</t>
  </si>
  <si>
    <t>RETAIL PRODIGY OPS PL PARRAMATTA NSWAU</t>
  </si>
  <si>
    <t>Harveys Hot Sandwiches Parramatta AU</t>
  </si>
  <si>
    <t>Telecommunications</t>
  </si>
  <si>
    <t>Sum of Total AUD Final</t>
  </si>
  <si>
    <t>reg required</t>
  </si>
  <si>
    <t>DREAMTONE</t>
  </si>
  <si>
    <t>Transfer To Masoumeh Gholamshahi CommBank App groceries</t>
  </si>
  <si>
    <t>COLES 0887 PARRAMATTA AU</t>
  </si>
  <si>
    <t>THE GUITAR FACTORY PARRAMATTA AU Card xx2869</t>
  </si>
  <si>
    <t>Transfer To Masoumeh Gholamshahi CommBank App food</t>
  </si>
  <si>
    <t>SPEEDWAY WEST RYDE WEST RYDE NSWAU</t>
  </si>
  <si>
    <t>Jaycar Lidcombe Lidcombe AU</t>
  </si>
  <si>
    <t>Zag Seafood Parramatta AU</t>
  </si>
  <si>
    <t>Return BUNNINGS 388000 RYDALMERE AU Card xx2869</t>
  </si>
  <si>
    <t>Transfer To Masoumeh Gholamshahi CommBank App massage chair refund</t>
  </si>
  <si>
    <t>COLES 7663COLES 7663 PARRAMATTA AU AUS Card xx2869 Value Date: 19/02/2025</t>
  </si>
  <si>
    <t>ERMINGTON MEATS Ermington NS AUS Card xx2869 Value Date: 19/02/2025</t>
  </si>
  <si>
    <t>BUPA HI P T PHI MELBOURNE VI AUS Card xx2869 Value Date: 19/02/2025</t>
  </si>
  <si>
    <t>ALDI STORES - PARRAMAT PARRAMATTA AUS Card xx2869 Value Date: 18/02/2025</t>
  </si>
  <si>
    <t>Return AMAZON AU MARKETPLACE SYDNEY AUS Card xx2869 Value Date: 18/02/2025</t>
  </si>
  <si>
    <t>Transfer To menikmati CommBank App Cap x 1</t>
  </si>
  <si>
    <t>UBER *EATS HELP.UBER.COM</t>
  </si>
  <si>
    <t>International Transaction Fee Value Date: 10/02/2025</t>
  </si>
  <si>
    <t>OPENAI *CHATGPT SUBSCR SAN FRANCISCO CA USA Card xx2869 USD 22.00 Value Date: 11/02/2025</t>
  </si>
  <si>
    <t>TRANSPORTFORNSW OPAL CHIPPENDALE AUS Card xx2869 Value Date: 11/02/2025</t>
  </si>
  <si>
    <t>Google YouTube Barangaroo AU AUS Card xx2869 Value Date: 10/02/2025</t>
  </si>
  <si>
    <t>COLES 7663COLES 7663 PARRAMATTA AU AUS Card xx2869 Value Date: 07/02/2025</t>
  </si>
  <si>
    <t>ALDI STORES - PARRAMAT PARRAMATTA AUS Card xx2869 Value Date: 07/02/2025</t>
  </si>
  <si>
    <t>OPTUS BILLING AUTOPAY MACQUARIE PAR NS AUS Card xx2869 Value Date: 09/02/2025</t>
  </si>
  <si>
    <t>Return THE DAILY WIRE NASHVILLE TN USA Card xx2869 USD 14.99 Value Date: 03/02/2025</t>
  </si>
  <si>
    <t>International Transaction Fee Value Date: 02/02/2025</t>
  </si>
  <si>
    <t>THE DAILY WIRE NASHVILLE TN USA Card xx2869 USD 14.99 Value Date: 02/02/2025</t>
  </si>
  <si>
    <t>eBay O*19-12647-26740 Sydney AU AUS Card xx2869 Value Date: 02/02/2025</t>
  </si>
  <si>
    <t>eBay O*09-12658-12954 Sydney AU AUS Card xx2869 Value Date: 02/02/2025</t>
  </si>
  <si>
    <t>Salary SERVAUPAYROLL 21531P 85920286</t>
  </si>
  <si>
    <t>AMAZON AU MARKETPLACE SYDNEY AUS Card xx2869 Value Date: 23/01/2025</t>
  </si>
  <si>
    <t>ALDI STORES - RYDALMER RYDALMERE AUS Card xx2869 Value Date: 26/01/2025</t>
  </si>
  <si>
    <t>PHARMACY JUNCTION PARRAMA PARRAMA NSW AU Card xx2869</t>
  </si>
  <si>
    <t>OPTUS BILLING AUTOPAY MACQUARIE PAR NS AUS Card xx2869 Value Date: 22/01/2025</t>
  </si>
  <si>
    <t>BUPA HI P T PHI MELBOURNE VI AUS Card xx2869 Value Date: 21/01/2025</t>
  </si>
  <si>
    <t>MEDI CORP PTY LIMITED HABERFIELD NS AUS Card xx2869 Value Date: 17/01/2025</t>
  </si>
  <si>
    <t>WWW.REEBELO.COM.AU SYDNEY NS AUS Card xx2869 Value Date: 17/01/2025</t>
  </si>
  <si>
    <t>COLES 7663COLES 7663 PARRAMATTA AU AUS Card xx2869 Value Date: 18/01/2025</t>
  </si>
  <si>
    <t>Direct Credit 002221 MCARE BENEFITS 382001678 AYWQ</t>
  </si>
  <si>
    <t>OFFICEWORKS 0256OFFICE NORTHMEAD AU AUS Card xx2869 Value Date: 15/01/2025</t>
  </si>
  <si>
    <t>Return OFFICEWORKS 0256OFFICE NORTHMEAD AU AUS Card xx2869 Value Date: 15/01/2025</t>
  </si>
  <si>
    <t>TRANSPORTFORNSW OPAL CHIPPENDALE AUS Card xx2869 Value Date: 14/01/2025</t>
  </si>
  <si>
    <t>Salary SERVAUPAYROLL 21495P 85920286</t>
  </si>
  <si>
    <t>OPTUS BILLING AUTOPAY MACQUARIE PAR NS AUS Card xx2869 Value Date: 10/01/2025</t>
  </si>
  <si>
    <t>International Transaction Fee Value Date: 10/01/2025</t>
  </si>
  <si>
    <t>OPENAI *CHATGPT SUBSCR SAN FRANCISCO CA USA Card xx2869 USD 22.00 Value Date: 11/01/2025</t>
  </si>
  <si>
    <t>Google YouTube Pyrmont AU AUS Card xx2869 Value Date: 06/01/2025</t>
  </si>
  <si>
    <t>Google YouTube Pyrmont AU AUS Card xx2869 Value Date: 07/01/2025</t>
  </si>
  <si>
    <t>AMAZON AU MARKETPLACE SYDNEY AUS Card xx2869 Value Date: 08/01/2025</t>
  </si>
  <si>
    <t>Jaycar Rhodes Rhodes AU AUS Card xx2869 Value Date: 08/01/2025</t>
  </si>
  <si>
    <t>Transfer to other Bank NetBank groceries</t>
  </si>
  <si>
    <t>Refund Purchase Jaycar Lidcombe Lidcombe AU</t>
  </si>
  <si>
    <t>AMAZON AU MARKETPLACE SYDNEY AUS Card xx2869 Value Date: 06/01/2025</t>
  </si>
  <si>
    <t>International Transaction Fee Value Date: 02/01/2025</t>
  </si>
  <si>
    <t>THE DAILY WIRE NASHVILLE TN USA Card xx2869 USD 14.99 Value Date: 02/01/2025</t>
  </si>
  <si>
    <t>ORIGIN ENERGY BARANGAROO AUS Card xx2869 Value Date: 02/01/2025</t>
  </si>
  <si>
    <t>AMAZON AU MARKETPLACE SYDNEY AUS Card xx2869 Value Date: 04/01/2025</t>
  </si>
  <si>
    <t>Swing Factory T Hills Terrey Hills AU AUS Card xx2869 Value Date: 02/01/2025</t>
  </si>
  <si>
    <t>GUO MAMA PTY LTD CASTLE HILL NS AUS Card xx2869 Value Date: 02/01/2025</t>
  </si>
  <si>
    <t>7-ELEVEN 2048 DRUMMOYNE NS AUS Card xx2869 Value Date: 31/12/2024</t>
  </si>
  <si>
    <t>LIQUORLAND 2822LIQUORL PARRAMATTA AU AUS Card xx2869 Value Date: 31/12/2024</t>
  </si>
  <si>
    <t>Transfer To Z ZHANG PayID Phone from CommBank App food eastwood markets</t>
  </si>
  <si>
    <t>Fast Transfer From JOHN MINAI Eastwood dinner Eastwood dinner</t>
  </si>
  <si>
    <t>Transfer To JOHN MINAI PayID Phone from CommBank App golf</t>
  </si>
  <si>
    <t>UBER EATS* EATS</t>
  </si>
  <si>
    <t>Salary SERVAUPAYROLL 20241P 85920286</t>
  </si>
  <si>
    <t>Wdl ATM CAS COLES EXPRESS - PARRAMAT NS AU</t>
  </si>
  <si>
    <t>COTTON ON 2931 BIRKE DRUMMOYNE NS AUS Card xx2869 Value Date: 29/12/2024</t>
  </si>
  <si>
    <t>7-ELEVEN 2270 ROZELLE NS AUS Card xx2869 Value Date: 29/12/2024</t>
  </si>
  <si>
    <t>SQ *FISHBOWL ROZELLE Rozelle AU</t>
  </si>
  <si>
    <t>HYDROLINK CORP PTY LTD Sydney AU</t>
  </si>
  <si>
    <t>COLES 0887COLES 0887 PARRAMATTA AU AUS Card xx2869 Value Date: 24/12/2024</t>
  </si>
  <si>
    <t>International Transaction Fee Value Date: 24/12/2024</t>
  </si>
  <si>
    <t>SP TAMUZ SAMPLES BROOKLYN NY USA Card xx2869 USD 14.95 Value Date: 25/12/2024</t>
  </si>
  <si>
    <t>BUNNINGS 388000 RYDALMERE AUS Card xx2869 Value Date: 24/12/2024</t>
  </si>
  <si>
    <t>STAN.COM.AU</t>
  </si>
  <si>
    <t>OPTUS BILLING AUTOPAY MACQUARIE PAR NS AUS Card xx2869 Value Date: 22/12/2024</t>
  </si>
  <si>
    <t>Fast Transfer From MASOUMEH GHOLAMSHAHI Merry x-mass Rodean joon. Lots of lov...</t>
  </si>
  <si>
    <t>LIQUORLAND 2822LIQUORL PARRAMATTA AU AUS Card xx2869 Value Date: 21/12/2024</t>
  </si>
  <si>
    <t>Nextra on5 Parramatta AU</t>
  </si>
  <si>
    <t>SPEEDWAY PARRAMATTA PARRAMATTA NSWAU</t>
  </si>
  <si>
    <t>BEATPORT 720-974-9500 CO USA Card xx2869 AUD 3.40 Value Date: 19/12/2024</t>
  </si>
  <si>
    <t>THE GOOD GUYS WEB STOR SOUTHBANK VI AUS Card xx2869 Value Date: 19/12/2024</t>
  </si>
  <si>
    <t>BUPA HI P T PHI MELBOURNE VI AUS Card xx2869 Value Date: 19/12/2024</t>
  </si>
  <si>
    <t>Transfer To Masoumeh Gholamshahi CommBank App flowers</t>
  </si>
  <si>
    <t>Salary SERVAUPAYROLL 19554P 85920286</t>
  </si>
  <si>
    <t>COLES 0887COLES 0887 PARRAMATTA AU AUS Card xx2869 Value Date: 14/12/2024</t>
  </si>
  <si>
    <t>JOHNS QUALITY MEATS PA PARRAMATTA AU AUS Card xx2869 Value Date: 14/12/2024</t>
  </si>
  <si>
    <t>UNIVERSAL IMPERIAL HOT ERSKINEVILLE AU Card xx2869 Value Date: 15/12/2024</t>
  </si>
  <si>
    <t>UNIVERSAL IMPERIAL HOT ERSKINEVILLE AU Card xx2869</t>
  </si>
  <si>
    <t>International Transaction Fee Value Date: 10/12/2024</t>
  </si>
  <si>
    <t>OPENAI *CHATGPT SUBSCR SAN FRANCISCO CA USA Card xx2869 USD 22.00 Value Date: 11/12/2024</t>
  </si>
  <si>
    <t>TRANSPORTFORNSW OPAL CHIPPENDALE AUS Card xx2869 Value Date: 10/12/2024</t>
  </si>
  <si>
    <t>THE HUNTERS HILL HOTEL Hunters Hill AU AUS Card xx2869 Value Date: 07/12/2024</t>
  </si>
  <si>
    <t>OPTUS BILLING AUTOPAY MACQUARIE PAR NS AUS Card xx2869 Value Date: 08/12/2024</t>
  </si>
  <si>
    <t>International Transaction Fee Value Date: 02/12/2024</t>
  </si>
  <si>
    <t>THE DAILY WIRE NASHVILLE TN USA Card xx2869 USD 14.99 Value Date: 02/12/2024</t>
  </si>
  <si>
    <t>COLES 0887COLES 0887 PARRAMATTA AU AUS Card xx2869 Value Date: 03/12/2024</t>
  </si>
  <si>
    <t>ORIGIN ENERGY BARANGAROO AUS Card xx2869 Value Date: 03/12/2024</t>
  </si>
  <si>
    <t>Salary SERVAUPAYROLL 18572P 85920286</t>
  </si>
  <si>
    <t>Fast Transfer From MR H ROOZBEHANI Happy birthday Love from Dad</t>
  </si>
  <si>
    <t>AMAZON AU MARKETPLACE SYDNEY AUS Card xx2869 Value Date: 25/11/2024</t>
  </si>
  <si>
    <t>OPTUS BILLING AUTOPAY MACQUARIE PAR NS AUS Card xx2869 Value Date: 22/11/2024</t>
  </si>
  <si>
    <t>AMAZON AU RETAIL SYDNEY AUS Card xx2869 Value Date: 22/11/2024</t>
  </si>
  <si>
    <t>Fast Transfer From MR JULIEN DANIEL ROBY CREDIT TO ACCOUNT</t>
  </si>
  <si>
    <t>Refund Purchase UBER* TRIP</t>
  </si>
  <si>
    <t>UBER* TRIP</t>
  </si>
  <si>
    <t>Ivy Level 1 Sydney AU</t>
  </si>
  <si>
    <t>Angel Hotel Sydney AU</t>
  </si>
  <si>
    <t>Transfer To Kieran Krohn CommBank App food</t>
  </si>
  <si>
    <t>BUPA HI P T PHI MELBOURNE VI AUS Card xx2869 Value Date: 19/11/2024</t>
  </si>
  <si>
    <t>TRANSPORTFORNSW OPAL CHIPPENDALE AUS Card xx2869 Value Date: 19/11/2024</t>
  </si>
  <si>
    <t>Salary SERVAUPAYROLL 22063P 85920286</t>
  </si>
  <si>
    <t>Direct Credit 002221 MCARE BENEFITS 950055691 AYWQ</t>
  </si>
  <si>
    <t>LEVEL 5 HEALTH P/L PARRAMATTA NSWAU</t>
  </si>
  <si>
    <t>Transfer to other Bank CommBank app Mortgage Payment</t>
  </si>
  <si>
    <t>COLES 0887COLES 0887 PARRAMATTA AU AUS Card xx2869 Value Date: 14/11/2024</t>
  </si>
  <si>
    <t>Fast Transfer From JACK BOSENBERG to PayID Phone dinner Jack</t>
  </si>
  <si>
    <t>Fast Transfer From CoinSpot CREDIT TO ACCOUNT Value Date: 15/11/2024</t>
  </si>
  <si>
    <t>LINKT SYDNEY SYDNEY AUS Card xx2869 Value Date: 13/11/2024</t>
  </si>
  <si>
    <t>International Transaction Fee Value Date: 10/11/2024</t>
  </si>
  <si>
    <t>OPENAI *CHATGPT SUBSCR SAN FRANCISCO CA USA Card xx2869 USD 22.00 Value Date: 11/11/2024</t>
  </si>
  <si>
    <t>MENZIES WORLD CARGO 2 MATRAVILLE AU AUS Card xx2869 Value Date: 09/11/2024</t>
  </si>
  <si>
    <t>BUNNINGS 388000 RYDALMERE AUS Card xx2869 Value Date: 09/11/2024</t>
  </si>
  <si>
    <t>Fast Transfer From AARON D'ABRUZZO Aaron Dinner Aaron Dinner</t>
  </si>
  <si>
    <t>Fast Transfer From JOHN MINAI to PayID Phone Dinner</t>
  </si>
  <si>
    <t>CrownHotel Parramatta Parramatta AU</t>
  </si>
  <si>
    <t>VOLCANOS PARRAMATTA Parramatta AU</t>
  </si>
  <si>
    <t>OPTUS BILLING AUTOPAY MACQUARIE PAR NS AUS Card xx2869 Value Date: 07/11/2024</t>
  </si>
  <si>
    <t>Parramatta City Counci Parramatta NS AUS Card xx2869 Value Date: 06/11/2024</t>
  </si>
  <si>
    <t>Transfer To Customs Cargo Administrator NetBank Clavinet Clearance</t>
  </si>
  <si>
    <t>Transfer To ATX taxation and accounting CommBank App tax return</t>
  </si>
  <si>
    <t>Salary SERVAUPAYROLL 19375P 85920286</t>
  </si>
  <si>
    <t>WOOLWORTHS 1366 ERMINGTON NS AUS Card xx2869 Value Date: 02/11/2024</t>
  </si>
  <si>
    <t>COLES 0887COLES 0887 PARRAMATTA AU AUS Card xx2869 Value Date: 02/11/2024</t>
  </si>
  <si>
    <t>International Transaction Fee Value Date: 02/11/2024</t>
  </si>
  <si>
    <t>THE DAILY WIRE NASHVILLE TN USA Card xx2869 USD 14.99 Value Date: 02/11/2024</t>
  </si>
  <si>
    <t>ERMINGTON MEATS Ermington AU</t>
  </si>
  <si>
    <t>Harveys Hot Sandwiches Parramatta AU AUS Card xx2869 Value Date: 31/10/2024</t>
  </si>
  <si>
    <t>TRANSPORTFORNSW OPAL CHIPPENDALE AUS Card xx2869 Value Date: 29/10/2024</t>
  </si>
  <si>
    <t>REVERB B.V. AMSTERDAM NL NLD Card xx2869 AUD 6630.76 Value Date: 28/10/2024</t>
  </si>
  <si>
    <t>EG GROUP 1296 WEST RYDE NS AUS Card xx2869 Value Date: 26/10/2024</t>
  </si>
  <si>
    <t>THE BALMAIN HOTEL Sydney AU AUS Card xx2869 Value Date: 26/10/2024</t>
  </si>
  <si>
    <t>COLES 7663COLES 7663 PARRAMATTA AU AUS Card xx2869 Value Date: 27/10/2024</t>
  </si>
  <si>
    <t>Zag Seafood Parramatta NS AUS Card xx2869 Value Date: 27/10/2024</t>
  </si>
  <si>
    <t>CHEEKY BURGERS AND KEBABGNORTH PARR AU</t>
  </si>
  <si>
    <t>Direct Credit 175029 ROOZBEHANI,RODEA Hohner Clavinet e7</t>
  </si>
  <si>
    <t>MCDONALDS WESTMEAD NORTHMEAD NSWAU</t>
  </si>
  <si>
    <t>COLES 7663COLES 7663 PARRAMATTA AU AUS Card xx2869 Value Date: 24/10/2024</t>
  </si>
  <si>
    <t>Parramatta City Counci Parramatta NS AUS Card xx2869 Value Date: 23/10/2024</t>
  </si>
  <si>
    <t>LS Bobble Tea Kingsgrove AU</t>
  </si>
  <si>
    <t>ENTRADA PHARMACY PARRAMATTA NS AUS Card xx2869 Value Date: 23/10/2024</t>
  </si>
  <si>
    <t>OPTUS BILLING AUTOPAY MACQUARIE PAR NS AUS Card xx2869 Value Date: 23/10/2024</t>
  </si>
  <si>
    <t>MOSHTIX PTY LTD SYDNEY NS AUS Card xx2869 Value Date: 22/10/2024</t>
  </si>
  <si>
    <t>Salary SERVAUPAYROLL 19523P 85920286</t>
  </si>
  <si>
    <t>BUPA HI P T PHI MELBOURNE VI AUS Card xx2869 Value Date: 19/10/2024</t>
  </si>
  <si>
    <t>ORIGIN ENERGY BARANGAROO AUS Card xx2869 Value Date: 19/10/2024</t>
  </si>
  <si>
    <t>Return SIM CARDS, ESIM - SIM CENTRAL HO HKG Card xx2869 USD 17.90 Value Date: 20/10/2024</t>
  </si>
  <si>
    <t>COLES 7663COLES 7663 PARRAMATTA AU AUS Card xx2869 Value Date: 20/10/2024</t>
  </si>
  <si>
    <t>International Transaction Fee Value Date: 20/10/2024</t>
  </si>
  <si>
    <t>SIM CARDS, ESIM - SIM CENTRAL HO HKG Card xx2869 USD 22.90 Value Date: 19/10/2024</t>
  </si>
  <si>
    <t>JASIME AUBURN AUBURN NSW AU</t>
  </si>
  <si>
    <t>International Transaction Fee Value Date: 10/10/2024</t>
  </si>
  <si>
    <t>OPENAI *CHATGPT SUBSCR SAN FRANCISCO CA USA Card xx2869 USD 22.00 Value Date: 11/10/2024</t>
  </si>
  <si>
    <t>DAN MURPHY'S 1968 PARAMATTA AU AUS Card xx2869 Value Date: 09/10/2024</t>
  </si>
  <si>
    <t>COLES 0887COLES 0887 PARRAMATTA AU AUS Card xx2869 Value Date: 09/10/2024</t>
  </si>
  <si>
    <t>OPTUS BILLING AUTOPAY MACQUARIE PAR NS AUS Card xx2869 Value Date: 09/10/2024</t>
  </si>
  <si>
    <t>COLES 7663COLES 7663 PARRAMATTA AU AUS Card xx2869 Value Date: 08/10/2024</t>
  </si>
  <si>
    <t>Salary SERVAUPAYROLL 19544P 85920286</t>
  </si>
  <si>
    <t>TRANSPORTFORNSW OPAL CHIPPENDALE AUS Card xx2869 Value Date: 08/10/2024</t>
  </si>
  <si>
    <t>DAN MURPHY'S 1968 PARAMATTA AU AUS Card xx2869 Value Date: 04/10/2024</t>
  </si>
  <si>
    <t>COLES 0887COLES 0887 PARRAMATTA AU AUS Card xx2869 Value Date: 04/10/2024</t>
  </si>
  <si>
    <t>International Transaction Fee Value Date: 05/10/2024</t>
  </si>
  <si>
    <t>MIDJOURNEY INC. SOUTH SAN FRA CA USA Card xx2869 USD 11.00 Value Date: 05/10/2024</t>
  </si>
  <si>
    <t>Fast Transfer From JONATHAN OLIVER dinner dinner</t>
  </si>
  <si>
    <t>Fast Transfer From THOMAS GILMOUR to PayID Phone Dinner</t>
  </si>
  <si>
    <t>Fast Transfer From Louis Wayment Greek feast</t>
  </si>
  <si>
    <t>COLES 7663COLES 7663 PARRAMATTA AU AUS Card xx2869 Value Date: 30/09/2024</t>
  </si>
  <si>
    <t>Direct Debit 245164 HCFLIFE 057233969SEA47RQYT</t>
  </si>
  <si>
    <t>WOOLWORTHS 1341 WEST RYDE AU AUS Card xx2869 Value Date: 27/09/2024</t>
  </si>
  <si>
    <t>APPLE.COM/BILL SYDNEY NS AUS Card xx2869 Value Date: 28/09/2024</t>
  </si>
  <si>
    <t>INK EVENT PTY LTD DUNDAS NSW AU Card xx2869</t>
  </si>
  <si>
    <t>Fast Transfer From THOMAS GILMOUR to PayID Phone DJ + Uber. Thank you!</t>
  </si>
  <si>
    <t>GM TAXIPAY MASCOT NSWAU</t>
  </si>
  <si>
    <t>Pontoon Bar Sydney AU</t>
  </si>
  <si>
    <t>GM TAXIPAY MASCOT NSWAU Value Date: 29/09/2024</t>
  </si>
  <si>
    <t>Refund Purchase UBER *TRIP HELP.UBER.COM Value Date: 29/09/2024</t>
  </si>
  <si>
    <t>UBER *TRIP HELP.UBER.COM Value Date: 29/09/2024</t>
  </si>
  <si>
    <t>Salary SERVAUPAYROLL 19570P 85920286</t>
  </si>
  <si>
    <t>OPTUS BILLING AUTOPAY MACQUARIE PAR NS AUS Card xx2869 Value Date: 22/09/2024</t>
  </si>
  <si>
    <t>NAZAR BALYOS LAZAR PARRAMATTA NSWAU</t>
  </si>
  <si>
    <t>COLES 7663COLES 7663 PARRAMATTA AU AUS Card xx2869 Value Date: 21/09/2024</t>
  </si>
  <si>
    <t>COLES 0887COLES 0887 PARRAMATTA AU AUS Card xx2869 Value Date: 22/09/2024</t>
  </si>
  <si>
    <t>BUPA HI P T PHI MELBOURNE VI AUS Card xx2869 Value Date: 19/09/2024</t>
  </si>
  <si>
    <t>Mikazuki Riverside PARRAMATTA AU AUS Card xx2869 Value Date: 18/09/2024</t>
  </si>
  <si>
    <t>TRANSPORTFORNSW OPAL CHIPPENDALE AUS Card xx2869 Value Date: 17/09/2024</t>
  </si>
  <si>
    <t>COLES EXPRESS 1573COLE PARRAMATTA AU AUS Card xx2869 Value Date: 14/09/2024</t>
  </si>
  <si>
    <t>Mikazuki Riverside PARRAMATTA AU AUS Card xx2869 Value Date: 14/09/2024</t>
  </si>
  <si>
    <t>TOXTETH HOTEL GLEBE AU AUS Card xx2869 Value Date: 14/09/2024</t>
  </si>
  <si>
    <t>SUPER CHEAP AUTO NORTH PARRAMA NS AUS Card xx2869 Value Date: 14/09/2024</t>
  </si>
  <si>
    <t>Fast Transfer From KIERAN KROHN to PayID Phone Dinner</t>
  </si>
  <si>
    <t>RJJ AND CO PTY LTD PARRAMATTA AU</t>
  </si>
  <si>
    <t>PARRAMATTA WOOLPACK HO PARRAMATTA AU Card xx2869</t>
  </si>
  <si>
    <t>COLES 0887COLES 0887 PARRAMATTA AU AUS Card xx2869 Value Date: 12/09/2024</t>
  </si>
  <si>
    <t>International Transaction Fee Value Date: 10/09/2024</t>
  </si>
  <si>
    <t>OPENAI *CHATGPT SUBSCR SAN FRANCISCO CA USA Card xx2869 USD 22.00 Value Date: 11/09/2024</t>
  </si>
  <si>
    <t>Salary SERVAUPAYROLL 21504P 85920286</t>
  </si>
  <si>
    <t>JOHNS QUALITY MEATS PA PARRAMATTA AU AUS Card xx2869 Value Date: 05/09/2024</t>
  </si>
  <si>
    <t>MOSHTIX PTY LTD SYDNEY NS AUS Card xx2869 Value Date: 06/09/2024</t>
  </si>
  <si>
    <t>OPTUS BILLING AUTOPAY MACQUARIE PAR NS AUS Card xx2869 Value Date: 07/09/2024</t>
  </si>
  <si>
    <t>SQ *MOS: BAR 7 Rozelle AU</t>
  </si>
  <si>
    <t>SQ *MOS: BAR 1 Sydney Olympi AU</t>
  </si>
  <si>
    <t>Sackville Hotel Rozelle AU</t>
  </si>
  <si>
    <t>V/CELLARS 3401 ABBOTSFORD AU</t>
  </si>
  <si>
    <t>AMAZON AU MARKETPLACE SYDNEY AUS Card xx2869 Value Date: 31/08/2024</t>
  </si>
  <si>
    <t>Direct Debit 245164 HCFLIFE 057233969SJC1B39O3</t>
  </si>
  <si>
    <t>ORIGIN ENERGY CommBank app BPAY 130112 782593097036 elec bill</t>
  </si>
  <si>
    <t>Fast Transfer From MASOUMEH GHOLAMSHAHI Electricity bill april to Sept 2024</t>
  </si>
  <si>
    <t>UNITED RYDALMERE RYDALMERE AU</t>
  </si>
  <si>
    <t>COLES 0887COLES 0887 PARRAMATTA AU AUS Card xx2869 Value Date: 29/08/2024</t>
  </si>
  <si>
    <t>NRMA IVR SYDNEY NS AUS Card xx2869 Value Date: 29/08/2024</t>
  </si>
  <si>
    <t>PEAK AUTOMOTIVE GROU NORTH PARRAMA NS AUS Card xx2869 Value Date: 29/08/2024</t>
  </si>
  <si>
    <t>SERVICE NSW SYDNEY AUS Card xx2869 Value Date: 29/08/2024</t>
  </si>
  <si>
    <t>APPLE.COM/BILL SYDNEY NS AUS Card xx2869 Value Date: 28/08/2024</t>
  </si>
  <si>
    <t>COLES 0887COLES 0887 PARRAMATTA AU AUS Card xx2869 Value Date: 27/08/2024</t>
  </si>
  <si>
    <t>Salary SERVAUPAYROLL 19351P 85920286</t>
  </si>
  <si>
    <t>KEG AND BREW HOTEL SURRY HILLS NS AUS Card xx2869 Value Date: 25/08/2024</t>
  </si>
  <si>
    <t>CITYOFSYDNEY PARKING SYDNEY AUS Card xx2869 Value Date: 25/08/2024</t>
  </si>
  <si>
    <t>DAN MURPHY'S 1968 PARAMATTA AU AUS Card xx2869 Value Date: 24/08/2024</t>
  </si>
  <si>
    <t>COLLECTOR HOTEL PARRAMATTA AU AUS Card xx2869 Value Date: 25/08/2024</t>
  </si>
  <si>
    <t>UBER *EATS Sydney AU AUS Card xx2869 Value Date: 24/08/2024</t>
  </si>
  <si>
    <t>CrownHotel Parramatta Parramatta AU Value Date: 25/08/2024</t>
  </si>
  <si>
    <t>Fast Transfer From ELLA ROSE to PayID Phone Booze</t>
  </si>
  <si>
    <t>Fast Transfer From MASOUMEH GHOLAMSHAHI After trip till get paid</t>
  </si>
  <si>
    <t>Mikazuki Riverside PARRAMATTA AU AUS Card xx2869 Value Date: 22/08/2024</t>
  </si>
  <si>
    <t>OPTUS BILLING AUTOPAY MACQUARIE PAR NS AUS Card xx2869 Value Date: 22/08/2024</t>
  </si>
  <si>
    <t>Syd Aprt Intnl Carp50 Sydney NS AUS Card xx2869 Value Date: 22/08/2024</t>
  </si>
  <si>
    <t>Royal Oak Hotel Parra Parramatta AU</t>
  </si>
  <si>
    <t>International Transaction Fee Value Date: 20/08/2024</t>
  </si>
  <si>
    <t>THE PLAYA VISTA LOS ANGELES CA USA Card xx2869 USD 12.00 Value Date: 21/08/2024</t>
  </si>
  <si>
    <t>BP CONNECT 2644 ROSEHILL AU</t>
  </si>
  <si>
    <t>International Transaction Fee Value Date: 19/08/2024</t>
  </si>
  <si>
    <t>JFK EASTWARD CB 635111 JAMAICA NY USA Card xx2869 USD 6.50 Value Date: 19/08/2024</t>
  </si>
  <si>
    <t>DD DOORDASH NENESTAQU 8559731040 CA USA Card xx2869 USD 76.33 Value Date: 19/08/2024</t>
  </si>
  <si>
    <t>BUPA HI P T PHI MELBOURNE VI AUS Card xx2869 Value Date: 20/08/2024</t>
  </si>
  <si>
    <t>International Transaction Fee Value Date: 18/08/2024</t>
  </si>
  <si>
    <t>JFK JETBOX DD B20 6356 JAMAICA NY USA Card xx2869 USD 4.40 Value Date: 19/08/2024</t>
  </si>
  <si>
    <t>CENTRE COM SUNSHINE PTY LAUBURN AU (wireless receiver for keyboard)</t>
  </si>
  <si>
    <t>UBER TRIP 8005928996 CA USA Card xx2869 USD 16.72 Value Date: 19/08/2024</t>
  </si>
  <si>
    <t>UBER TRIP 8005928996 CA USA Card xx2869 USD 21.29 Value Date: 19/08/2024</t>
  </si>
  <si>
    <t>UBER TRIP 8005928996 CA USA Card xx2869 USD 74.78 Value Date: 19/08/2024</t>
  </si>
  <si>
    <t>International Transaction Fee Value Date: 15/08/2024</t>
  </si>
  <si>
    <t>MTA*NYCT PAYGO NEW YORK NY USA Card xx2869 USD 2.90 Value Date: 16/08/2024</t>
  </si>
  <si>
    <t>International Transaction Fee Value Date: 14/08/2024</t>
  </si>
  <si>
    <t>FAT BLACK PUSSYCAT NEW YORK NY USA Card xx2869 USD 36.31 Value Date: 15/08/2024</t>
  </si>
  <si>
    <t>FAT BLACK PUSSYCAT NEW YORK NY USA Card xx2869 USD 35.31 Value Date: 15/08/2024</t>
  </si>
  <si>
    <t>International Transaction Fee Value Date: 16/08/2024</t>
  </si>
  <si>
    <t>International Transaction Fee Value Date: 17/08/2024</t>
  </si>
  <si>
    <t>Bumble help@bumble.com Dublin IR IRL Card xx2869 AUD 59.99 Value Date: 15/08/2024</t>
  </si>
  <si>
    <t>UBER TRIP* TRIP SAN FRANCISCO CA USA Card xx2869 USD 9.40 Value Date: 18/08/2024</t>
  </si>
  <si>
    <t>UBER TRIP 8005928996 CA USA Card xx2869 USD 16.11 Value Date: 18/08/2024</t>
  </si>
  <si>
    <t>MTA*NYCT PAYGO NEW YORK NY USA Card xx2869 USD 2.90 Value Date: 15/08/2024</t>
  </si>
  <si>
    <t>MTA*NYCT PAYGO NEW YORK NY USA Card xx2869 USD 2.90 Value Date: 14/08/2024</t>
  </si>
  <si>
    <t>UBER TRIP 8005928996 CA USA Card xx2869 USD 14.46 Value Date: 15/08/2024</t>
  </si>
  <si>
    <t>International Transaction Fee Value Date: 13/08/2024</t>
  </si>
  <si>
    <t>Bumble help@bumble.com Dublin IR IRL Card xx2869 AUD 24.99 Value Date: 13/08/2024</t>
  </si>
  <si>
    <t>International Transaction Fee Value Date: 12/08/2024</t>
  </si>
  <si>
    <t>NATURE MARKET 1 CORP BROOKLYN NY USA Card xx2869 USD 9.36 Value Date: 13/08/2024</t>
  </si>
  <si>
    <t>NATURE MARKET 1 CORP BROOKLYN NY USA Card xx2869 USD 2.08 Value Date: 13/08/2024</t>
  </si>
  <si>
    <t>SQ *L'INDUSTRIE PIZZER Brooklyn NY USA Card xx2869 USD 28.10 Value Date: 14/08/2024</t>
  </si>
  <si>
    <t>UBER TRIP 8005928996 CA USA Card xx2869 USD 26.14 Value Date: 14/08/2024</t>
  </si>
  <si>
    <t>Wdl ATM 556 7TH AVENUE NEW YORK NYUS USD21.69</t>
  </si>
  <si>
    <t>MTA*NYCT PAYGO NEW YORK NY USA Card xx2869 USD 4.25 Value Date: 12/08/2024</t>
  </si>
  <si>
    <t>MTA*NYCT PAYGO NEW YORK NY USA Card xx2869 USD 2.90 Value Date: 12/08/2024</t>
  </si>
  <si>
    <t>SQ *L'INDUSTRIE PIZZER Brooklyn NY USA Card xx2869 USD 32.12 Value Date: 14/08/2024</t>
  </si>
  <si>
    <t>UBER TRIP 8005928996 CA USA Card xx2869 USD 15.07 Value Date: 13/08/2024</t>
  </si>
  <si>
    <t>Salary SERVAUPAYROLL 19481P 85920286</t>
  </si>
  <si>
    <t>International Transaction Fee Value Date: 08/08/2024</t>
  </si>
  <si>
    <t>International Transaction Fee Value Date: 09/08/2024</t>
  </si>
  <si>
    <t>International Transaction Fee Value Date: 10/08/2024</t>
  </si>
  <si>
    <t>OPENAI *CHATGPT SUBSCR SAN FRANCISCO CA USA Card xx2869 USD 22.00 Value Date: 11/08/2024</t>
  </si>
  <si>
    <t>International Transaction Fee Value Date: 07/08/2024</t>
  </si>
  <si>
    <t>International Transaction Fee Value Date: 06/08/2024</t>
  </si>
  <si>
    <t>OPTUS BILLING AUTOPAY MACQUARIE PAR NS AUS Card xx2869 Value Date: 07/08/2024</t>
  </si>
  <si>
    <t>UBER EATS 8005928996 CA USA Card xx2869 USD 65.61 Value Date: 06/08/2024</t>
  </si>
  <si>
    <t>International Transaction Fee Value Date: 01/08/2024</t>
  </si>
  <si>
    <t>International Transaction Fee Value Date: 03/08/2024</t>
  </si>
  <si>
    <t>UBER TRIP 8005928996 CA USA Card xx2869 USD 20.00 Value Date: 03/08/2024</t>
  </si>
  <si>
    <t>UBER TRIP 8005928996 CA USA Card xx2869 USD 13.92 Value Date: 03/08/2024</t>
  </si>
  <si>
    <t>International Transaction Fee Value Date: 02/08/2024</t>
  </si>
  <si>
    <t>UBER TRIP 8005928996 CA USA Card xx2869 USD 10.98 Value Date: 03/08/2024</t>
  </si>
  <si>
    <t>SAFEWAY #2968 SAN JOSE CA USA Card xx2869 USD 11.39 Value Date: 04/08/2024</t>
  </si>
  <si>
    <t>International Transaction Fee Value Date: 31/07/2024</t>
  </si>
  <si>
    <t>Direct Debit 245164 HCFLIFE 057233969SYQ00I7IB</t>
  </si>
  <si>
    <t>International Transaction Fee Value Date: 29/07/2024</t>
  </si>
  <si>
    <t>MARINA FOODS UNION CITY CA USA Card xx2869 USD 36.88 Value Date: 30/07/2024</t>
  </si>
  <si>
    <t>International Transaction Fee Value Date: 27/07/2024</t>
  </si>
  <si>
    <t>APPLE.COM/BILL SYDNEY AU AUS Card xx2869 Value Date: 28/07/2024</t>
  </si>
  <si>
    <t>International Transaction Fee Value Date: 25/07/2024</t>
  </si>
  <si>
    <t>SQ *HALALZ FAST FOOD SACRAMENTO CA USA Card xx2869 USD 19.13 Value Date: 26/07/2024</t>
  </si>
  <si>
    <t>International Transaction Fee Value Date: 26/07/2024</t>
  </si>
  <si>
    <t>CHEVRON 0352574 HAYWARD CA USA Card xx2869 USD 46.06 Value Date: 27/07/2024</t>
  </si>
  <si>
    <t>CHEVRON 0352574 HAYWARD CA USA Card xx2869 USD 3.69 Value Date: 27/07/2024</t>
  </si>
  <si>
    <t>International Transaction Fee Value Date: 28/07/2024</t>
  </si>
  <si>
    <t>AIRBNB * HM2KC8RW8T 415-800-5959 GB GBR Card xx2869 USD 1260.43 Value Date: 28/07/2024</t>
  </si>
  <si>
    <t>International Transaction Fee Value Date: 23/07/2024</t>
  </si>
  <si>
    <t>MARINA FOODS UNION CITY CA USA Card xx2869 USD 32.37 Value Date: 24/07/2024</t>
  </si>
  <si>
    <t>CHEVRON 0091166 UNION CITY CA USA Card xx2869 USD 2.24 Value Date: 24/07/2024</t>
  </si>
  <si>
    <t>OPTUS BILLING SERVICES MACQUARIE PAR NS AUS Card xx2869 Value Date: 24/07/2024</t>
  </si>
  <si>
    <t>SAFEWAY #1197 UNION CITY CA USA Card xx2869 USD 86.97 Value Date: 24/07/2024</t>
  </si>
  <si>
    <t>AMAZON MKTPL*RJ63T81E1 Amzn.com/bill WA USA Card xx2869 AUD 75.45 Value Date: 23/07/2024</t>
  </si>
  <si>
    <t>OPTUS BILLING AUTOPAY MACQUARIE PAR NS AUS Card xx2869 Value Date: 23/07/2024</t>
  </si>
  <si>
    <t>OPTUS BILLING SERVICES MACQUARIE PAR NS AUS Card xx2869 Value Date: 19/07/2024</t>
  </si>
  <si>
    <t>BUPA HI P T PHI MELBOURNE VI AUS Card xx2869 Value Date: 19/07/2024</t>
  </si>
  <si>
    <t>International Transaction Fee Value Date: 19/07/2024</t>
  </si>
  <si>
    <t>CHEVRON 0308033 DIXON CA USA Card xx2869 USD 2.99 Value Date: 20/07/2024</t>
  </si>
  <si>
    <t>Bumble help@bumble.com Dublin IR IRL Card xx2869 AUD 59.99 Value Date: 16/07/2024</t>
  </si>
  <si>
    <t>PIER C PHARMACY MASCOT NS AUS Card xx2869 Value Date: 16/07/2024</t>
  </si>
  <si>
    <t>Google Feeld Meet Cou Barangaroo AU AUS Card xx2869 Value Date: 17/07/2024</t>
  </si>
  <si>
    <t>STEAMGAMES.COM 4259522 BELLEVUE WA USA Card xx2869 AUD 29.50 Value Date: 15/07/2024</t>
  </si>
  <si>
    <t>BUPA TRAVEL INSURANCE NORTH SYDNEY AUS Card xx2869 Value Date: 16/07/2024</t>
  </si>
  <si>
    <t>DAN MURPHY'S 1968 PARAMATTA AU AUS Card xx2869 Value Date: 15/07/2024</t>
  </si>
  <si>
    <t>WOOLWORTHS 1070 NORTH PARRA AU AUS Card xx2869 Value Date: 15/07/2024</t>
  </si>
  <si>
    <t>COLES 0887COLES 0887 PARRAMATTA AU AUS Card xx2869 Value Date: 15/07/2024</t>
  </si>
  <si>
    <t>Return CATCH DOCKLANDS VI AUS Card xx2869 Value Date: 15/07/2024</t>
  </si>
  <si>
    <t>MCDONALDS INT AIR II MASCOT NSWAU</t>
  </si>
  <si>
    <t>TARGET 5144TARGET 5144 PARRAMATTA AU AUS Card xx2869 Value Date: 13/07/2024</t>
  </si>
  <si>
    <t>Parramatta City Counci Parramatta NS AUS Card xx2869 Value Date: 13/07/2024</t>
  </si>
  <si>
    <t>TRANSPORTFORNSW OPAL CHIPPENDALE AUS Card xx2869 Value Date: 14/07/2024</t>
  </si>
  <si>
    <t>PLINE PH PARRAMATTA PARRAMATTA NSWAU</t>
  </si>
  <si>
    <t>SQ *BERLINER BAKERY Sydney AU</t>
  </si>
  <si>
    <t>SQ *L'AMUSE BOUCHE Sydney AU</t>
  </si>
  <si>
    <t>SQ *GUILTLESS The Rocks AU</t>
  </si>
  <si>
    <t>SQ *G I GOURMET NUTS The Rocks AU</t>
  </si>
  <si>
    <t>SQ *THE ONLINE DRINKS Sydney AU</t>
  </si>
  <si>
    <t>International Transaction Fee Value Date: 10/07/2024</t>
  </si>
  <si>
    <t>OPENAI *CHATGPT SUBSCR SAN FRANCISCO CA USA Card xx2869 USD 22.00 Value Date: 11/07/2024</t>
  </si>
  <si>
    <t>OPTUS BILLING AUTOPAY MACQUARIE PAR NS AUS Card xx2869 Value Date: 08/07/2024</t>
  </si>
  <si>
    <t>CATCH DOCKLANDS VI AUS Card xx2869 Value Date: 09/07/2024</t>
  </si>
  <si>
    <t>VICS MEAT MARKET PYRMONT NS AUS Card xx2869 Value Date: 07/07/2024</t>
  </si>
  <si>
    <t>SYDNEY FISH MARKET PL PYRMONT AU Card xx2869</t>
  </si>
  <si>
    <t>Salary SERVAUPAYROLL 20320P 85920286</t>
  </si>
  <si>
    <t>JOHNS QUALITY MEATS PA PARRAMATTA AU AUS Card xx2869 Value Date: 27/06/2024</t>
  </si>
  <si>
    <t>APPLE.COM/BILL SYDNEY NS AUS Card xx2869 Value Date: 28/06/2024</t>
  </si>
  <si>
    <t>DidiChuxing DidiAU pen Sydney AU AUS Card xx2869 Value Date: 30/06/2024</t>
  </si>
  <si>
    <t>Direct Debit 245164 HCFLIFE 057233969S06SKR9MU</t>
  </si>
  <si>
    <t>SMP*Hydrolink Plumbin South Wentwor02 AU</t>
  </si>
  <si>
    <t>COLES 0887COLES 0887 PARRAMATTA AU AUS Card xx2869 Value Date: 26/06/2024</t>
  </si>
  <si>
    <t>COLES 0887COLES 0887 PARRAMATTA AU AUS Card xx2869 Value Date: 24/06/2024</t>
  </si>
  <si>
    <t>TRANSPORTFORNSW OPAL CHIPPENDALE AUS Card xx2869 Value Date: 25/06/2024</t>
  </si>
  <si>
    <t>Transfer To 31social club mailbox CommBank App chocolate</t>
  </si>
  <si>
    <t>OPTUS BILLING AUTOPAY MACQUARIE PAR NS AUS Card xx2869 Value Date: 22/06/2024</t>
  </si>
  <si>
    <t>BUPA HI P T PHI MELBOURNE VI AUS Card xx2869 Value Date: 19/06/2024</t>
  </si>
  <si>
    <t>SMP*Patisserie La Gal North Parrama02 AU</t>
  </si>
  <si>
    <t>Salary SERVAUPAYROLL 20062P 85920286</t>
  </si>
  <si>
    <t>KARAOKE WORLD Sydney AU AUS Card xx2869 Value Date: 15/06/2024</t>
  </si>
  <si>
    <t>UBER *TRIP Sydney AU AUS Card xx2869 Value Date: 16/06/2024</t>
  </si>
  <si>
    <t>Transfer To FIZZAH SALAHUDDIN PayID Phone from CommBank App koreanbbq</t>
  </si>
  <si>
    <t>Transfer To FIZZAH SALAHUDDIN PayID Phone from CommBank App karaoke</t>
  </si>
  <si>
    <t>COLES 0887 PARRAMATTA AU AUS Card xx2869 Value Date: 12/06/2024</t>
  </si>
  <si>
    <t>International Transaction Fee Value Date: 10/06/2024</t>
  </si>
  <si>
    <t>OPENAI *CHATGPT SUBSCR SAN FRANCISCO CA USA Card xx2869 USD 22.00 Value Date: 11/06/2024</t>
  </si>
  <si>
    <t>OPTUS BILLING AUTOPAY MACQUARIE PAR NS AUS Card xx2869 Value Date: 07/06/2024</t>
  </si>
  <si>
    <t>BUNNINGS GROUP LTD HAWTHORN EAST AUS Card xx2869 Value Date: 07/06/2024</t>
  </si>
  <si>
    <t>Transfer To K BENNETT PayID Phone from CommBank App amirs food</t>
  </si>
  <si>
    <t>COLES 0887 PARRAMATTA AU AUS Card xx2869 Value Date: 04/06/2024</t>
  </si>
  <si>
    <t>TRANSPORTFORNSW OPAL CHIPPENDALE AUS Card xx2869 Value Date: 05/06/2024</t>
  </si>
  <si>
    <t>Salary SERVAUPAYROLL 20030P 85920286</t>
  </si>
  <si>
    <t>Fast Transfer From RAMTEAN ROOZBEHANI standzZZz</t>
  </si>
  <si>
    <t>APEX WEST RYDE WEST RYDE NS AUS Card xx2869 Value Date: 02/06/2024</t>
  </si>
  <si>
    <t>DD *DOORDASH BURGERSAN MELBOURNE VI AUS Card xx2869 Value Date: 02/06/2024</t>
  </si>
  <si>
    <t>Direct Debit 245164 HCFLIFE 057233969SPAU77XA9</t>
  </si>
  <si>
    <t>BUNNINGS 582000 GLADESVILLE AU</t>
  </si>
  <si>
    <t>JOHNS QUALITY MEATS PA PARRAMATTA AU</t>
  </si>
  <si>
    <t>WW METRO 1669 SURRY HILLS AU AUS Card xx2869 Value Date: 28/05/2024</t>
  </si>
  <si>
    <t>JOHNS QUALITY MEATS PA PARRAMATTA AU AUS Card xx2869 Value Date: 21/05/2024</t>
  </si>
  <si>
    <t>OPTUS BILLING AUTOPAY MACQUARIE PAR NS AUS Card xx2869 Value Date: 22/05/2024</t>
  </si>
  <si>
    <t>COLES 0887 PARRAMATTA AU AUS Card xx2869 Value Date: 21/05/2024</t>
  </si>
  <si>
    <t>TRANSPORTFORNSW OPAL CHIPPENDALE AUS Card xx2869 Value Date: 22/05/2024</t>
  </si>
  <si>
    <t>Salary SERVAUPAYROLL 19501P 85920286</t>
  </si>
  <si>
    <t>COLES 0887 PARRAMATTA AU AUS Card xx2869 Value Date: 17/05/2024</t>
  </si>
  <si>
    <t>BUNNINGS GROUP LTD HAWTHORN EAST AUS Card xx2869 Value Date: 18/05/2024</t>
  </si>
  <si>
    <t>IKEA RHODES RHODES AU</t>
  </si>
  <si>
    <t>PAYPAL *MAKE NOISE 4029357733 AU AUS Card xx2869 Value Date: 15/05/2024</t>
  </si>
  <si>
    <t>Transfer To rodney mazik CommBank App dannys gift</t>
  </si>
  <si>
    <t>ERGOX AUSTRALIA SEAFORD VI AUS Card xx2869 Value Date: 15/05/2024</t>
  </si>
  <si>
    <t>BUNNINGS 388000 RYDALMERE AU</t>
  </si>
  <si>
    <t>DAN MURPHY'S 1968 PARAMATTA AU AUS Card xx2869 Value Date: 10/05/2024</t>
  </si>
  <si>
    <t>OPTUS BILLING PAY MY B MACQUARIE PAR NS AUS Card xx2869 Value Date: 10/05/2024</t>
  </si>
  <si>
    <t>IKEA PTY LTD TEmpe NS AUS Card xx2869 Value Date: 10/05/2024</t>
  </si>
  <si>
    <t>APPLE R253 CHATSWOOD C CHATSWOOD NS AUS Card xx2869 Value Date: 11/05/2024</t>
  </si>
  <si>
    <t>International Transaction Fee Value Date: 10/05/2024</t>
  </si>
  <si>
    <t>CHATGPT SUBSCRIPTION SAN FRANCISCO CA USA Card xx2869 USD 22.00 Value Date: 11/05/2024</t>
  </si>
  <si>
    <t>SOUNDS EASY ARTARMON NS AUS (Platform Desk) Card xx2869 Value Date: 12/05/2024</t>
  </si>
  <si>
    <t>LINKT SYDNEY SYDNEY AUS Card xx2869 Value Date: 12/05/2024</t>
  </si>
  <si>
    <t>THE JERKY CO NSW 1 PTY CHATSWOOD AU Card xx2869</t>
  </si>
  <si>
    <t>MCDONALDS DT 0514 DRUMMOYNE NSWAU</t>
  </si>
  <si>
    <t>Transfer To kieran krohn new CommBank App food</t>
  </si>
  <si>
    <t>WW METRO 1669 SURRY HILLS AU AUS Card xx2869 Value Date: 07/05/2024</t>
  </si>
  <si>
    <t>TRANSPORTFORNSW OPAL CHIPPENDALE AUS Card xx2869 Value Date: 07/05/2024</t>
  </si>
  <si>
    <t>Salary SERVAUPAYROLL 19395P 85920286</t>
  </si>
  <si>
    <t>Direct Credit 245128 HCFHEALTH R57233969000622293</t>
  </si>
  <si>
    <t>CHEMIST WAREHOUSE PARRAMATTA NS AUS Card xx2869 Value Date: 05/05/2024</t>
  </si>
  <si>
    <t>GREEN FARM MEAT SYDNEY HARRIS PAR NSW AU Card xx2869</t>
  </si>
  <si>
    <t>APEX WEST RYDE WEST RYDE AU</t>
  </si>
  <si>
    <t>Direct Debit 245164 HCFHEALTHANDLIFE 057233969SE3CW8RE0</t>
  </si>
  <si>
    <t>SQ *COFFEE ON MILLER North Sydney AU</t>
  </si>
  <si>
    <t>POST NORTH SYDNEY-RET NS AU Card xx2869</t>
  </si>
  <si>
    <t>EZI*CASH CONVERTERS. PERTH AU AUS Card xx2869 Value Date: 29/04/2024</t>
  </si>
  <si>
    <t>AMAZON AU MARKETPLACE SYDNEY AUS Card xx2869 Value Date: 29/04/2024</t>
  </si>
  <si>
    <t>COLES 0887 PARRAMATTA AU AUS Card xx2869 Value Date: 27/04/2024</t>
  </si>
  <si>
    <t>eBay O*15-11491-24366 San Jose CA USA Card xx2869 AUD 48.93 Value Date: 27/04/2024</t>
  </si>
  <si>
    <t>International Transaction Fee Value Date: 26/04/2024</t>
  </si>
  <si>
    <t>CITY OF PARRAMATTA PARRAMATTA NS AUS Card xx2869 Value Date: 24/04/2024</t>
  </si>
  <si>
    <t>Return CITY OF PARRAMATTA PARRAMATTA NS AUS Card xx2869 Value Date: 24/04/2024</t>
  </si>
  <si>
    <t>Wdl ATM ETX ALBION HOTEL PARRA PARRAMATTA AU</t>
  </si>
  <si>
    <t>CITY OF PARRAMATTA PARRAMATTA NS AUS Card xx2869 Value Date: 23/04/2024</t>
  </si>
  <si>
    <t>TRANSPORTFORNSW OPAL CHIPPENDALE AUS Card xx2869 Value Date: 23/04/2024</t>
  </si>
  <si>
    <t>ETERNAL HEALTH GROUP RYDE NS AUS Card xx2869 Value Date: 21/04/2024</t>
  </si>
  <si>
    <t>LINKT SYDNEY SYDNEY AUS Card xx2869 Value Date: 22/04/2024</t>
  </si>
  <si>
    <t>Return CITY OF PARRAMATTA PARRAMATTA NS AUS Card xx2869 Value Date: 22/04/2024</t>
  </si>
  <si>
    <t>CITY OF PARRAMATTA PARRAMATTA NS AUS Card xx2869 Value Date: 19/04/2024</t>
  </si>
  <si>
    <t>Parramatta City Counci Parramatta NS AUS Card xx2869 Value Date: 19/04/2024</t>
  </si>
  <si>
    <t>BEFORE YOU* BYB: 4/9 H</t>
  </si>
  <si>
    <t>AMAZON AU MARKETPLACE SYDNEY AUS Card xx2869 Value Date: 18/04/2024</t>
  </si>
  <si>
    <t>Telstra Direct Debit AUSTRALIA SA AUS Card xx2869 Value Date: 17/04/2024</t>
  </si>
  <si>
    <t>GREAT NORTHERN OPERA CHATSWOOD NS AUS Card xx2869 Value Date: 14/04/2024</t>
  </si>
  <si>
    <t>APEX WEST RYDE WEST RYDE NS AUS Card xx2869 Value Date: 13/04/2024</t>
  </si>
  <si>
    <t>CHILLNGRILLINDIANCUISI BRISBANE QL AUS Card xx2869 Value Date: 13/04/2024</t>
  </si>
  <si>
    <t>REBEL TOP RYDE TOP RYDE NS AUS Card xx2869 Value Date: 11/04/2024</t>
  </si>
  <si>
    <t>LIQUORLAND 3414 ERMINGTON AU</t>
  </si>
  <si>
    <t>BUNNINGS 594000 ARTARMON AU Card xx2869</t>
  </si>
  <si>
    <t>Transfer To we move you australia CommBank App 4/9 henry st</t>
  </si>
  <si>
    <t>International Transaction Fee Value Date: 10/04/2024</t>
  </si>
  <si>
    <t>CHATGPT SUBSCRIPTION SAN FRANCISCO CA USA Card xx2869 USD 22.00 Value Date: 11/04/2024</t>
  </si>
  <si>
    <t>BUPA HI P T PHI MELBOURNE VI AUS Card xx2869 Value Date: 11/04/2024</t>
  </si>
  <si>
    <t>AMPOL RYDALMERE 28781F RYDALMERE AU Card xx2869</t>
  </si>
  <si>
    <t>WE MOVE YOU</t>
  </si>
  <si>
    <t>AMPOL RYDALMERE 28781F RYDALMERE AU</t>
  </si>
  <si>
    <t>CHISWICK CELLARS CHISWICK AU Card xx2869</t>
  </si>
  <si>
    <t>TRANSPORTFORNSW OPAL CHIPPENDALE AUS Card xx2869 Value Date: 10/04/2024</t>
  </si>
  <si>
    <t>AMAZON AU MARKETPLACE SYDNEY AUS Card xx2869 Value Date: 09/04/2024</t>
  </si>
  <si>
    <t>Transfer to CBA A/c NetBank R</t>
  </si>
  <si>
    <t>Salary SERVAUPAYROLL 19494P 85920286</t>
  </si>
  <si>
    <t>DD *DOORDASH MADMEX MELBOURNE VI AUS Card xx2869 Value Date: 06/04/2024</t>
  </si>
  <si>
    <t>Microsoft*Microsoft 36 msbill.info AU AUS Card xx2869 Value Date: 06/04/2024</t>
  </si>
  <si>
    <t>IGA DRUMMOYNE DRUMMOYNE AU Card xx2869</t>
  </si>
  <si>
    <t>Fast Transfer From H Roozbehani Home loan to my son H Roozbehani</t>
  </si>
  <si>
    <t>DD *DOORDASH CHARGRILL MELBOURNE VI AUS Card xx2869 Value Date: 04/04/2024</t>
  </si>
  <si>
    <t>Wdl Branch DRUMMOYNE</t>
  </si>
  <si>
    <t>Fast Transfer From H Roozbehani Home loan help my son Home loan</t>
  </si>
  <si>
    <t>UBER *EATS Sydney AU AUS Card xx2869 Value Date: 28/03/2024</t>
  </si>
  <si>
    <t>OXFORD HOTEL Drummoyne AU AUS Card xx2869 Value Date: 30/03/2024</t>
  </si>
  <si>
    <t>DD *DOORDASH CHARGRILL MELBOURNE VI AUS Card xx2869 Value Date: 31/03/2024</t>
  </si>
  <si>
    <t>UBER *EATS Sydney AU AUS Card xx2869 Value Date: 01/04/2024</t>
  </si>
  <si>
    <t>Belong Melbourne AU AUS Card xx2869 Value Date: 01/04/2024</t>
  </si>
  <si>
    <t>Direct Debit 245164 HCFHEALTHANDLIFE 057233969SNMGT6126</t>
  </si>
  <si>
    <t>Subway Druitt St 60 Druitt St AU</t>
  </si>
  <si>
    <t>Fast Transfer From H Roozbehani Home Loan help Home Loan</t>
  </si>
  <si>
    <t>Transfer to other Bank NetBank Test Payment Value Date: 31/03/2024</t>
  </si>
  <si>
    <t>Fast Transfer From H Roozbehani H Roozbehani Home loan</t>
  </si>
  <si>
    <t>Fast Transfer From H Roozbehani Rodean unit Loan Home loan</t>
  </si>
  <si>
    <t>Salary SERVAUPAYROLL 19301P 85920286</t>
  </si>
  <si>
    <t>Wdl ATM ETX ANCIENT BRITON HTL GLEBE AU</t>
  </si>
  <si>
    <t>DD *DOORDASH JAHANPERS MELBOURNE VI AUS Card xx2869 Value Date: 22/03/2024</t>
  </si>
  <si>
    <t>DD *DOORDASH MONKEYKIN MELBOURNE VI AUS Card xx2869 Value Date: 22/03/2024</t>
  </si>
  <si>
    <t>DD *DOORDASH CHARGRILL MELBOURNE VI AUS Card xx2869 Value Date: 23/03/2024</t>
  </si>
  <si>
    <t>Homayoun Gift Fast Transfer From H Roozbehani New Property Home Loan</t>
  </si>
  <si>
    <t>Bowan Island Drummoyn Drummoyne AU</t>
  </si>
  <si>
    <t>Homayoun Gift Fast Transfer From H Roozbehani CREDIT TO ACCOUNT Home loan</t>
  </si>
  <si>
    <t>DESTROS PHARMACY DRUMMOYNE NS AUS Card xx2869 Value Date: 20/03/2024</t>
  </si>
  <si>
    <t>Telstra Direct Debit AUSTRALIA SA AUS Card xx2869 Value Date: 20/03/2024</t>
  </si>
  <si>
    <t>BURWOOD COUNCIL BURWOOD AU AUS Card xx2869 Value Date: 19/03/2024</t>
  </si>
  <si>
    <t>DESTROS PHARMACY DRUMMOYNE NS AUS Card xx2869 Value Date: 19/03/2024</t>
  </si>
  <si>
    <t>BUPA HI PTYLTD MELBOURNE AUS Card xx2869 Value Date: 19/03/2024</t>
  </si>
  <si>
    <t>Transfer To Kieran Krohn CommBank App jeff mills + dinner</t>
  </si>
  <si>
    <t>AMPOL FIVE DOCK 22529F FIVE DOCK AU Card xx2869</t>
  </si>
  <si>
    <t>GM TAXIPAY MASCOT NS AUS Card xx2869 Value Date: 16/03/2024</t>
  </si>
  <si>
    <t>DD *DOORDASH CREPESBYH MELBOURNE VI AUS Card xx2869 Value Date: 15/03/2024</t>
  </si>
  <si>
    <t>DD *DOORDASH JAHANPERS MELBOURNE VI AUS Card xx2869 Value Date: 17/03/2024</t>
  </si>
  <si>
    <t>OXFORD HOTEL DRUMMOYNE AU</t>
  </si>
  <si>
    <t>Messina Martin Place Sydney AU</t>
  </si>
  <si>
    <t>City Recital Hall Limi Sydney AU</t>
  </si>
  <si>
    <t>John dahdah Transfer To J DAHDAH PayID Phone from CommBank App furniture</t>
  </si>
  <si>
    <t>Refund Purchase Adobe</t>
  </si>
  <si>
    <t>Adobe (upgrade + cancellation hack: Photoshop)</t>
  </si>
  <si>
    <t>Adobe (upgrade + cancellation hack: Premier pro)</t>
  </si>
  <si>
    <t>LIVESIGN* YOUR REFEREN</t>
  </si>
  <si>
    <t>Fast Transfer From Ms Katrina T Duncan CREDIT TO ACCOUNT kat dinner</t>
  </si>
  <si>
    <t>John dahdah Wdl ATM CBA ATM DRUMMOYNE A NSW 215701 AUS - John Dadah</t>
  </si>
  <si>
    <t>Transfer To Universal Real Estate Sales NetBank Rodean 5/4 Henry Street Parra...</t>
  </si>
  <si>
    <t>Transfer from xx8675 NetBank deposit</t>
  </si>
  <si>
    <t>GYG Five Dock Five Dock AU</t>
  </si>
  <si>
    <t>Transfer to xx6542 NetBank deposit</t>
  </si>
  <si>
    <t>Salary SERVAUPAYROLL 19212P 85920286</t>
  </si>
  <si>
    <t>Nike Drummoyne Drummoyne AU AUS Card xx2869 Value Date: 11/03/2024</t>
  </si>
  <si>
    <t>THE GOVERNOR HOTEL MACQUARIE PAR AU AUS Card xx2869 Value Date: 10/03/2024</t>
  </si>
  <si>
    <t>International Transaction Fee Value Date: 10/03/2024</t>
  </si>
  <si>
    <t>CHATGPT SUBSCRIPTION SAN FRANCISCO CA USA Card xx2869 USD 22.00 Value Date: 11/03/2024</t>
  </si>
  <si>
    <t>7-ELEVEN 2048 DRUMMOYNE NS AUS Card xx2869 Value Date: 10/03/2024</t>
  </si>
  <si>
    <t>UBER *EATS Sydney AU AUS Card xx2869 Value Date: 11/03/2024</t>
  </si>
  <si>
    <t>TRANSPORTFORNSW OPAL CHIPPENDALE AUS Card xx2869 Value Date: 12/03/2024</t>
  </si>
  <si>
    <t>UBER *EATS Sydney AU AUS Card xx2869 Value Date: 09/03/2024</t>
  </si>
  <si>
    <t>Coogee Ground Coogee AU</t>
  </si>
  <si>
    <t>Transfer To RAMTEAN ROOZBEHANI CommBank App food</t>
  </si>
  <si>
    <t>Fast Transfer From RAMTEAN ROOZBEHANI loans</t>
  </si>
  <si>
    <t>INNER WEST COUNCIL PETERSHAM AUS Card xx2869 Value Date: 06/03/2024</t>
  </si>
  <si>
    <t>GM TAXIPAY MASCOT NS AUS Card xx2869 Value Date: 02/03/2024</t>
  </si>
  <si>
    <t>Helm Bar &amp; Bistro Sydney NS AUS Card xx2869 Value Date: 01/03/2024</t>
  </si>
  <si>
    <t>GM CABS PTY LTD MASCOT AUS Card xx2869 Value Date: 01/03/2024</t>
  </si>
  <si>
    <t>7-ELEVEN 2048 DRUMMOYNE NS AUS Card xx2869 Value Date: 02/03/2024</t>
  </si>
  <si>
    <t>UBER *EATS Sydney AU AUS Card xx2869 Value Date: 02/03/2024</t>
  </si>
  <si>
    <t>Homayoun Gift Fast Transfer From H Roozbehani Home Loan Help Help to buy home from Dad</t>
  </si>
  <si>
    <t>Direct Debit 245164 HCFHEALTHANDLIFE 057233969SYOOFSA2Z</t>
  </si>
  <si>
    <t>IMAX Sydney SYDNEY NSW AU Card xx2869</t>
  </si>
  <si>
    <t>HELM BAR</t>
  </si>
  <si>
    <t>Salary SERVAUPAYROLL 20051P 85920286</t>
  </si>
  <si>
    <t>Transfer To Universal Real Estate Sales NetBank 4-9 Henry Street</t>
  </si>
  <si>
    <t>Fast Transfer From RAMTEAN ROOZBEHANI repayoooyoyoyoyooyo</t>
  </si>
  <si>
    <t>LITTLE JACK HORNER AUSTRALIA VI AUS Card xx2869 Value Date: 25/02/2024</t>
  </si>
  <si>
    <t>DD *DOORDASH JAHANPERS MELBOURNE VI AUS Card xx2869 Value Date: 25/02/2024</t>
  </si>
  <si>
    <t>MCDONALDS ROSEHILL ROSEHILL NSWAU</t>
  </si>
  <si>
    <t>Adobe</t>
  </si>
  <si>
    <t>BEFORE YOU* BID 4/9 HE</t>
  </si>
  <si>
    <t>BEFORE YOU* BID 3015/1</t>
  </si>
  <si>
    <t>SUSHI OTAKU SURRY HILLS AU AUS Card xx2869 Value Date: 20/02/2024</t>
  </si>
  <si>
    <t>WW METRO 1669 SURRY HILLS AU AUS Card xx2869 Value Date: 20/02/2024</t>
  </si>
  <si>
    <t>Subway Haymarket 449 Pitt StreAU</t>
  </si>
  <si>
    <t>COLES 0849 DRUMMOYNE AU AUS Card xx2869 Value Date: 19/02/2024</t>
  </si>
  <si>
    <t>TRANSPORTFORNSW OPAL CHIPPENDALE AUS Card xx2869 Value Date: 20/02/2024</t>
  </si>
  <si>
    <t>Fast Transfer From RAMTEAN ROOZBEHANI monays</t>
  </si>
  <si>
    <t>BEFORE YOU* BID 8/60 A</t>
  </si>
  <si>
    <t>BEFORE YOU* BID 6107/1</t>
  </si>
  <si>
    <t>BEFORE YOU* BID 709/1</t>
  </si>
  <si>
    <t>Telstra Direct Debit AUSTRALIA SA AUS Card xx2869 Value Date: 14/02/2024</t>
  </si>
  <si>
    <t>Salary SERVAUPAYROLL 19444P 85920286</t>
  </si>
  <si>
    <t>DD *DOORDASH JASMIN1 MELBOURNE VI AUS Card xx2869 Value Date: 11/02/2024</t>
  </si>
  <si>
    <t>GM TAXIPAY MASCOT NS AUS Card xx2869 Value Date: 10/02/2024</t>
  </si>
  <si>
    <t>Transfer To RAMTEAN ROOZBEHANI CommBank App 4 u</t>
  </si>
  <si>
    <t>BWS LIQUOR 1601 DRUMMOYNE AU AUS Card xx2869 Value Date: 09/02/2024</t>
  </si>
  <si>
    <t>International Transaction Fee Value Date: 10/02/2024</t>
  </si>
  <si>
    <t>CHATGPT SUBSCRIPTION SAN FRANCISCO CA USA Card xx2869 USD 22.00 Value Date: 11/02/2024</t>
  </si>
  <si>
    <t>DD *DOORDASH JAHANPERS MELBOURNE VI AUS Card xx2869 Value Date: 11/02/2024</t>
  </si>
  <si>
    <t>LINKT SYDNEY SYDNEY AUS Card xx2869 Value Date: 11/02/2024</t>
  </si>
  <si>
    <t>TRANSPORTFORNSW OPAL CHIPPENDALE AUS Card xx2869 Value Date: 12/02/2024</t>
  </si>
  <si>
    <t>COLES EXPRESS 1544 DRUMMOYNE AU</t>
  </si>
  <si>
    <t>NEWTOWN HOTEL NEWTOWN AU Card xx2869</t>
  </si>
  <si>
    <t>BEFORE YOU* BID 403/18</t>
  </si>
  <si>
    <t>COFFEE EMPIRE CO PTY LTD PETERSHA NSW AU</t>
  </si>
  <si>
    <t>Transfer To Peter Johnson CommBank App food</t>
  </si>
  <si>
    <t>Return QANTAS NEW SOUTH WAL NS AUS Card xx2869 Value Date: 06/02/2024</t>
  </si>
  <si>
    <t>QANTAS NEW SOUTH WAL NS AUS Card xx2869 Value Date: 05/02/2024</t>
  </si>
  <si>
    <t>NRMA LTD SYDNEY OLYMPI NS AUS Card xx2869 Value Date: 05/02/2024</t>
  </si>
  <si>
    <t>DYMOCKS ONLINE SYDNEY AUS Card xx2869 Value Date: 05/02/2024</t>
  </si>
  <si>
    <t>QANTAS AIRWAYS LIMITED MASCOT AUS Card xx2869 Value Date: 05/02/2024</t>
  </si>
  <si>
    <t>BEFORE YOU* BID 12/17 SYDNEY NS AUS Card xx2869 Value Date: 02/02/2024</t>
  </si>
  <si>
    <t>BWS 1693 CROWS NEST AU AUS Card xx2869 Value Date: 03/02/2024</t>
  </si>
  <si>
    <t>WW METRO 1669 SURRY HILLS AU AUS Card xx2869 Value Date: 31/01/2024</t>
  </si>
  <si>
    <t>Wdl Branch DRUMMOYNE AUSJ1T9R9W8</t>
  </si>
  <si>
    <t>Salary SERVAUPAYROLL 20130P 85920286</t>
  </si>
  <si>
    <t>Direct Debit 245164 HCFHEALTHANDLIFE 057233969SLPMFMWTZ</t>
  </si>
  <si>
    <t>TRANSPORTFORNSW OPAL CHIPPENDALE AUS Card xx2869 Value Date: 30/01/2024</t>
  </si>
  <si>
    <t>GM CABS PTY LTD MASCOT AUS Card xx2869 Value Date: 27/01/2024</t>
  </si>
  <si>
    <t>UBER* TRIP SYDNEY NS AUS Card xx2869 Value Date: 28/01/2024</t>
  </si>
  <si>
    <t>OXFORD HOTEL Drummoyne AU AUS Card xx2869 Value Date: 25/01/2024</t>
  </si>
  <si>
    <t>DD *DOORDASH FRIEDCHIC MELBOURNE VI AUS Card xx2869 Value Date: 26/01/2024</t>
  </si>
  <si>
    <t>Direct Debit 507156 AustCancerResear AustCance_PS1DrNXB</t>
  </si>
  <si>
    <t>UBER *EATS Sydney AU AUS Card xx2869 Value Date: 24/01/2024</t>
  </si>
  <si>
    <t>Adobe Systems Pty Ltd Sydney AU AUS Card xx2869 Value Date: 23/01/2024</t>
  </si>
  <si>
    <t>UBER* EATS SYDNEY NS AUS Card xx2869 Value Date: 19/01/2024</t>
  </si>
  <si>
    <t>UBER *EATS Sydney AU AUS Card xx2869 Value Date: 21/01/2024</t>
  </si>
  <si>
    <t>Stop ez Drummoyne AU</t>
  </si>
  <si>
    <t>KOJIAOKI HOLDINGS PTY LTD SYDNEY NSW AU Card xx2869</t>
  </si>
  <si>
    <t>AMAZON AU MARKETPLACE SYDNEY AUS Card xx2869 Value Date: 21/01/2024</t>
  </si>
  <si>
    <t>BEFORE YOU* BID 6/39 H</t>
  </si>
  <si>
    <t>Telstra Direct Debit AUSTRALIA SA AUS Card xx2869 Value Date: 17/01/2024</t>
  </si>
  <si>
    <t>BEFORE YOU* BID 11/220</t>
  </si>
  <si>
    <t>Salary SERVAUPAYROLL 20182P 85920286</t>
  </si>
  <si>
    <t>Etsy.com*CarrsCreation Sydney AU AUS Card xx2869 Value Date: 16/01/2024</t>
  </si>
  <si>
    <t>TRANSPORTFORNSW OPAL CHIPPENDALE AUS Card xx2869 Value Date: 16/01/2024</t>
  </si>
  <si>
    <t>COLES 0849 DRUMMOYNE AU AUS Card xx2869 Value Date: 15/01/2024</t>
  </si>
  <si>
    <t>OXFORD HOTEL Drummoyne AU AUS Card xx2869 Value Date: 12/01/2024</t>
  </si>
  <si>
    <t>DD *DOORDASH FRIEDCHIC MELBOURNE VI AUS Card xx2869 Value Date: 14/01/2024</t>
  </si>
  <si>
    <t>STAGE.PELUSOMICROPHONE WILLIS VA USA Card xx2869 USD 229.25 Value Date: 11/01/2024</t>
  </si>
  <si>
    <t>International Transaction Fee Value Date: 10/01/2024</t>
  </si>
  <si>
    <t>CHATGPT SUBSCRIPTION SAN FRANCISCO CA USA Card xx2869 USD 22.00 Value Date: 11/01/2024</t>
  </si>
  <si>
    <t>UNIVERSAL AUDIO SCOTTS VALLEY CA USA Card xx2869 USD 24.00 Value Date: 08/01/2024</t>
  </si>
  <si>
    <t>UBER *EATS Sydney AU AUS Card xx2869 Value Date: 09/01/2024</t>
  </si>
  <si>
    <t>International Transaction Fee Value Date: 08/01/2024</t>
  </si>
  <si>
    <t>DEPOSIT CASH $415.00 CHEQUE $0.00 Branch DRUMMOYNE</t>
  </si>
  <si>
    <t>Panda Birkenhead Pt Drummoyne NS AUS Card xx2869 Value Date: 06/01/2024</t>
  </si>
  <si>
    <t>EAST SUSHI PTY LTD LEICHHARDT NS AUS Card xx2869 Value Date: 04/01/2024</t>
  </si>
  <si>
    <t>DD *DOORDASH SAKURAONW MELBOURNE VI AUS Card xx2869 Value Date: 06/01/2024</t>
  </si>
  <si>
    <t>DD *DOORDASH JASMIN1 MELBOURNE VI AUS Card xx2869 Value Date: 05/01/2024</t>
  </si>
  <si>
    <t>BP CNNCT S/HLS0965 REDFERN NS AUS Card xx2869 Value Date: 04/01/2024</t>
  </si>
  <si>
    <t>UNIVERSAL AUDIO SCOTTS VALLEY CA USA Card xx2869 USD 24.00 Value Date: 04/01/2024</t>
  </si>
  <si>
    <t>PALACE CINEMAS LEICHHARDT NS AUS Card xx2869 Value Date: 04/01/2024</t>
  </si>
  <si>
    <t>International Transaction Fee Value Date: 03/01/2024</t>
  </si>
  <si>
    <t>7-ELEVEN 2048 DRUMMOYNE NS AUS Card xx2869 Value Date: 03/01/2024</t>
  </si>
  <si>
    <t>Salary SERVAUPAYROLL 18404P 85920286</t>
  </si>
  <si>
    <t>DD *DOORDASH MCDONALDS MELBOURNE VI AUS Card xx2869 Value Date: 01/01/2024</t>
  </si>
  <si>
    <t>Transfer To W JAIMES OCAMPO PayID Phone from CommBank App webcam</t>
  </si>
  <si>
    <t>UNIVERSAL AUDIO SCOTTS VALLEY CA USA Card xx2869 USD 123.00 Value Date: 31/12/2023</t>
  </si>
  <si>
    <t>Overdraw Fee For exceeding available funds on 02 Jan</t>
  </si>
  <si>
    <t>International Transaction Fee Value Date: 30/12/2023</t>
  </si>
  <si>
    <t>DD *DOORDASH JASMIN1 MELBOURNE VI AUS Card xx2869 Value Date: 30/12/2023</t>
  </si>
  <si>
    <t>COLES 0849 DRUMMOYNE AU AUS Card xx2869 Value Date: 29/12/2023</t>
  </si>
  <si>
    <t>BUNNINGS 582000 GLADESVILLE AU Card xx2869</t>
  </si>
  <si>
    <t>BIG W 0117 RYDE NSW AU</t>
  </si>
  <si>
    <t>Entertainment and Rec - Transfer To Amir Ehsani CommBank App nye platters, salad, dri...</t>
  </si>
  <si>
    <t>Direct Debit 245164 HCFHEALTHANDLIFE 057233969SL6L5M3EB</t>
  </si>
  <si>
    <t>AMAZON AU MARKETPLACE SYDNEY AUS Card xx2869 Value Date: 28/12/2023</t>
  </si>
  <si>
    <t>Fast Transfer From JONATHAN OLIVER battery</t>
  </si>
  <si>
    <t>ETERNAL HEALTH GROUP RYDE NS AUS Card xx2869 Value Date: 23/12/2023</t>
  </si>
  <si>
    <t>EAST SUSHI PTY LTD LEICHHARDT NS AUS Card xx2869 Value Date: 23/12/2023</t>
  </si>
  <si>
    <t>UBER *EATS Sydney AU AUS Card xx2869 Value Date: 23/12/2023</t>
  </si>
  <si>
    <t>STATEWIDE APPLIANCE ADELAIDE SA AUS Card xx2869 Value Date: 26/12/2023 (LG Tone Earbud)</t>
  </si>
  <si>
    <t>PA RYDE ISE SUPERMARK RYDE NS AUS Card xx2869 Value Date: 23/12/2023</t>
  </si>
  <si>
    <t>BEATPORT 720-974-9500 CO USA Card xx2869 AUD 6.80 Value Date: 25/12/2023</t>
  </si>
  <si>
    <t>Adobe Systems Pty Ltd Sydney AU AUS Card xx2869 Value Date: 23/12/2023</t>
  </si>
  <si>
    <t>V/CELLARS 3673 LEICHHARDT AU</t>
  </si>
  <si>
    <t>Refund Purchase BEFORE YOU* BID 32/21</t>
  </si>
  <si>
    <t>Hestia &amp; Co Leichhardt AU</t>
  </si>
  <si>
    <t>DD *DOORDASH JASMIN1 MELBOURNE VI AUS Card xx2869 Value Date: 21/12/2023</t>
  </si>
  <si>
    <t>Fast Transfer From H Roozbehani Merry Christmas Happy new year Merry Christmas Happy new year</t>
  </si>
  <si>
    <t>BEFORE YOU* BID 32/21</t>
  </si>
  <si>
    <t>COLES 0849 DRUMMOYNE AU AUS Card xx2869 Value Date: 18/12/2023</t>
  </si>
  <si>
    <t>WOOLWORTHS 1339 RYDE AU AUS Card xx2869 Value Date: 16/12/2023</t>
  </si>
  <si>
    <t>UBER *EATS Sydney AU AUS Card xx2869 Value Date: 15/12/2023</t>
  </si>
  <si>
    <t>THE HUNTERS HILL HOTEL HUNTERS HILL AU AUS Card xx2869 Value Date: 14/12/2023</t>
  </si>
  <si>
    <t>Telstra Direct Debit AUSTRALIA SA AUS Card xx2869 Value Date: 15/12/2023</t>
  </si>
  <si>
    <t>KMART 1251 Top Ryde AU AUS Card xx2869 Value Date: 16/12/2023</t>
  </si>
  <si>
    <t>RYANS BAR SYDNEY NS AUS Card xx2869 Value Date: 12/12/2023</t>
  </si>
  <si>
    <t>Hilton Sydney SYDNEY NSW AU AUS Card xx2869 Value Date: 12/12/2023</t>
  </si>
  <si>
    <t>13cabs Sydney ALEXANDRIA AU</t>
  </si>
  <si>
    <t>RYANS BAR SYDNEY AU</t>
  </si>
  <si>
    <t>DD *DOORDASH ILOVEPIZZ MELBOURNE VI AUS Card xx2869 Value Date: 08/12/2023</t>
  </si>
  <si>
    <t>DD *DOORDASH BARITALIA MELBOURNE VI AUS Card xx2869 Value Date: 09/12/2023</t>
  </si>
  <si>
    <t>7-ELEVEN 2224 GRANVILLE NS AUS Card xx2869 Value Date: 09/12/2023</t>
  </si>
  <si>
    <t>OFFICEWORKS 0201 FIVE DOCK AU AUS Card xx2869 Value Date: 07/12/2023</t>
  </si>
  <si>
    <t>OXFORD HOTEL Drummoyne AU AUS Card xx2869 Value Date: 05/12/2023</t>
  </si>
  <si>
    <t>THE HUNTERS HILL HOTEL HUNTERS HILL AU AUS Card xx2869 Value Date: 04/12/2023</t>
  </si>
  <si>
    <t>AMAZON AU RETAIL SYDNEY AUS Card xx2869 Value Date: 01/12/2023</t>
  </si>
  <si>
    <t>TRANSPORTFORNSW OPAL CHIPPENDALE AUS Card xx2869 Value Date: 03/12/2023</t>
  </si>
  <si>
    <t>SMP*The Chefs Wife Bi Burwood AU AUS Card xx2869 Value Date: 02/12/2023</t>
  </si>
  <si>
    <t>Panda Birkenhead Pt Drummoyne NS AUS Card xx2869 Value Date: 01/12/2023</t>
  </si>
  <si>
    <t>Orient Hotel Sydney NS AUS Card xx2869 Value Date: 03/12/2023</t>
  </si>
  <si>
    <t>GOOGLE*ADS8721882091 CC GOOGLE.COM AU AUS Card xx2869 Value Date: 02/12/2023</t>
  </si>
  <si>
    <t>DD *DOORDASH JASMIN1 MELBOURNE VI AUS Card xx2869 Value Date: 02/12/2023</t>
  </si>
  <si>
    <t>DD *DOORDASH DOSSENORI MELBOURNE VI AUS Card xx2869 Value Date: 01/12/2023</t>
  </si>
  <si>
    <t>7-ELEVEN 2048 DRUMMOYNE NS AUS Card xx2869 Value Date: 02/12/2023</t>
  </si>
  <si>
    <t>Fast Transfer From H Roozbehani Happy birthday Rodean jan Birthday present</t>
  </si>
  <si>
    <t>UNIVERSAL AUDIO SCOTTS VALLEY CA USA Card xx2869 USD 99.00 Value Date: 30/11/2023</t>
  </si>
  <si>
    <t>Overdraw Fee For exceeding available funds on 01 Dec</t>
  </si>
  <si>
    <t>International Transaction Fee Value Date: 29/11/2023</t>
  </si>
  <si>
    <t>Panda Birkenhead Pt Drummoyne NS AUS Card xx2869 Value Date: 29/11/2023</t>
  </si>
  <si>
    <t>Fast Transfer From JONATHAN OLIVER lunch</t>
  </si>
  <si>
    <t>Direct Debit 245164 HCFHEALTHANDLIFE 057233969S3FI4NQCD</t>
  </si>
  <si>
    <t>PAPERBOY CONCORD CAFE Mortlake NS AUS Card xx2869 Value Date: 25/11/2023</t>
  </si>
  <si>
    <t>ADOBE PS CREATIVE CLD Sydney AU AUS Card xx2869 Value Date: 24/11/2023</t>
  </si>
  <si>
    <t>Transfer To Jonathan K Oliver CommBank App wine and frozen coffee</t>
  </si>
  <si>
    <t>WW METRO 1669 SURRY HILLS AU AUS Card xx2869 Value Date: 22/11/2023</t>
  </si>
  <si>
    <t>ADOBE PR CREATIVE CLD Sydney AU AUS Card xx2869 Value Date: 23/11/2023</t>
  </si>
  <si>
    <t>WW METRO 1669 SURRY HILLS AU AUS Card xx2869 Value Date: 21/11/2023</t>
  </si>
  <si>
    <t>Salary SERVAUPAYROLL 19221P 85920286</t>
  </si>
  <si>
    <t>BAR TOSCA SYDNEY NS AUS Card xx2869 Value Date: 21/11/2023</t>
  </si>
  <si>
    <t>Transfer To Michael De Laroche CommBank App hotel</t>
  </si>
  <si>
    <t>TRANSPORTFORNSW OPAL CHIPPENDALE AUS Card xx2869 Value Date: 21/11/2023</t>
  </si>
  <si>
    <t>UBER *EATS Sydney AU AUS Card xx2869 Value Date: 19/11/2023</t>
  </si>
  <si>
    <t>OAKS CYPRESS LAKES RES POKOLBIN NS AUS Card xx2869 Value Date: 18/11/2023</t>
  </si>
  <si>
    <t>COLES 0849 DRUMMOYNE AU AUS Card xx2869 Value Date: 17/11/2023</t>
  </si>
  <si>
    <t>ZLR*Bimbadgen - Cellar Pokolbin AU</t>
  </si>
  <si>
    <t>Telstra Direct Debit AUSTRALIA SA AUS Card xx2869 Value Date: 16/11/2023</t>
  </si>
  <si>
    <t>PVH HERIT BRANDS AU DRUMMOYNE NS AUS Card xx2869 Value Date: 16/11/2023</t>
  </si>
  <si>
    <t>PETER JACKSON DRUMMOYNE NS AUS Card xx2869 Value Date: 16/11/2023</t>
  </si>
  <si>
    <t>COLES 0849 DRUMMOYNE AU AUS Card xx2869 Value Date: 16/11/2023</t>
  </si>
  <si>
    <t>COLES 0849 DRUMMOYNE AU AUS Card xx2869 Value Date: 13/11/2023</t>
  </si>
  <si>
    <t>DD *DOORDASH BANGKOKTH MELBOURNE VI AUS Card xx2869 Value Date: 13/11/2023</t>
  </si>
  <si>
    <t>UBER *EATS Sydney AU AUS Card xx2869 Value Date: 11/11/2023</t>
  </si>
  <si>
    <t>UBER *EATS Sydney AU AUS Card xx2869 Value Date: 10/11/2023</t>
  </si>
  <si>
    <t>Google ADS8721882091 Sydney AU AUS Card xx2869 Value Date: 11/11/2023</t>
  </si>
  <si>
    <t>TRANSPORTFORNSW TAP SYDNEY AUS Card xx2869 Value Date: 09/11/2023</t>
  </si>
  <si>
    <t>MLEKO PTY LTD SURRY HILLS NS AUS Card xx2869 Value Date: 08/11/2023</t>
  </si>
  <si>
    <t>Salary SERVAUPAYROLL 19432P 85920286</t>
  </si>
  <si>
    <t>Transfer To Jonathan K Oliver CommBank App rent addition for prior ...</t>
  </si>
  <si>
    <t>WW METRO 1669 SURRY HILLS AU AUS Card xx2869 Value Date: 07/11/2023</t>
  </si>
  <si>
    <t>COLES 0849 DRUMMOYNE AU AUS Card xx2869 Value Date: 06/11/2023</t>
  </si>
  <si>
    <t>tzp*BYCFURNITURESTRADI AU SGP Card xx2869 AUD 341.09 Value Date: 03/11/2023</t>
  </si>
  <si>
    <t>POST DRUMMOYNE-RET NS AU Card xx2869</t>
  </si>
  <si>
    <t>WW METRO 1669 SURRY HILLS AU AUS Card xx2869 Value Date: 31/10/2023</t>
  </si>
  <si>
    <t>TRANSPORTFORNSW OPAL CHIPPENDALE AUS Card xx2869 Value Date: 31/10/2023</t>
  </si>
  <si>
    <t>Fast Transfer From Megan Cartwright Invoice RR243 Rodean Invoice RR243</t>
  </si>
  <si>
    <t>Direct Debit 245164 HCFHEALTHANDLIFE 057233969SL5HD9Q9L</t>
  </si>
  <si>
    <t>UBER *EATS Sydney AU AUS Card xx2869 Value Date: 29/10/2023</t>
  </si>
  <si>
    <t>UBER *EATS Sydney AU AUS Card xx2869 Value Date: 27/10/2023</t>
  </si>
  <si>
    <t>SMP*Ralph Lauren 7101 Drummoyne AU AUS Card xx2869 Value Date: 28/10/2023</t>
  </si>
  <si>
    <t>Deli Fresh Cafe Homebush NS AUS Card xx2869 Value Date: 28/10/2023</t>
  </si>
  <si>
    <t>GLUE WORLD SQUARE SYDNEY AU</t>
  </si>
  <si>
    <t>Fast Transfer From MASOUMEH GHOLAMSHAHI Payment for lllSl laptop purchase</t>
  </si>
  <si>
    <t>DRUMMOYNE CAMERA HOUSE DRUMMOYNE NSW AU</t>
  </si>
  <si>
    <t>Salary SERVAUPAYROLL 19475P 85920286</t>
  </si>
  <si>
    <t>Bank Hotel Newtown AU</t>
  </si>
  <si>
    <t>SDRO INFRNGMNT PAYME MAITLAND NS AUS Card xx2869 Value Date: 23/10/2023</t>
  </si>
  <si>
    <t>Enmore Theatre Pty Lt Enmore AU</t>
  </si>
  <si>
    <t>Transfer To Louis Wayment PayID Phone from CommBank App dumplings</t>
  </si>
  <si>
    <t>Transfer To Louis Wayment CommBank App dumplings</t>
  </si>
  <si>
    <t>Reversal Transfer To Louis Wayment Account closed</t>
  </si>
  <si>
    <t>Panda Birkenhead Pt Drummoyne AU</t>
  </si>
  <si>
    <t>Transfer To Jonathan K Oliver CommBank App sultans</t>
  </si>
  <si>
    <t>WW METRO 1669 SURRY HILLS AU AUS Card xx2869 Value Date: 18/10/2023</t>
  </si>
  <si>
    <t>Telstra Direct Debit AUSTRALIA SA AUS Card xx2869 Value Date: 18/10/2023</t>
  </si>
  <si>
    <t>TRANSPORTFORNSW OPAL CHIPPENDALE AUS Card xx2869 Value Date: 18/10/2023</t>
  </si>
  <si>
    <t>COLES 0849 DRUMMOYNE AU AUS Card xx2869 Value Date: 17/10/2023</t>
  </si>
  <si>
    <t>Direct Credit 245133 HCF CASHBACK 57233969/L95454</t>
  </si>
  <si>
    <t>UBER *EATS Sydney AU AUS Card xx2869 Value Date: 15/10/2023</t>
  </si>
  <si>
    <t>UBER *EATS Sydney AU AUS Card xx2869 Value Date: 14/10/2023</t>
  </si>
  <si>
    <t>PAYPAL *NEWMAGICAUS Sydney AU</t>
  </si>
  <si>
    <t>Oxford Hotel DRUMMOYNE AU AUS Card xx2869 Value Date: 14/10/2023</t>
  </si>
  <si>
    <t>SCORPTEC COMPUTERS MACQUARIE PARAU</t>
  </si>
  <si>
    <t>Oxford Hotel DRUMMOYNE AU AUS Card xx2869 Value Date: 10/10/2023</t>
  </si>
  <si>
    <t>UNIVERSAL HOTELS GRO DARLINGHURST AUS Card xx2869 Value Date: 08/10/2023</t>
  </si>
  <si>
    <t>UNIVERSAL HOTELS GRO DARLINGHURST AUS Card xx2869 Value Date: 07/10/2023</t>
  </si>
  <si>
    <t>OXFORD TOBACCONIST P/L DARLINGHURST AU AUS Card xx2869 Value Date: 08/10/2023</t>
  </si>
  <si>
    <t>GM CABS PTY LTD MASCOT NSWAU</t>
  </si>
  <si>
    <t>ANKARA Darlinghurst AU</t>
  </si>
  <si>
    <t>SCORPTEC COMPUTERS MACQUARIE PARAU Card xx2869</t>
  </si>
  <si>
    <t>TRANSPORTFORNSW OPAL CHIPPENDALE AUS Card xx2869 Value Date: 04/10/2023</t>
  </si>
  <si>
    <t>7-ELEVEN 2048 DRUMMOYNE NS AUS Card xx2869 Value Date: 03/10/2023</t>
  </si>
  <si>
    <t>DEPOSIT CASH $100.00 CHEQUE $0.00 Branch 300 ELIZABETH ST SYDNEY</t>
  </si>
  <si>
    <t>Bowan IslandDrummoyne Drummoyne NS AUS Card xx2869 Value Date: 02/10/2023</t>
  </si>
  <si>
    <t>Transfer To Jonathan K Oliver NetBank Internet x 2 + Water Bill + E...</t>
  </si>
  <si>
    <t>UBER *EATS Sydney AU AUS Card xx2869 Value Date: 30/09/2023</t>
  </si>
  <si>
    <t>SP LOUIS CK COLUMBIA TN USA Card xx2869 USD 30.00 Value Date: 01/10/2023</t>
  </si>
  <si>
    <t>International Transaction Fee Value Date: 30/09/2023</t>
  </si>
  <si>
    <t>Direct Debit 245164 HCFHEALTHANDLIFE 057233969SLWQDPG5S</t>
  </si>
  <si>
    <t>DidiChuxing DidiAU pen Sydney AU AUS Card xx2869 Value Date: 30/09/2023</t>
  </si>
  <si>
    <t>BWS LIQUOR 1601 DRUMMOYNE AU AUS Card xx2869 Value Date: 30/09/2023</t>
  </si>
  <si>
    <t>HOTEL GREENWOOD PTY LI NORTH SYDNEY AU Card xx2869</t>
  </si>
  <si>
    <t>Transfer To RAMTEAN ROOZBEHANI CommBank App maccas</t>
  </si>
  <si>
    <t>ALDI STORES PARRAMATTA NSWAU</t>
  </si>
  <si>
    <t>TROVATINO CAFE PTY LI Wareemba NS AUS Card xx2869 Value Date: 16/08/2025</t>
  </si>
  <si>
    <t>NRMA Insurance Sydney AU AUS Card xx2869 Value Date: 16/08/2025</t>
  </si>
  <si>
    <t>LINKT SYDNEY SYDNEY AUS Card xx2869 Value Date: 16/08/2025</t>
  </si>
  <si>
    <t>BUPA HI PTY LTD</t>
  </si>
  <si>
    <t>SERVICE NSW SYDNEY AU</t>
  </si>
  <si>
    <t>SAM S AUTOMOTIVE PTY L FIVE DOCK AU</t>
  </si>
  <si>
    <t>PMG SERVICE CAMELLIA AU</t>
  </si>
  <si>
    <t>MYER PARRAMATTA PARRAMATTA NS AUS Card xx2869 Value Date: 12/08/2025</t>
  </si>
  <si>
    <t>Salary SERVAUPAYROLL 19493P 85920286</t>
  </si>
  <si>
    <t>International Transaction Fee Value Date: 10/08/2025</t>
  </si>
  <si>
    <t>OPENAI *CHATGPT SUBSCR SAN FRANCISCO CA USA Card xx2869 USD 22.00 Value Date: 11/08/2025</t>
  </si>
  <si>
    <t>Transfer To E L Audet PayID Phone from CommBank App amp</t>
  </si>
  <si>
    <t>Transfer to other Bank CommBank app Bathroom Reno</t>
  </si>
  <si>
    <t>Optus Billing MacquariePark NS AUS Card xx2869 Value Date: 07/08/2025</t>
  </si>
  <si>
    <t>ALDI STORES RYDALMERE NSWAU</t>
  </si>
  <si>
    <t>Fast Transfer From CoinSpot CREDIT TO ACCOUNT</t>
  </si>
  <si>
    <t>7-ELEVEN 2257 PARRAMATTA NS AUS Card xx2869 Value Date: 30/07/2025</t>
  </si>
  <si>
    <t>TONG LI SUPERMARKETQPS PARRAMATTA AUS Card xx2869 Value Date: 31/07/2025</t>
  </si>
  <si>
    <t>TRANSPORTFORNSW OPAL CHIPPENDALE AUS Card xx2869 Value Date: 29/07/2025</t>
  </si>
  <si>
    <t>Salary SERVAUPAYROLL 21230P 85920286</t>
  </si>
  <si>
    <t>AURORA HOTEL Surry Hills AU</t>
  </si>
  <si>
    <t>COLES 7663COLES 7663 PARRAMATTA 02 AUS Card xx2869 Value Date: 27/07/2025</t>
  </si>
  <si>
    <t>Sydney Eye Hospital Sydney NS AUS Card xx2869 Value Date: 26/07/2025</t>
  </si>
  <si>
    <t>VERANDAH BAR SYDNEY AUS Card xx2869 Value Date: 26/07/2025</t>
  </si>
  <si>
    <t>MCDONALDS PMATTA NTH NORTH PARRAMANSWAU</t>
  </si>
  <si>
    <t>ATO PAYMENT SYDNEY NS AUS Card xx2869 Value Date: 23/07/2025</t>
  </si>
  <si>
    <t>Fast Transfer From M M ROBINSON to PayID Phone Dinner</t>
  </si>
  <si>
    <t>LS John Belvedere Eate Parramatta AU</t>
  </si>
  <si>
    <t>Optus Billing MacquariePark NS AUS Card xx2869 Value Date: 22/07/2025</t>
  </si>
  <si>
    <t>APEX WEST RYDE WEST RYDE NS AUS Card xx2869 Value Date: 20/07/2025</t>
  </si>
  <si>
    <t>BUPA HI P T PHI MELBOURNE VI AUS Card xx2869 Value Date: 19/07/2025</t>
  </si>
  <si>
    <t>Tickets*Networking BELROSE AU AUS Card xx2869 Value Date: 18/07/2025</t>
  </si>
  <si>
    <t>COLES 7663COLES 7663 PARRAMATTA 02 AUS Card xx2869 Value Date: 18/07/2025</t>
  </si>
  <si>
    <t>DRUMMOYNE SAILING CLUB LT DRUMMOY NSW AU Card xx2869</t>
  </si>
  <si>
    <t>Transfer To M M ROBINSON PayID Email from CommBank App food</t>
  </si>
  <si>
    <t>Fast Transfer From Louis Wayment Giles P</t>
  </si>
  <si>
    <t>MOSHTIX PTY LTD</t>
  </si>
  <si>
    <t>Salary SERVAUPAYROLL 19540P 85920286</t>
  </si>
  <si>
    <t>Fast Transfer From JONATHAN OLIVER giles peteraon gig</t>
  </si>
  <si>
    <t>International Transaction Fee Value Date: 10/07/2025</t>
  </si>
  <si>
    <t>OPENAI *CHATGPT SUBSCR SAN FRANCISCO CA USA Card xx2869 USD 22.00 Value Date: 11/07/2025</t>
  </si>
  <si>
    <t>JOHNS QUALITY MEATS PA PARRAMATTA AU AUS Card xx2869 Value Date: 12/07/2025</t>
  </si>
  <si>
    <t>7-ELEVEN 2257 PARRAMATTA NS AUS Card xx2869 Value Date: 12/07/2025</t>
  </si>
  <si>
    <t>Fast Transfer From M M ROBINSON to PayID Phone Matt R tickets</t>
  </si>
  <si>
    <t>COLES 0887 PARRAMATTA 02 AUS Card xx2869 Value Date: 10/07/2025</t>
  </si>
  <si>
    <t>Optus Billing MacquariePark NS AUS Card xx2869 Value Date: 08/07/2025</t>
  </si>
  <si>
    <t>ORIGIN ENERGY LTD BARANGAROO AUS Card xx2869 Value Date: 08/07/2025</t>
  </si>
  <si>
    <t>TRANSPORTFORNSW OPAL CHIPPENDALE AUS Card xx2869 Value Date: 08/07/2025</t>
  </si>
  <si>
    <t>MOSHTIX PTY LTD SYDNEY NS AUS Card xx2869 Value Date: 05/07/2025</t>
  </si>
  <si>
    <t>Salary SERVAUPAYROLL 20410P 85920286</t>
  </si>
  <si>
    <t>COLES 7663 PARRAMATTA 02 AUS Card xx2869 Value Date: 28/06/2025</t>
  </si>
  <si>
    <t>UBER *EATS HELP.UBER.C Sydney AU AUS Card xx2869 Value Date: 28/06/2025</t>
  </si>
  <si>
    <t>DAVID JONES LIMITED PARRAMATTA AU Card xx2869</t>
  </si>
  <si>
    <t>Fast Transfer From MR H ROOZBEHANI Love from dad</t>
  </si>
  <si>
    <t>International Transaction Fee Value Date: 24/06/2025</t>
  </si>
  <si>
    <t>SC* STACKSOCIAL VENICE CA USA Card xx2869 USD 16.47 Value Date: 25/06/2025</t>
  </si>
  <si>
    <t>Optus Billing MacquariePark NS AUS Card xx2869 Value Date: 23/06/2025</t>
  </si>
  <si>
    <t>BUPA HI P T PHI MELBOURNE VI AUS Card xx2869 Value Date: 19/06/2025</t>
  </si>
  <si>
    <t>aliexpress North Sydney AU AUS Card xx2869 Value Date: 17/06/2025</t>
  </si>
  <si>
    <t>Salary SERVAUPAYROLL 21162P 85920286</t>
  </si>
  <si>
    <t>BWS LIQUOR 1601 DRUMMOYNE NS AUS Card xx2869 Value Date: 14/06/2025</t>
  </si>
  <si>
    <t>SIEFF S MUSIC WORLD BLACKTOWN AU AUS Card xx2869 Value Date: 15/06/2025</t>
  </si>
  <si>
    <t>WOOLWORTHS 1288 BLACKTOWN NS AUS Card xx2869 Value Date: 15/06/2025</t>
  </si>
  <si>
    <t>OXFORD HOTEL Drummoyne AU AUS Card xx2869 Value Date: 14/06/2025</t>
  </si>
  <si>
    <t>Sushi Maru Blacktown SOUTH TURRAMU AU AUS Card xx2869 Value Date: 15/06/2025</t>
  </si>
  <si>
    <t>Google YouTube Barangaroo AU AUS Card xx2869 Value Date: 15/06/2025</t>
  </si>
  <si>
    <t>International Transaction Fee Value Date: 10/06/2025</t>
  </si>
  <si>
    <t>OPENAI *CHATGPT SUBSCR SAN FRANCISCO CA USA Card xx2869 USD 22.00 Value Date: 11/06/2025</t>
  </si>
  <si>
    <t>SQ *SPANIAN'S KEBABS N North Parrama AU</t>
  </si>
  <si>
    <t>APEX VILLAWOOD VILLAWOOD NS AUS Card xx2869 Value Date: 07/06/2025</t>
  </si>
  <si>
    <t>TRANSPORTFORNSW OPAL CHIPPENDALE AUS Card xx2869 Value Date: 10/06/2025</t>
  </si>
  <si>
    <t>OPTUS BILLING AUTOPAY MACQUARIE PAR NS AUS Card xx2869 Value Date: 07/06/2025</t>
  </si>
  <si>
    <t>Dyson Demo Kensington AU AUS Card xx2869 Value Date: 08/06/2025</t>
  </si>
  <si>
    <t>Fast Transfer From MASOUMEH GHOLAMSHAHI Weekly food shoping share</t>
  </si>
  <si>
    <t>Google YouTube Videos Pyrmont AU AUS Card xx2869 Value Date: 31/05/2025</t>
  </si>
  <si>
    <t>ALDI STORES - RYDALMER RYDALMERE AU</t>
  </si>
  <si>
    <t>YILAN GROUP NO.1 Burwood AU</t>
  </si>
  <si>
    <t>Burwood Hotel Burwood AU</t>
  </si>
  <si>
    <t>Madison Hotel Surry Hills AU</t>
  </si>
  <si>
    <t>PUB POOL PROMOTIONS PTY LDenistone AU</t>
  </si>
  <si>
    <t>WINGHAS - CQ GATEWAY THE ROCKS NS AUS Card xx2869 Value Date: 23/05/2025</t>
  </si>
  <si>
    <t>UBER *EATS HELP.UBER.C Sydney AU AUS Card xx2869 Value Date: 24/05/2025</t>
  </si>
  <si>
    <t>TRANSPORTFORNSW OPAL CHIPPENDALE AUS Card xx2869 Value Date: 23/05/2025</t>
  </si>
  <si>
    <t>BELFIELD MUSIC PTY LTD BASS HILL NSW AU Card xx2869</t>
  </si>
  <si>
    <t>Fast Transfer From ALEXANDER SCOTT to PayID Phone alex gee</t>
  </si>
  <si>
    <t>OPTUS BILLING AUTOPAY MACQUARIE PAR NS AUS Card xx2869 Value Date: 22/05/2025</t>
  </si>
  <si>
    <t>Return eBay O*22-13033-18699 Sydney AU AUS Card xx2869 Value Date: 23/05/2025</t>
  </si>
  <si>
    <t>Wdl ATM ETX FIREHOUSE HOTEL NORTH SYDNE AU</t>
  </si>
  <si>
    <t>SHIP INN Sydney AU</t>
  </si>
  <si>
    <t>WinghausCircularQuay Sydney AU</t>
  </si>
  <si>
    <t>WOOLWORTHS 1366 ERMINGTON NS AUS Card xx2869 Value Date: 20/05/2025</t>
  </si>
  <si>
    <t>BUPA HI P T PHI MELBOURNE VI AUS Card xx2869 Value Date: 20/05/2025</t>
  </si>
  <si>
    <t>Salary SERVAUPAYROLL 20583P 85920286</t>
  </si>
  <si>
    <t>OXFORD HOTEL Drummoyne AU AUS Card xx2869 Value Date: 17/05/2025</t>
  </si>
  <si>
    <t>CITY OF PARRAMATTA C PARRAMATTA NS AUS Card xx2869 Value Date: 09/05/2025</t>
  </si>
  <si>
    <t>OPTUS BILLING AUTOPAY MACQUARIE PAR NS AUS Card xx2869 Value Date: 09/05/2025</t>
  </si>
  <si>
    <t>International Transaction Fee Value Date: 10/05/2025</t>
  </si>
  <si>
    <t>OPENAI *CHATGPT SUBSCR SAN FRANCISCO CA USA Card xx2869 USD 22.00 Value Date: 11/05/2025</t>
  </si>
  <si>
    <t>ZLR*Baba Ghanouj Parram Parramatta AU</t>
  </si>
  <si>
    <t>Neyvine Seafood &amp; Gril Parramatta AU</t>
  </si>
  <si>
    <t>eBay O*22-13033-18699 Sydney AU AUS Card xx2869 Value Date: 08/05/2025</t>
  </si>
  <si>
    <t>BEATPORT 720-974-9500 CO USA Card xx2869 AUD 3.40 Value Date: 05/05/2025</t>
  </si>
  <si>
    <t>BEATPORT 720-974-9500 CO USA Card xx2869 AUD 3.40 Value Date: 06/05/2025</t>
  </si>
  <si>
    <t>Salary SERVAUPAYROLL 19323P 85920286</t>
  </si>
  <si>
    <t>Return GOOGLE*ADS8721882091 CC GOOGLE.COM AUS Card xx2869 Value Date: 02/05/2025</t>
  </si>
  <si>
    <t>COLES 0887COLES 0887 PARRAMATTA 02 AUS Card xx2869 Value Date: 01/05/2025</t>
  </si>
  <si>
    <t>TRANSPORTFORNSW OPAL CHIPPENDALE AUS Card xx2869 Value Date: 29/04/2025</t>
  </si>
  <si>
    <t>COLES 0887COLES 0887 PARRAMATTA 02 AUS Card xx2869 Value Date: 28/04/2025</t>
  </si>
  <si>
    <t>CITY OF PARRAMATTA PARRAMATTA NS AUS Card xx2869 Value Date: 24/04/2025</t>
  </si>
  <si>
    <t>Transfer To Masoumeh Gholamshahi CommBank App food Value Date: 28/04/2025</t>
  </si>
  <si>
    <t>LS Waterworks Canteen Manly AU</t>
  </si>
  <si>
    <t>OPTUS BILLING AUTOPAY MACQUARIE PAR NS AUS Card xx2869 Value Date: 22/04/2025</t>
  </si>
  <si>
    <t>BUPA HI P T PHI MELBOURNE VI AUS Card xx2869 Value Date: 19/04/2025</t>
  </si>
  <si>
    <t>Salary SERVAUPAYROLL 19100P 85920286</t>
  </si>
  <si>
    <t>Mikazuki Riverside PARRAMATTA AU AUS Card xx2869 Value Date: 17/04/2025</t>
  </si>
  <si>
    <t>Return Microsoft*Microsoft 36 msbill.info AU AUS Card xx2869 Value Date: 17/04/2025</t>
  </si>
  <si>
    <t>WWW.WILLOPARRAMATTA.CO Greystanes AU</t>
  </si>
  <si>
    <t>UBER *TRIP HELP.UBER.COM</t>
  </si>
  <si>
    <t>Wdl ATM Red NP-Kent St Hotel1 Sydney AU</t>
  </si>
  <si>
    <t>EZI*CASH CONVERTERS. PERTH AU AUS Card xx2869 Value Date: 13/04/2025</t>
  </si>
  <si>
    <t>International Transaction Fee Value Date: 10/04/2025</t>
  </si>
  <si>
    <t>OPENAI *CHATGPT SUBSCR SAN FRANCISCO CA USA Card xx2869 USD 22.00 Value Date: 11/04/2025</t>
  </si>
  <si>
    <t>COLES 0887COLES 0887 PARRAMATTA 02 AUS Card xx2869 Value Date: 11/04/2025</t>
  </si>
  <si>
    <t>Microsoft*Microsoft 36 msbill.info AU AUS Card xx2869 Value Date: 12/04/2025</t>
  </si>
  <si>
    <t>ORIGIN ENERGY BARANGAROO AU</t>
  </si>
  <si>
    <t>Salary SERVAUPAYROLL 19240P 85920286</t>
  </si>
  <si>
    <t>OPTUS BILLING AUTOPAY MACQUARIE PAR NS AUS Card xx2869 Value Date: 07/04/2025</t>
  </si>
  <si>
    <t>BELLS HOTEL WOOLLOOMOOLOO NS AUS Card xx2869 Value Date: 06/04/2025</t>
  </si>
  <si>
    <t>Transfer To Amin Akbarian CommBank App omid succulent chinese meal</t>
  </si>
  <si>
    <t>Fast Transfer From RAMTEAN ROOZBEHANI lunch</t>
  </si>
  <si>
    <t>CASH DEPOSIT CBA ATM PARRAMATTA A NSW 222301 AUS</t>
  </si>
  <si>
    <t>Wdl ATM ETX BELLS HOTEL WOOLOOMOOLO AU</t>
  </si>
  <si>
    <t>Transfer To RAMTEAN ROOZBEHANI CommBank App parking for omids lunch</t>
  </si>
  <si>
    <t>BUNNINGS 388000 RYDALMERE AUS Card xx2869 Value Date: 02/04/2025</t>
  </si>
  <si>
    <t>TRANSPORTFORNSW OPAL CHIPPENDALE AUS Card xx2869 Value Date: 01/04/2025</t>
  </si>
  <si>
    <t>Vic On The Park Marrickville AU</t>
  </si>
  <si>
    <t>MERIVALE ME&amp;U* ME&amp;U</t>
  </si>
  <si>
    <t>Transfer to other Bank CommBank app contribution</t>
  </si>
  <si>
    <t>SP RENPHO PTY LIMITED ALEXANDRIA NS AUS Card xx2869 Value Date: 25/03/2025</t>
  </si>
  <si>
    <t>CENTENNIAL PLAZA PHR SYDNEY NS AUS Card xx2869 Value Date: 25/03/2025</t>
  </si>
  <si>
    <t>Salary SERVAUPAYROLL 19384P 85920286</t>
  </si>
  <si>
    <t>Fast Transfer From MASOUMEH GHOLAMSHAHI Ramtean BD present</t>
  </si>
  <si>
    <t>OPTUS BILLING AUTOPAY MACQUARIE PAR NS AUS Card xx2869 Value Date: 22/03/2025</t>
  </si>
  <si>
    <t>Transfer To Masoumeh Gholamshahi CommBank App strata levy</t>
  </si>
  <si>
    <t>BUPA HI P T PHI MELBOURNE VI AUS Card xx2869 Value Date: 19/03/2025</t>
  </si>
  <si>
    <t>Google YouTube Videos Barangaroo AU AUS Card xx2869 Value Date: 16/03/2025</t>
  </si>
  <si>
    <t>COLES 7663COLES 7663 PARRAMATTA 02 AUS Card xx2869 Value Date: 13/03/2025</t>
  </si>
  <si>
    <t>International Transaction Fee Value Date: 10/03/2025</t>
  </si>
  <si>
    <t>OPENAI *CHATGPT SUBSCR SAN FRANCISCO CA USA Card xx2869 USD 22.00 Value Date: 11/03/2025</t>
  </si>
  <si>
    <t>Salary SERVAUPAYROLL 19264P 85920286</t>
  </si>
  <si>
    <t>OPTUS BILLING AUTOPAY MACQUARIE PAR NS AUS Card xx2869 Value Date: 10/03/2025</t>
  </si>
  <si>
    <t>TRANSPORTFORNSW OPAL CHIPPENDALE AUS Card xx2869 Value Date: 11/03/2025</t>
  </si>
  <si>
    <t>ALDI STORES - PARRAMAT PARRAMATTA AU</t>
  </si>
  <si>
    <t>AMPOL HAZELBROO 22545F HAZELBROOK AUS Card xx2869 Value Date: 28/02/2025</t>
  </si>
  <si>
    <t>WOOLWORTHS 1106 PARRAMATTA NS AUS Card xx2869 Value Date: 01/03/2025</t>
  </si>
  <si>
    <t>COLES 7663COLES 7663 PARRAMATTA 02 AUS Card xx2869 Value Date: 01/03/2025</t>
  </si>
  <si>
    <t>Salary SERVAUPAYROLL 20143P 85920286</t>
  </si>
  <si>
    <t>SP RENPHO PTY LIMITED ALEXANDRIA NS AUS Card xx2869 Value Date: 21/02/2025</t>
  </si>
  <si>
    <t>OPTUS BILLING AUTOPAY MACQUARIE PAR NS AUS Card xx2869 Value Date: 22/02/2025</t>
  </si>
  <si>
    <t>COLES 7663 PARRAMATTA 02 AUS Card xx2869 Value Date: 27/08/2025</t>
  </si>
  <si>
    <t>AMAZON AU RETAIL SYDNEY AUS Card xx2869 Value Date: 26/08/2025</t>
  </si>
  <si>
    <t>TRANSPORTFORNSW OPAL CHIPPENDALE AUS Card xx2869 Value Date: 26/08/2025</t>
  </si>
  <si>
    <t>Salary SERVAUPAYROLL 19514P 85920286</t>
  </si>
  <si>
    <t>Fast Transfer From MASOUMEH GHOLAMSHAHI Special arogonomic Mouse for computer</t>
  </si>
  <si>
    <t>Optus Billing MacquariePark NS AUS Card xx2869 Value Date: 22/08/2025</t>
  </si>
  <si>
    <t>KOJIAOKI HOLDINGS PTY SYDNEY AUS Card xx2869 Value Date: 24/08/2025</t>
  </si>
  <si>
    <t>Great Southern Hotel Haymarket AU</t>
  </si>
  <si>
    <t>Civic Hotel Sydney Sydney NS AUS Card xx2869 Value Date: 21/09/2025</t>
  </si>
  <si>
    <t>Civic Hotel Sydney Sydney NS AUS Card xx2869 Value Date: 20/09/2025</t>
  </si>
  <si>
    <t>BABU FOODS PTY LTD BRONTE AUS Card xx2869 Value Date: 21/09/2025</t>
  </si>
  <si>
    <t>OPORTO KINGS CROSS POTTS POINT AUS Card xx2869 Value Date: 20/09/2025</t>
  </si>
  <si>
    <t>Fast Transfer From KIERAN KROHN to PayID Phone Brekky</t>
  </si>
  <si>
    <t>BUPA HI PTY LTD Value Date: 19/09/2025</t>
  </si>
  <si>
    <t>TONG LI SUPERMARKETQPS PARRAMATTA AUS Card xx2869 Value Date: 17/09/2025</t>
  </si>
  <si>
    <t>TRANSPORTFORNSW OPAL CHIPPENDALE AUS Card xx2869 Value Date: 16/09/2025</t>
  </si>
  <si>
    <t>ALH VENUES 8758 MANLY NS AUS Card xx2869 Value Date: 14/09/2025</t>
  </si>
  <si>
    <t>CARGO BAR APP Sydney NS AUS Card xx2869 Value Date: 11/09/2025</t>
  </si>
  <si>
    <t>International Transaction Fee Value Date: 10/09/2025</t>
  </si>
  <si>
    <t>OPENAI *CHATGPT SUBSCR SAN FRANCISCO CA USA Card xx2869 USD 22.00 Value Date: 11/09/2025</t>
  </si>
  <si>
    <t>CBD MALATANG City Sydney AU</t>
  </si>
  <si>
    <t>Overdraw Fee For exceeding available funds on 10 Sep</t>
  </si>
  <si>
    <t>Salary SERVAUPAYROLL 19433P 85920286</t>
  </si>
  <si>
    <t>COLES 7663 PARRAMATTA 02 AUS Card xx2869 Value Date: 07/09/2025</t>
  </si>
  <si>
    <t>Optus Billing MacquariePark NS AUS Card xx2869 Value Date: 07/09/2025</t>
  </si>
  <si>
    <t>HARVEST AUST FOOD PTY LBURWOOD AU</t>
  </si>
  <si>
    <t>SQ *ELF&amp;TACO Haymarket AU</t>
  </si>
  <si>
    <t>7-ELEVEN 2219 EPPING NS AUS Card xx2869 Value Date: 30/08/2025</t>
  </si>
  <si>
    <t>Salary SERVAUPAYROLL 20365P 85920286</t>
  </si>
  <si>
    <t>GM TAXIPAY MASCOT NS AUS Card xx2869 Value Date: 01/11/2025</t>
  </si>
  <si>
    <t>BUNGALOW 8 Sydney NS AUS Card xx2869 Value Date: 31/10/2025</t>
  </si>
  <si>
    <t>International Transaction Fee Value Date: 31/10/2025</t>
  </si>
  <si>
    <t>MIRO.COM SAN FRANCISCO CA USA Card xx2869 USD 11.00 Value Date: 01/11/2025</t>
  </si>
  <si>
    <t>Transfer To Jonathan K Oliver CommBank App giles ticket</t>
  </si>
  <si>
    <t>Fast Transfer From ALEXANDER GRIERSON Dinner</t>
  </si>
  <si>
    <t>Transfer To CoinSpot PayID Email from CommBank App coinspot deposit</t>
  </si>
  <si>
    <t>Hotel CBD Sydney AU Value Date: 01/11/2025</t>
  </si>
  <si>
    <t>BUNGALOW Sydney AU</t>
  </si>
  <si>
    <t>Transfer To coinspot CommBank App deposit</t>
  </si>
  <si>
    <t>STARTMATE.COM.AU</t>
  </si>
  <si>
    <t>COLES 7663 PARRAMATTA 02 AUS Card xx2869 Value Date: 28/10/2025</t>
  </si>
  <si>
    <t>Little Corea Parramatta AU AUS Card xx2869 Value Date: 27/10/2025</t>
  </si>
  <si>
    <t>COLES 7663 PARRAMATTA 02 AUS Card xx2869 Value Date: 25/10/2025</t>
  </si>
  <si>
    <t>Optus Billing MacquariePark NS AUS Card xx2869 Value Date: 22/10/2025</t>
  </si>
  <si>
    <t>TRANSPORTFORNSW OPAL CHIPPENDALE AUS Card xx2869 Value Date: 23/10/2025</t>
  </si>
  <si>
    <t>FIRMIANA PTY LTD SURRY HILLS AUS Card xx2869 Value Date: 23/10/2025</t>
  </si>
  <si>
    <t>Salary SERVAUPAYROLL 20190P 85920286</t>
  </si>
  <si>
    <t>AMAZON AU RETAIL SYDNEY AUS Card xx2869 Value Date: 16/10/2025</t>
  </si>
  <si>
    <t>AMAZON AU MARKETPLACE SYDNEY AUS Card xx2869 Value Date: 16/10/2025</t>
  </si>
  <si>
    <t>Shaver Shop Pty Ltd Chadstone AU AUS Card xx2869 Value Date: 10/10/2025</t>
  </si>
  <si>
    <t>International Transaction Fee Value Date: 10/10/2025</t>
  </si>
  <si>
    <t>OPENAI *CHATGPT SUBSCR SAN FRANCISCO CA USA Card xx2869 USD 22.00 Value Date: 11/10/2025</t>
  </si>
  <si>
    <t>Transfer To coinspot CommBank App holo deposit</t>
  </si>
  <si>
    <t>GusmanYGomezWestfiel Parramatta AU</t>
  </si>
  <si>
    <t>Optus Billing MacquariePark NS AUS Card xx2869 Value Date: 09/10/2025</t>
  </si>
  <si>
    <t>COLES 0887 PARRAMATTA 02 AUS Card xx2869 Value Date: 09/10/2025</t>
  </si>
  <si>
    <t>HAAK EATERY PTY LTD SURRY HILLS AUS Card xx2869 Value Date: 07/10/2025</t>
  </si>
  <si>
    <t>Salary SERVAUPAYROLL 19455P 85920286</t>
  </si>
  <si>
    <t>ORIGIN ENERGY LTD BARANGAROO AUS Card xx2869 Value Date: 03/10/2025</t>
  </si>
  <si>
    <t>TAM PH PTY LTD PARRAMATTA AUS Card xx2869 Value Date: 04/10/2025</t>
  </si>
  <si>
    <t>Transfer To Masoumeh Gholamshahi CommBank App garden</t>
  </si>
  <si>
    <t>WOOLWORTHS 1106 PARRAMATTA NS AUS Card xx2869 Value Date: 30/09/2025</t>
  </si>
  <si>
    <t>COLES 0887 PARRAMATTA 02 AUS Card xx2869 Value Date: 29/09/2025</t>
  </si>
  <si>
    <t>COLES 0887 PARRAMATTA 02 AUS Card xx2869 Value Date: 28/09/2025</t>
  </si>
  <si>
    <t>CHEMISTWAREHOUSE ONLIN Preston AU AUS Card xx2869 Value Date: 27/09/2025</t>
  </si>
  <si>
    <t>TRANSPORTFORNSW OPAL CHIPPENDALE AUS Card xx2869 Value Date: 25/09/2025</t>
  </si>
  <si>
    <t>International Transaction Fee Value Date: 24/09/2025</t>
  </si>
  <si>
    <t>MIRO.COM SAN FRANCISCO CA USA Card xx2869 USD 11.00 Value Date: 24/09/2025</t>
  </si>
  <si>
    <t>UMAYA World Square Sydney NS AUS Card xx2869 Value Date: 24/09/2025</t>
  </si>
  <si>
    <t>COLES 7663 PARRAMATTA 02 AUS Card xx2869 Value Date: 23/09/2025</t>
  </si>
  <si>
    <t>Optus Billing MacquariePark NS AUS Card xx2869 Value Date: 22/09/2025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</si>
</sst>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&quot;$&quot;#,##0_);[Red]\(&quot;$&quot;#,##0\)"/>
    <numFmt numFmtId="167" formatCode="0;\-0;;@"/>
    <numFmt numFmtId="168" formatCode="&quot;$&quot;#,##0.00"/>
    <numFmt numFmtId="169" formatCode="_-[$$-C09]* #,##0.00_-;\-[$$-C09]* #,##0.00_-;_-[$$-C09]* &quot;-&quot;??_-;_-@_-"/>
    <numFmt numFmtId="170" formatCode="[$-F800]dddd\,\ mmmm\ dd\,\ yyyy"/>
    <numFmt numFmtId="171" formatCode="d/m/yy\ h:mm"/>
    <numFmt numFmtId="172" formatCode="d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9" tint="0.59996337778862885"/>
      </bottom>
      <diagonal/>
    </border>
    <border>
      <left/>
      <right/>
      <top/>
      <bottom style="thick">
        <color theme="9"/>
      </bottom>
      <diagonal/>
    </border>
    <border>
      <left/>
      <right/>
      <top style="thin">
        <color theme="9"/>
      </top>
      <bottom style="double">
        <color theme="9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 diagonalDown="1">
      <left/>
      <right/>
      <top/>
      <bottom/>
      <diagonal style="thin">
        <color rgb="FFFF0000"/>
      </diagonal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5" fontId="16" fillId="0" borderId="12" applyFill="0" applyAlignment="0" applyProtection="0"/>
    <xf numFmtId="0" fontId="4" fillId="0" borderId="10" applyFill="0" applyAlignment="0" applyProtection="0"/>
    <xf numFmtId="0" fontId="3" fillId="0" borderId="11" applyFill="0" applyAlignment="0" applyProtection="0"/>
    <xf numFmtId="169" fontId="1" fillId="30" borderId="13" applyFill="0">
      <alignment horizontal="center"/>
    </xf>
    <xf numFmtId="0" fontId="20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8" fontId="0" fillId="0" borderId="0" xfId="0" applyNumberFormat="1" applyAlignment="1">
      <alignment horizontal="center" vertical="center"/>
    </xf>
    <xf numFmtId="22" fontId="0" fillId="0" borderId="0" xfId="0" applyNumberFormat="1"/>
    <xf numFmtId="165" fontId="0" fillId="33" borderId="0" xfId="0" applyNumberFormat="1" applyFill="1" applyAlignment="1">
      <alignment horizontal="left"/>
    </xf>
    <xf numFmtId="0" fontId="0" fillId="33" borderId="0" xfId="0" applyFill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/>
    <xf numFmtId="0" fontId="0" fillId="0" borderId="15" xfId="0" applyBorder="1"/>
    <xf numFmtId="0" fontId="0" fillId="0" borderId="16" xfId="0" applyBorder="1"/>
    <xf numFmtId="165" fontId="0" fillId="0" borderId="0" xfId="0" applyNumberFormat="1" applyAlignment="1">
      <alignment horizontal="right" vertical="center"/>
    </xf>
    <xf numFmtId="0" fontId="16" fillId="0" borderId="0" xfId="0" applyFont="1" applyAlignment="1">
      <alignment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 wrapText="1"/>
    </xf>
    <xf numFmtId="168" fontId="0" fillId="0" borderId="17" xfId="0" applyNumberFormat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166" fontId="0" fillId="0" borderId="17" xfId="0" applyNumberForma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71" fontId="0" fillId="0" borderId="0" xfId="0" applyNumberFormat="1"/>
    <xf numFmtId="164" fontId="0" fillId="0" borderId="0" xfId="0" applyNumberFormat="1"/>
    <xf numFmtId="165" fontId="16" fillId="0" borderId="0" xfId="0" applyNumberFormat="1" applyFont="1" applyAlignment="1">
      <alignment horizontal="right" vertical="center"/>
    </xf>
    <xf numFmtId="165" fontId="0" fillId="0" borderId="15" xfId="0" applyNumberFormat="1" applyBorder="1" applyAlignment="1">
      <alignment horizontal="right" vertical="center"/>
    </xf>
    <xf numFmtId="165" fontId="0" fillId="0" borderId="16" xfId="0" applyNumberFormat="1" applyBorder="1" applyAlignment="1">
      <alignment horizontal="right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7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16" fillId="0" borderId="0" xfId="0" applyNumberFormat="1" applyFont="1" applyAlignment="1">
      <alignment horizontal="center" vertical="center"/>
    </xf>
    <xf numFmtId="0" fontId="0" fillId="0" borderId="14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5" xfId="0" applyBorder="1" applyAlignment="1">
      <alignment wrapText="1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7" xr:uid="{20470736-BAD7-457C-9304-CC8E86923491}"/>
    <cellStyle name="60% - Accent2" xfId="25" builtinId="36" customBuiltin="1"/>
    <cellStyle name="60% - Accent2 2" xfId="48" xr:uid="{B7C47791-4A2D-481A-91CE-AFD7954C635B}"/>
    <cellStyle name="60% - Accent3" xfId="29" builtinId="40" customBuiltin="1"/>
    <cellStyle name="60% - Accent3 2" xfId="49" xr:uid="{5AFA1118-6087-4387-80B8-F3DE5F35068E}"/>
    <cellStyle name="60% - Accent4" xfId="33" builtinId="44" customBuiltin="1"/>
    <cellStyle name="60% - Accent4 2" xfId="50" xr:uid="{5E7B3090-4EF6-4D9C-82D6-D8C114647CE9}"/>
    <cellStyle name="60% - Accent5" xfId="37" builtinId="48" customBuiltin="1"/>
    <cellStyle name="60% - Accent5 2" xfId="51" xr:uid="{E575EADD-FB29-4175-8AF3-CC70887759C6}"/>
    <cellStyle name="60% - Accent6" xfId="41" builtinId="52" customBuiltin="1"/>
    <cellStyle name="60% - Accent6 2" xfId="52" xr:uid="{6D32A5D8-FEC8-4CA6-882A-05D004E2631E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Pay" xfId="44" xr:uid="{55AB5A3B-AD50-0041-A497-5333EA1F60F8}"/>
    <cellStyle name="Heading 2" xfId="3" builtinId="17" customBuiltin="1"/>
    <cellStyle name="Heading 2: Pay" xfId="43" xr:uid="{33D08EC5-D55B-454F-8DBA-8CB02073C75A}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6" xr:uid="{533CA2D8-7F19-4589-845E-A3CBC409C762}"/>
    <cellStyle name="Normal" xfId="0" builtinId="0"/>
    <cellStyle name="Note" xfId="15" builtinId="10" customBuiltin="1"/>
    <cellStyle name="Output" xfId="10" builtinId="21" customBuiltin="1"/>
    <cellStyle name="Pay: Cell" xfId="45" xr:uid="{FEC9B6D0-6FE5-8B47-B482-8D3B96269969}"/>
    <cellStyle name="Title" xfId="1" builtinId="15" customBuiltin="1"/>
    <cellStyle name="Total" xfId="17" builtinId="25" customBuiltin="1"/>
    <cellStyle name="Total: Pay" xfId="42" xr:uid="{426C4598-731A-F246-A183-CE107214EB7C}"/>
    <cellStyle name="Warning Text" xfId="14" builtinId="11" customBuiltin="1"/>
  </cellStyles>
  <dxfs count="17"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71" formatCode="d/m/yy\ h:mm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1" outline="0">
        <left/>
        <right/>
        <top/>
        <bottom/>
        <diagonal style="thin">
          <color rgb="FFFF0000"/>
        </diagonal>
      </border>
    </dxf>
    <dxf>
      <font>
        <b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thin">
          <color theme="0" tint="-0.14996795556505021"/>
        </bottom>
      </border>
    </dxf>
    <dxf>
      <numFmt numFmtId="165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numFmt numFmtId="170" formatCode="[$-F800]dddd\,\ mmmm\ dd\,\ 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/>
      </font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9999"/>
      <color rgb="FFFF99FF"/>
      <color rgb="FFFF5050"/>
      <color rgb="FFFFCCCC"/>
      <color rgb="FFFF2D2D"/>
      <color rgb="FFA80000"/>
      <color rgb="FFC00000"/>
      <color rgb="FF385723"/>
      <color rgb="FFAE0000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:\Users\Rodean\Downloads\Mortgage-Repayment-Calculator-with-Offset-Account-and-Extra-Payments.xlsx" TargetMode="External"/><Relationship Id="rId1" Type="http://schemas.openxmlformats.org/officeDocument/2006/relationships/externalLinkPath" Target="/Users/Rodean/Downloads/Mortgage-Repayment-Calculator-with-Offset-Account-and-Extra-Pay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payment Checklist"/>
      <sheetName val="Home Page"/>
      <sheetName val="Payoff Calc. (Extra Payment)"/>
      <sheetName val="@"/>
      <sheetName val="Named Ranges"/>
    </sheetNames>
    <sheetDataSet>
      <sheetData sheetId="0" refreshError="1"/>
      <sheetData sheetId="1" refreshError="1"/>
      <sheetData sheetId="2">
        <row r="12">
          <cell r="E12" t="str">
            <v>Weekly</v>
          </cell>
        </row>
      </sheetData>
      <sheetData sheetId="3" refreshError="1"/>
      <sheetData sheetId="4">
        <row r="1">
          <cell r="A1" t="str">
            <v>Interest Compounded</v>
          </cell>
          <cell r="B1" t="str">
            <v>Calculated After
(Days or Months)</v>
          </cell>
          <cell r="C1" t="str">
            <v>No. of Payments/Year</v>
          </cell>
          <cell r="D1" t="str">
            <v>Name</v>
          </cell>
          <cell r="E1" t="str">
            <v>Number</v>
          </cell>
          <cell r="G1" t="str">
            <v>End of the Period</v>
          </cell>
        </row>
        <row r="2">
          <cell r="A2" t="str">
            <v>Weekly</v>
          </cell>
          <cell r="B2">
            <v>7</v>
          </cell>
          <cell r="C2">
            <v>52</v>
          </cell>
          <cell r="D2" t="str">
            <v>Weeks</v>
          </cell>
          <cell r="E2">
            <v>1</v>
          </cell>
          <cell r="G2" t="str">
            <v>Beginning of the Period</v>
          </cell>
        </row>
        <row r="3">
          <cell r="A3" t="str">
            <v>Bi-weekly</v>
          </cell>
          <cell r="B3">
            <v>14</v>
          </cell>
          <cell r="C3">
            <v>26</v>
          </cell>
          <cell r="D3" t="str">
            <v>Bi-weekly</v>
          </cell>
          <cell r="E3">
            <v>2</v>
          </cell>
        </row>
        <row r="4">
          <cell r="A4" t="str">
            <v>Semi-monthly</v>
          </cell>
          <cell r="B4">
            <v>15</v>
          </cell>
          <cell r="C4">
            <v>24</v>
          </cell>
          <cell r="D4" t="str">
            <v>Semi-monthly</v>
          </cell>
        </row>
        <row r="5">
          <cell r="A5" t="str">
            <v>Monthly</v>
          </cell>
          <cell r="B5">
            <v>1</v>
          </cell>
          <cell r="C5">
            <v>12</v>
          </cell>
          <cell r="D5" t="str">
            <v>Months</v>
          </cell>
          <cell r="E5">
            <v>1</v>
          </cell>
        </row>
        <row r="6">
          <cell r="A6" t="str">
            <v>Bi-monthly</v>
          </cell>
          <cell r="B6">
            <v>2</v>
          </cell>
          <cell r="C6">
            <v>6</v>
          </cell>
          <cell r="D6" t="str">
            <v>Bi-monthly</v>
          </cell>
          <cell r="E6">
            <v>2</v>
          </cell>
        </row>
        <row r="7">
          <cell r="A7" t="str">
            <v>Quarterly</v>
          </cell>
          <cell r="B7">
            <v>3</v>
          </cell>
          <cell r="C7">
            <v>4</v>
          </cell>
          <cell r="D7" t="str">
            <v>Quarters</v>
          </cell>
          <cell r="E7">
            <v>3</v>
          </cell>
        </row>
        <row r="8">
          <cell r="A8" t="str">
            <v>Semi-annually</v>
          </cell>
          <cell r="B8">
            <v>6</v>
          </cell>
          <cell r="C8">
            <v>2</v>
          </cell>
          <cell r="D8" t="str">
            <v>Semi-annually</v>
          </cell>
          <cell r="E8">
            <v>6</v>
          </cell>
        </row>
        <row r="9">
          <cell r="A9" t="str">
            <v>Yearly</v>
          </cell>
          <cell r="B9">
            <v>12</v>
          </cell>
          <cell r="C9">
            <v>1</v>
          </cell>
          <cell r="D9" t="str">
            <v>Years</v>
          </cell>
          <cell r="E9">
            <v>12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ean" refreshedDate="45886.717057754628" createdVersion="6" refreshedVersion="8" minRefreshableVersion="3" recordCount="6496" xr:uid="{29DDC36F-517B-4F4C-8969-FDB5205B0ED9}">
  <cacheSource type="worksheet">
    <worksheetSource name="RRDataset"/>
  </cacheSource>
  <cacheFields count="12">
    <cacheField name="Date" numFmtId="170">
      <sharedItems containsSemiMixedTypes="0" containsNonDate="0" containsDate="1" containsString="0" minDate="2010-04-29T00:00:00" maxDate="2025-02-22T00:00:00" count="1958">
        <d v="2025-02-21T00:00:00"/>
        <d v="2025-02-20T00:00:00"/>
        <d v="2025-02-18T00:00:00"/>
        <d v="2025-02-17T00:00:00"/>
        <d v="2025-02-14T00:00:00"/>
        <d v="2025-02-13T00:00:00"/>
        <d v="2025-02-12T00:00:00"/>
        <d v="2025-02-11T00:00:00"/>
        <d v="2025-02-06T00:00:00"/>
        <d v="2025-02-05T00:00:00"/>
        <d v="2025-02-04T00:00:00"/>
        <d v="2025-02-02T00:00:00"/>
        <d v="2025-02-01T00:00:00"/>
        <d v="2025-01-30T00:00:00"/>
        <d v="2025-01-29T00:00:00"/>
        <d v="2025-01-28T00:00:00"/>
        <d v="2025-01-26T00:00:00"/>
        <d v="2025-01-24T00:00:00"/>
        <d v="2025-01-23T00:00:00"/>
        <d v="2025-01-21T00:00:00"/>
        <d v="2025-01-20T00:00:00"/>
        <d v="2025-01-19T00:00:00"/>
        <d v="2025-01-18T00:00:00"/>
        <d v="2025-01-17T00:00:00"/>
        <d v="2025-01-16T00:00:00"/>
        <d v="2025-01-14T00:00:00"/>
        <d v="2025-01-11T00:00:00"/>
        <d v="2025-01-10T00:00:00"/>
        <d v="2025-01-09T00:00:00"/>
        <d v="2025-01-07T00:00:00"/>
        <d v="2025-01-04T00:00:00"/>
        <d v="2025-01-03T00:00:00"/>
        <d v="2025-01-02T00:00:00"/>
        <d v="2025-01-01T00:00:00"/>
        <d v="2024-12-31T00:00:00"/>
        <d v="2024-12-29T00:00:00"/>
        <d v="2024-12-28T00:00:00"/>
        <d v="2024-12-27T00:00:00"/>
        <d v="2024-12-26T00:00:00"/>
        <d v="2024-12-25T00:00:00"/>
        <d v="2024-12-24T00:00:00"/>
        <d v="2024-12-21T00:00:00"/>
        <d v="2024-12-20T00:00:00"/>
        <d v="2024-12-19T00:00:00"/>
        <d v="2024-12-17T00:00:00"/>
        <d v="2024-12-16T00:00:00"/>
        <d v="2024-12-15T00:00:00"/>
        <d v="2024-12-14T00:00:00"/>
        <d v="2024-12-13T00:00:00"/>
        <d v="2024-12-11T00:00:00"/>
        <d v="2024-12-10T00:00:00"/>
        <d v="2024-12-07T00:00:00"/>
        <d v="2024-12-05T00:00:00"/>
        <d v="2024-12-04T00:00:00"/>
        <d v="2024-12-03T00:00:00"/>
        <d v="2024-12-01T00:00:00"/>
        <d v="2024-11-30T00:00:00"/>
        <d v="2024-11-28T00:00:00"/>
        <d v="2024-11-27T00:00:00"/>
        <d v="2024-11-26T00:00:00"/>
        <d v="2024-11-25T00:00:00"/>
        <d v="2024-11-24T00:00:00"/>
        <d v="2024-11-23T00:00:00"/>
        <d v="2024-11-21T00:00:00"/>
        <d v="2024-11-19T00:00:00"/>
        <d v="2024-11-18T00:00:00"/>
        <d v="2024-11-17T00:00:00"/>
        <d v="2024-11-16T00:00:00"/>
        <d v="2024-11-15T00:00:00"/>
        <d v="2024-11-14T00:00:00"/>
        <d v="2024-11-13T00:00:00"/>
        <d v="2024-11-12T00:00:00"/>
        <d v="2024-11-11T00:00:00"/>
        <d v="2024-11-10T00:00:00"/>
        <d v="2024-11-09T00:00:00"/>
        <d v="2024-11-08T00:00:00"/>
        <d v="2024-11-07T00:00:00"/>
        <d v="2024-11-05T00:00:00"/>
        <d v="2024-11-02T00:00:00"/>
        <d v="2024-10-31T00:00:00"/>
        <d v="2024-10-30T00:00:00"/>
        <d v="2024-10-29T00:00:00"/>
        <d v="2024-10-28T00:00:00"/>
        <d v="2024-10-26T00:00:00"/>
        <d v="2024-10-25T00:00:00"/>
        <d v="2024-10-24T00:00:00"/>
        <d v="2024-10-23T00:00:00"/>
        <d v="2024-10-22T00:00:00"/>
        <d v="2024-10-20T00:00:00"/>
        <d v="2024-10-19T00:00:00"/>
        <d v="2024-10-15T00:00:00"/>
        <d v="2024-10-14T00:00:00"/>
        <d v="2024-10-11T00:00:00"/>
        <d v="2024-10-10T00:00:00"/>
        <d v="2024-10-09T00:00:00"/>
        <d v="2024-10-08T00:00:00"/>
        <d v="2024-10-07T00:00:00"/>
        <d v="2024-10-04T00:00:00"/>
        <d v="2024-10-03T00:00:00"/>
        <d v="2024-10-01T00:00:00"/>
        <d v="2024-09-30T00:00:00"/>
        <d v="2024-09-29T00:00:00"/>
        <d v="2024-09-28T00:00:00"/>
        <d v="2024-09-26T00:00:00"/>
        <d v="2024-09-25T00:00:00"/>
        <d v="2024-09-24T00:00:00"/>
        <d v="2024-09-21T00:00:00"/>
        <d v="2024-09-20T00:00:00"/>
        <d v="2024-09-18T00:00:00"/>
        <d v="2024-09-17T00:00:00"/>
        <d v="2024-09-16T00:00:00"/>
        <d v="2024-09-15T00:00:00"/>
        <d v="2024-09-14T00:00:00"/>
        <d v="2024-09-13T00:00:00"/>
        <d v="2024-09-12T00:00:00"/>
        <d v="2024-09-10T00:00:00"/>
        <d v="2024-09-08T00:00:00"/>
        <d v="2024-09-07T00:00:00"/>
        <d v="2024-09-05T00:00:00"/>
        <d v="2024-09-04T00:00:00"/>
        <d v="2024-09-03T00:00:00"/>
        <d v="2024-09-02T00:00:00"/>
        <d v="2024-09-01T00:00:00"/>
        <d v="2024-08-31T00:00:00"/>
        <d v="2024-08-30T00:00:00"/>
        <d v="2024-08-29T00:00:00"/>
        <d v="2024-08-28T00:00:00"/>
        <d v="2024-08-27T00:00:00"/>
        <d v="2024-08-25T00:00:00"/>
        <d v="2024-08-24T00:00:00"/>
        <d v="2024-08-23T00:00:00"/>
        <d v="2024-08-22T00:00:00"/>
        <d v="2024-08-21T00:00:00"/>
        <d v="2024-08-20T00:00:00"/>
        <d v="2024-08-17T00:00:00"/>
        <d v="2024-08-16T00:00:00"/>
        <d v="2024-08-15T00:00:00"/>
        <d v="2024-08-13T00:00:00"/>
        <d v="2024-08-10T00:00:00"/>
        <d v="2024-08-09T00:00:00"/>
        <d v="2024-08-08T00:00:00"/>
        <d v="2024-08-06T00:00:00"/>
        <d v="2024-08-03T00:00:00"/>
        <d v="2024-08-01T00:00:00"/>
        <d v="2024-07-31T00:00:00"/>
        <d v="2024-07-30T00:00:00"/>
        <d v="2024-07-28T00:00:00"/>
        <d v="2024-07-26T00:00:00"/>
        <d v="2024-07-25T00:00:00"/>
        <d v="2024-07-24T00:00:00"/>
        <d v="2024-07-23T00:00:00"/>
        <d v="2024-07-20T00:00:00"/>
        <d v="2024-07-19T00:00:00"/>
        <d v="2024-07-18T00:00:00"/>
        <d v="2024-07-17T00:00:00"/>
        <d v="2024-07-16T00:00:00"/>
        <d v="2024-07-15T00:00:00"/>
        <d v="2024-07-14T00:00:00"/>
        <d v="2024-07-13T00:00:00"/>
        <d v="2024-07-12T00:00:00"/>
        <d v="2024-07-10T00:00:00"/>
        <d v="2024-07-09T00:00:00"/>
        <d v="2024-07-07T00:00:00"/>
        <d v="2024-07-05T00:00:00"/>
        <d v="2024-07-04T00:00:00"/>
        <d v="2024-07-02T00:00:00"/>
        <d v="2024-07-01T00:00:00"/>
        <d v="2024-06-30T00:00:00"/>
        <d v="2024-06-29T00:00:00"/>
        <d v="2024-06-28T00:00:00"/>
        <d v="2024-06-26T00:00:00"/>
        <d v="2024-06-25T00:00:00"/>
        <d v="2024-06-21T00:00:00"/>
        <d v="2024-06-20T00:00:00"/>
        <d v="2024-06-18T00:00:00"/>
        <d v="2024-06-15T00:00:00"/>
        <d v="2024-06-14T00:00:00"/>
        <d v="2024-06-13T00:00:00"/>
        <d v="2024-06-11T00:00:00"/>
        <d v="2024-06-10T00:00:00"/>
        <d v="2024-06-07T00:00:00"/>
        <d v="2024-06-06T00:00:00"/>
        <d v="2024-06-05T00:00:00"/>
        <d v="2024-06-04T00:00:00"/>
        <d v="2024-06-03T00:00:00"/>
        <d v="2024-06-02T00:00:00"/>
        <d v="2024-06-01T00:00:00"/>
        <d v="2024-05-30T00:00:00"/>
        <d v="2024-05-29T00:00:00"/>
        <d v="2024-05-27T00:00:00"/>
        <d v="2024-05-26T00:00:00"/>
        <d v="2024-05-25T00:00:00"/>
        <d v="2024-05-24T00:00:00"/>
        <d v="2024-05-23T00:00:00"/>
        <d v="2024-05-22T00:00:00"/>
        <d v="2024-05-21T00:00:00"/>
        <d v="2024-05-18T00:00:00"/>
        <d v="2024-05-17T00:00:00"/>
        <d v="2024-05-16T00:00:00"/>
        <d v="2024-05-14T00:00:00"/>
        <d v="2024-05-12T00:00:00"/>
        <d v="2024-05-11T00:00:00"/>
        <d v="2024-05-10T00:00:00"/>
        <d v="2024-05-09T00:00:00"/>
        <d v="2024-05-08T00:00:00"/>
        <d v="2024-05-06T00:00:00"/>
        <d v="2024-05-05T00:00:00"/>
        <d v="2024-05-03T00:00:00"/>
        <d v="2024-05-01T00:00:00"/>
        <d v="2024-04-30T00:00:00"/>
        <d v="2024-04-27T00:00:00"/>
        <d v="2024-04-26T00:00:00"/>
        <d v="2024-04-25T00:00:00"/>
        <d v="2024-04-24T00:00:00"/>
        <d v="2024-04-23T00:00:00"/>
        <d v="2024-04-21T00:00:00"/>
        <d v="2024-04-20T00:00:00"/>
        <d v="2024-04-19T00:00:00"/>
        <d v="2024-04-18T00:00:00"/>
        <d v="2024-04-17T00:00:00"/>
        <d v="2024-04-16T00:00:00"/>
        <d v="2024-04-15T00:00:00"/>
        <d v="2024-04-14T00:00:00"/>
        <d v="2024-04-13T00:00:00"/>
        <d v="2024-04-12T00:00:00"/>
        <d v="2024-04-11T00:00:00"/>
        <d v="2024-04-10T00:00:00"/>
        <d v="2024-04-09T00:00:00"/>
        <d v="2024-04-07T00:00:00"/>
        <d v="2024-04-06T00:00:00"/>
        <d v="2024-04-05T00:00:00"/>
        <d v="2024-04-03T00:00:00"/>
        <d v="2024-04-02T00:00:00"/>
        <d v="2024-04-01T00:00:00"/>
        <d v="2024-03-30T00:00:00"/>
        <d v="2024-03-29T00:00:00"/>
        <d v="2024-03-28T00:00:00"/>
        <d v="2024-03-27T00:00:00"/>
        <d v="2024-03-26T00:00:00"/>
        <d v="2024-03-25T00:00:00"/>
        <d v="2024-03-24T00:00:00"/>
        <d v="2024-03-22T00:00:00"/>
        <d v="2024-03-21T00:00:00"/>
        <d v="2024-03-20T00:00:00"/>
        <d v="2024-03-19T00:00:00"/>
        <d v="2024-03-18T00:00:00"/>
        <d v="2024-03-16T00:00:00"/>
        <d v="2024-03-15T00:00:00"/>
        <d v="2024-03-14T00:00:00"/>
        <d v="2024-03-13T00:00:00"/>
        <d v="2024-03-12T00:00:00"/>
        <d v="2024-03-11T00:00:00"/>
        <d v="2024-03-10T00:00:00"/>
        <d v="2024-03-09T00:00:00"/>
        <d v="2024-03-08T00:00:00"/>
        <d v="2024-03-07T00:00:00"/>
        <d v="2024-03-06T00:00:00"/>
        <d v="2024-03-05T00:00:00"/>
        <d v="2024-03-04T00:00:00"/>
        <d v="2024-03-03T00:00:00"/>
        <d v="2024-03-01T00:00:00"/>
        <d v="2024-02-29T00:00:00"/>
        <d v="2024-02-28T00:00:00"/>
        <d v="2024-02-27T00:00:00"/>
        <d v="2024-02-26T00:00:00"/>
        <d v="2024-02-24T00:00:00"/>
        <d v="2024-02-23T00:00:00"/>
        <d v="2024-02-22T00:00:00"/>
        <d v="2024-02-21T00:00:00"/>
        <d v="2024-02-19T00:00:00"/>
        <d v="2024-02-18T00:00:00"/>
        <d v="2024-02-17T00:00:00"/>
        <d v="2024-02-16T00:00:00"/>
        <d v="2024-02-15T00:00:00"/>
        <d v="2024-02-14T00:00:00"/>
        <d v="2024-02-13T00:00:00"/>
        <d v="2024-02-12T00:00:00"/>
        <d v="2024-02-11T00:00:00"/>
        <d v="2024-02-10T00:00:00"/>
        <d v="2024-02-09T00:00:00"/>
        <d v="2024-02-08T00:00:00"/>
        <d v="2024-02-07T00:00:00"/>
        <d v="2024-02-06T00:00:00"/>
        <d v="2024-02-05T00:00:00"/>
        <d v="2024-02-02T00:00:00"/>
        <d v="2024-02-01T00:00:00"/>
        <d v="2024-01-31T00:00:00"/>
        <d v="2024-01-30T00:00:00"/>
        <d v="2024-01-29T00:00:00"/>
        <d v="2024-01-27T00:00:00"/>
        <d v="2024-01-26T00:00:00"/>
        <d v="2024-01-25T00:00:00"/>
        <d v="2024-01-24T00:00:00"/>
        <d v="2024-01-23T00:00:00"/>
        <d v="2024-01-22T00:00:00"/>
        <d v="2024-01-19T00:00:00"/>
        <d v="2024-01-18T00:00:00"/>
        <d v="2024-01-17T00:00:00"/>
        <d v="2024-01-16T00:00:00"/>
        <d v="2024-01-15T00:00:00"/>
        <d v="2024-01-13T00:00:00"/>
        <d v="2024-01-12T00:00:00"/>
        <d v="2024-01-11T00:00:00"/>
        <d v="2024-01-10T00:00:00"/>
        <d v="2024-01-09T00:00:00"/>
        <d v="2024-01-08T00:00:00"/>
        <d v="2024-01-07T00:00:00"/>
        <d v="2024-01-06T00:00:00"/>
        <d v="2024-01-05T00:00:00"/>
        <d v="2024-01-04T00:00:00"/>
        <d v="2024-01-03T00:00:00"/>
        <d v="2024-01-02T00:00:00"/>
        <d v="2024-01-01T00:00:00"/>
        <d v="2023-12-31T00:00:00"/>
        <d v="2023-12-30T00:00:00"/>
        <d v="2023-12-29T00:00:00"/>
        <d v="2023-12-28T00:00:00"/>
        <d v="2023-12-27T00:00:00"/>
        <d v="2023-12-26T00:00:00"/>
        <d v="2023-12-24T00:00:00"/>
        <d v="2023-12-23T00:00:00"/>
        <d v="2023-12-22T00:00:00"/>
        <d v="2023-12-21T00:00:00"/>
        <d v="2023-12-20T00:00:00"/>
        <d v="2023-12-19T00:00:00"/>
        <d v="2023-12-18T00:00:00"/>
        <d v="2023-12-16T00:00:00"/>
        <d v="2023-12-15T00:00:00"/>
        <d v="2023-12-14T00:00:00"/>
        <d v="2023-12-13T00:00:00"/>
        <d v="2023-12-12T00:00:00"/>
        <d v="2023-12-09T00:00:00"/>
        <d v="2023-12-08T00:00:00"/>
        <d v="2023-12-07T00:00:00"/>
        <d v="2023-12-06T00:00:00"/>
        <d v="2023-12-05T00:00:00"/>
        <d v="2023-12-04T00:00:00"/>
        <d v="2023-12-03T00:00:00"/>
        <d v="2023-12-02T00:00:00"/>
        <d v="2023-12-01T00:00:00"/>
        <d v="2023-11-30T00:00:00"/>
        <d v="2023-11-29T00:00:00"/>
        <d v="2023-11-28T00:00:00"/>
        <d v="2023-11-27T00:00:00"/>
        <d v="2023-11-26T00:00:00"/>
        <d v="2023-11-25T00:00:00"/>
        <d v="2023-11-24T00:00:00"/>
        <d v="2023-11-23T00:00:00"/>
        <d v="2023-11-22T00:00:00"/>
        <d v="2023-11-21T00:00:00"/>
        <d v="2023-11-20T00:00:00"/>
        <d v="2023-11-18T00:00:00"/>
        <d v="2023-11-17T00:00:00"/>
        <d v="2023-11-16T00:00:00"/>
        <d v="2023-11-15T00:00:00"/>
        <d v="2023-11-14T00:00:00"/>
        <d v="2023-11-13T00:00:00"/>
        <d v="2023-11-12T00:00:00"/>
        <d v="2023-11-11T00:00:00"/>
        <d v="2023-11-10T00:00:00"/>
        <d v="2023-11-09T00:00:00"/>
        <d v="2023-11-08T00:00:00"/>
        <d v="2023-11-07T00:00:00"/>
        <d v="2023-11-06T00:00:00"/>
        <d v="2023-11-04T00:00:00"/>
        <d v="2023-11-03T00:00:00"/>
        <d v="2023-11-02T00:00:00"/>
        <d v="2023-11-01T00:00:00"/>
        <d v="2023-10-31T00:00:00"/>
        <d v="2023-10-30T00:00:00"/>
        <d v="2023-10-28T00:00:00"/>
        <d v="2023-10-27T00:00:00"/>
        <d v="2023-10-26T00:00:00"/>
        <d v="2023-10-25T00:00:00"/>
        <d v="2023-10-24T00:00:00"/>
        <d v="2023-10-23T00:00:00"/>
        <d v="2023-10-22T00:00:00"/>
        <d v="2023-10-21T00:00:00"/>
        <d v="2023-10-20T00:00:00"/>
        <d v="2023-10-19T00:00:00"/>
        <d v="2023-10-18T00:00:00"/>
        <d v="2023-10-17T00:00:00"/>
        <d v="2023-10-16T00:00:00"/>
        <d v="2023-10-14T00:00:00"/>
        <d v="2023-10-13T00:00:00"/>
        <d v="2023-10-12T00:00:00"/>
        <d v="2023-10-11T00:00:00"/>
        <d v="2023-10-10T00:00:00"/>
        <d v="2023-10-08T00:00:00"/>
        <d v="2023-10-07T00:00:00"/>
        <d v="2023-10-05T00:00:00"/>
        <d v="2023-10-04T00:00:00"/>
        <d v="2023-10-03T00:00:00"/>
        <d v="2023-10-02T00:00:00"/>
        <d v="2023-10-01T00:00:00"/>
        <d v="2023-09-30T00:00:00"/>
        <d v="2023-09-28T00:00:00"/>
        <d v="2023-09-27T00:00:00"/>
        <d v="2023-09-26T00:00:00"/>
        <d v="2023-09-23T00:00:00"/>
        <d v="2023-09-22T00:00:00"/>
        <d v="2023-09-21T00:00:00"/>
        <d v="2023-09-20T00:00:00"/>
        <d v="2023-09-19T00:00:00"/>
        <d v="2023-09-18T00:00:00"/>
        <d v="2023-09-17T00:00:00"/>
        <d v="2023-09-16T00:00:00"/>
        <d v="2023-09-14T00:00:00"/>
        <d v="2023-09-13T00:00:00"/>
        <d v="2023-09-12T00:00:00"/>
        <d v="2023-09-11T00:00:00"/>
        <d v="2023-09-10T00:00:00"/>
        <d v="2023-09-09T00:00:00"/>
        <d v="2023-09-07T00:00:00"/>
        <d v="2023-09-06T00:00:00"/>
        <d v="2023-09-05T00:00:00"/>
        <d v="2023-09-04T00:00:00"/>
        <d v="2023-09-03T00:00:00"/>
        <d v="2023-09-02T00:00:00"/>
        <d v="2023-09-01T00:00:00"/>
        <d v="2023-08-31T00:00:00"/>
        <d v="2023-08-30T00:00:00"/>
        <d v="2023-08-29T00:00:00"/>
        <d v="2023-08-27T00:00:00"/>
        <d v="2023-08-26T00:00:00"/>
        <d v="2023-08-25T00:00:00"/>
        <d v="2023-08-24T00:00:00"/>
        <d v="2023-08-23T00:00:00"/>
        <d v="2023-08-22T00:00:00"/>
        <d v="2023-08-21T00:00:00"/>
        <d v="2023-08-19T00:00:00"/>
        <d v="2023-08-18T00:00:00"/>
        <d v="2023-08-17T00:00:00"/>
        <d v="2023-08-16T00:00:00"/>
        <d v="2023-08-15T00:00:00"/>
        <d v="2023-08-14T00:00:00"/>
        <d v="2023-08-12T00:00:00"/>
        <d v="2023-08-10T00:00:00"/>
        <d v="2023-08-09T00:00:00"/>
        <d v="2023-08-08T00:00:00"/>
        <d v="2023-08-07T00:00:00"/>
        <d v="2023-08-04T00:00:00"/>
        <d v="2023-08-03T00:00:00"/>
        <d v="2023-08-02T00:00:00"/>
        <d v="2023-08-01T00:00:00"/>
        <d v="2023-07-30T00:00:00"/>
        <d v="2023-07-29T00:00:00"/>
        <d v="2023-07-27T00:00:00"/>
        <d v="2023-07-26T00:00:00"/>
        <d v="2023-07-22T00:00:00"/>
        <d v="2023-07-21T00:00:00"/>
        <d v="2023-07-20T00:00:00"/>
        <d v="2023-07-19T00:00:00"/>
        <d v="2023-07-18T00:00:00"/>
        <d v="2023-07-17T00:00:00"/>
        <d v="2023-07-15T00:00:00"/>
        <d v="2023-07-12T00:00:00"/>
        <d v="2023-07-11T00:00:00"/>
        <d v="2023-07-10T00:00:00"/>
        <d v="2023-07-08T00:00:00"/>
        <d v="2023-07-06T00:00:00"/>
        <d v="2023-07-04T00:00:00"/>
        <d v="2023-07-03T00:00:00"/>
        <d v="2023-07-01T00:00:00"/>
        <d v="2023-06-29T00:00:00"/>
        <d v="2023-06-28T00:00:00"/>
        <d v="2023-06-27T00:00:00"/>
        <d v="2023-06-25T00:00:00"/>
        <d v="2023-06-24T00:00:00"/>
        <d v="2023-06-23T00:00:00"/>
        <d v="2023-06-22T00:00:00"/>
        <d v="2023-06-21T00:00:00"/>
        <d v="2023-06-20T00:00:00"/>
        <d v="2023-06-17T00:00:00"/>
        <d v="2023-06-15T00:00:00"/>
        <d v="2023-06-14T00:00:00"/>
        <d v="2023-06-13T00:00:00"/>
        <d v="2023-06-12T00:00:00"/>
        <d v="2023-06-11T00:00:00"/>
        <d v="2023-06-10T00:00:00"/>
        <d v="2023-06-09T00:00:00"/>
        <d v="2023-06-08T00:00:00"/>
        <d v="2023-06-07T00:00:00"/>
        <d v="2023-06-06T00:00:00"/>
        <d v="2023-06-03T00:00:00"/>
        <d v="2023-06-02T00:00:00"/>
        <d v="2023-06-01T00:00:00"/>
        <d v="2023-05-31T00:00:00"/>
        <d v="2023-05-30T00:00:00"/>
        <d v="2023-05-28T00:00:00"/>
        <d v="2023-05-27T00:00:00"/>
        <d v="2023-05-25T00:00:00"/>
        <d v="2023-05-24T00:00:00"/>
        <d v="2023-05-23T00:00:00"/>
        <d v="2023-05-20T00:00:00"/>
        <d v="2023-05-18T00:00:00"/>
        <d v="2023-05-17T00:00:00"/>
        <d v="2023-05-16T00:00:00"/>
        <d v="2023-05-15T00:00:00"/>
        <d v="2023-05-13T00:00:00"/>
        <d v="2023-05-12T00:00:00"/>
        <d v="2023-05-11T00:00:00"/>
        <d v="2023-05-10T00:00:00"/>
        <d v="2023-05-09T00:00:00"/>
        <d v="2023-05-07T00:00:00"/>
        <d v="2023-05-06T00:00:00"/>
        <d v="2023-05-05T00:00:00"/>
        <d v="2023-05-04T00:00:00"/>
        <d v="2023-05-03T00:00:00"/>
        <d v="2023-05-02T00:00:00"/>
        <d v="2023-05-01T00:00:00"/>
        <d v="2023-04-29T00:00:00"/>
        <d v="2023-04-28T00:00:00"/>
        <d v="2023-04-27T00:00:00"/>
        <d v="2023-04-26T00:00:00"/>
        <d v="2023-04-25T00:00:00"/>
        <d v="2023-04-24T00:00:00"/>
        <d v="2023-04-21T00:00:00"/>
        <d v="2023-04-20T00:00:00"/>
        <d v="2023-04-19T00:00:00"/>
        <d v="2023-04-18T00:00:00"/>
        <d v="2023-04-17T00:00:00"/>
        <d v="2023-04-16T00:00:00"/>
        <d v="2023-04-15T00:00:00"/>
        <d v="2023-04-13T00:00:00"/>
        <d v="2023-04-12T00:00:00"/>
        <d v="2023-04-11T00:00:00"/>
        <d v="2023-04-08T00:00:00"/>
        <d v="2023-04-07T00:00:00"/>
        <d v="2023-04-05T00:00:00"/>
        <d v="2023-04-04T00:00:00"/>
        <d v="2023-04-03T00:00:00"/>
        <d v="2023-04-02T00:00:00"/>
        <d v="2023-04-01T00:00:00"/>
        <d v="2023-03-31T00:00:00"/>
        <d v="2023-03-30T00:00:00"/>
        <d v="2023-03-28T00:00:00"/>
        <d v="2023-03-27T00:00:00"/>
        <d v="2023-03-26T00:00:00"/>
        <d v="2023-03-25T00:00:00"/>
        <d v="2023-03-24T00:00:00"/>
        <d v="2023-03-23T00:00:00"/>
        <d v="2023-03-22T00:00:00"/>
        <d v="2023-03-21T00:00:00"/>
        <d v="2023-03-20T00:00:00"/>
        <d v="2023-03-19T00:00:00"/>
        <d v="2023-03-18T00:00:00"/>
        <d v="2023-03-16T00:00:00"/>
        <d v="2023-03-15T00:00:00"/>
        <d v="2023-03-14T00:00:00"/>
        <d v="2023-03-13T00:00:00"/>
        <d v="2023-03-12T00:00:00"/>
        <d v="2023-03-11T00:00:00"/>
        <d v="2023-03-10T00:00:00"/>
        <d v="2023-03-09T00:00:00"/>
        <d v="2023-03-06T00:00:00"/>
        <d v="2023-03-05T00:00:00"/>
        <d v="2023-03-04T00:00:00"/>
        <d v="2023-03-03T00:00:00"/>
        <d v="2023-03-02T00:00:00"/>
        <d v="2023-03-01T00:00:00"/>
        <d v="2023-02-28T00:00:00"/>
        <d v="2023-02-27T00:00:00"/>
        <d v="2023-02-26T00:00:00"/>
        <d v="2023-02-25T00:00:00"/>
        <d v="2023-02-24T00:00:00"/>
        <d v="2023-02-23T00:00:00"/>
        <d v="2023-02-22T00:00:00"/>
        <d v="2023-02-21T00:00:00"/>
        <d v="2023-02-20T00:00:00"/>
        <d v="2023-02-19T00:00:00"/>
        <d v="2023-02-18T00:00:00"/>
        <d v="2023-02-17T00:00:00"/>
        <d v="2023-02-16T00:00:00"/>
        <d v="2023-02-15T00:00:00"/>
        <d v="2023-02-14T00:00:00"/>
        <d v="2023-02-12T00:00:00"/>
        <d v="2023-02-11T00:00:00"/>
        <d v="2023-02-10T00:00:00"/>
        <d v="2023-02-09T00:00:00"/>
        <d v="2023-02-08T00:00:00"/>
        <d v="2023-02-07T00:00:00"/>
        <d v="2023-02-06T00:00:00"/>
        <d v="2023-02-04T00:00:00"/>
        <d v="2023-02-03T00:00:00"/>
        <d v="2023-02-02T00:00:00"/>
        <d v="2023-02-01T00:00:00"/>
        <d v="2023-01-31T00:00:00"/>
        <d v="2023-01-30T00:00:00"/>
        <d v="2023-01-29T00:00:00"/>
        <d v="2023-01-28T00:00:00"/>
        <d v="2023-01-26T00:00:00"/>
        <d v="2023-01-25T00:00:00"/>
        <d v="2023-01-24T00:00:00"/>
        <d v="2023-01-21T00:00:00"/>
        <d v="2023-01-20T00:00:00"/>
        <d v="2023-01-19T00:00:00"/>
        <d v="2023-01-18T00:00:00"/>
        <d v="2023-01-17T00:00:00"/>
        <d v="2023-01-16T00:00:00"/>
        <d v="2023-01-14T00:00:00"/>
        <d v="2023-01-13T00:00:00"/>
        <d v="2023-01-12T00:00:00"/>
        <d v="2023-01-10T00:00:00"/>
        <d v="2023-01-07T00:00:00"/>
        <d v="2023-01-06T00:00:00"/>
        <d v="2023-01-05T00:00:00"/>
        <d v="2023-01-04T00:00:00"/>
        <d v="2023-01-03T00:00:00"/>
        <d v="2023-01-01T00:00:00"/>
        <d v="2022-12-31T00:00:00"/>
        <d v="2022-12-30T00:00:00"/>
        <d v="2022-12-29T00:00:00"/>
        <d v="2022-12-28T00:00:00"/>
        <d v="2022-12-24T00:00:00"/>
        <d v="2022-12-23T00:00:00"/>
        <d v="2022-12-22T00:00:00"/>
        <d v="2022-12-21T00:00:00"/>
        <d v="2022-12-20T00:00:00"/>
        <d v="2022-12-18T00:00:00"/>
        <d v="2022-12-17T00:00:00"/>
        <d v="2022-12-16T00:00:00"/>
        <d v="2022-12-15T00:00:00"/>
        <d v="2022-12-14T00:00:00"/>
        <d v="2022-12-13T00:00:00"/>
        <d v="2022-12-10T00:00:00"/>
        <d v="2022-12-09T00:00:00"/>
        <d v="2022-12-08T00:00:00"/>
        <d v="2022-12-07T00:00:00"/>
        <d v="2022-12-06T00:00:00"/>
        <d v="2022-12-05T00:00:00"/>
        <d v="2022-12-03T00:00:00"/>
        <d v="2022-12-02T00:00:00"/>
        <d v="2022-12-01T00:00:00"/>
        <d v="2022-11-30T00:00:00"/>
        <d v="2022-11-29T00:00:00"/>
        <d v="2022-11-28T00:00:00"/>
        <d v="2022-11-25T00:00:00"/>
        <d v="2022-11-24T00:00:00"/>
        <d v="2022-11-23T00:00:00"/>
        <d v="2022-11-22T00:00:00"/>
        <d v="2022-11-19T00:00:00"/>
        <d v="2022-11-18T00:00:00"/>
        <d v="2022-11-17T00:00:00"/>
        <d v="2022-11-16T00:00:00"/>
        <d v="2022-11-15T00:00:00"/>
        <d v="2022-11-14T00:00:00"/>
        <d v="2022-11-12T00:00:00"/>
        <d v="2022-11-11T00:00:00"/>
        <d v="2022-11-10T00:00:00"/>
        <d v="2022-11-09T00:00:00"/>
        <d v="2022-11-08T00:00:00"/>
        <d v="2022-11-07T00:00:00"/>
        <d v="2022-11-05T00:00:00"/>
        <d v="2022-11-04T00:00:00"/>
        <d v="2022-11-03T00:00:00"/>
        <d v="2022-11-02T00:00:00"/>
        <d v="2022-11-01T00:00:00"/>
        <d v="2022-10-29T00:00:00"/>
        <d v="2022-10-27T00:00:00"/>
        <d v="2022-10-26T00:00:00"/>
        <d v="2022-10-25T00:00:00"/>
        <d v="2022-10-23T00:00:00"/>
        <d v="2022-10-22T00:00:00"/>
        <d v="2022-10-21T00:00:00"/>
        <d v="2022-10-20T00:00:00"/>
        <d v="2022-10-19T00:00:00"/>
        <d v="2022-10-18T00:00:00"/>
        <d v="2022-10-16T00:00:00"/>
        <d v="2022-10-15T00:00:00"/>
        <d v="2022-10-14T00:00:00"/>
        <d v="2022-10-13T00:00:00"/>
        <d v="2022-10-12T00:00:00"/>
        <d v="2022-10-11T00:00:00"/>
        <d v="2022-10-10T00:00:00"/>
        <d v="2022-10-08T00:00:00"/>
        <d v="2022-10-07T00:00:00"/>
        <d v="2022-10-06T00:00:00"/>
        <d v="2022-10-05T00:00:00"/>
        <d v="2022-10-04T00:00:00"/>
        <d v="2022-09-30T00:00:00"/>
        <d v="2022-09-29T00:00:00"/>
        <d v="2022-09-28T00:00:00"/>
        <d v="2022-09-27T00:00:00"/>
        <d v="2022-09-24T00:00:00"/>
        <d v="2022-09-23T00:00:00"/>
        <d v="2022-09-21T00:00:00"/>
        <d v="2022-09-20T00:00:00"/>
        <d v="2022-09-18T00:00:00"/>
        <d v="2022-09-17T00:00:00"/>
        <d v="2022-09-16T00:00:00"/>
        <d v="2022-09-15T00:00:00"/>
        <d v="2022-09-14T00:00:00"/>
        <d v="2022-09-13T00:00:00"/>
        <d v="2022-09-10T00:00:00"/>
        <d v="2022-09-08T00:00:00"/>
        <d v="2022-09-07T00:00:00"/>
        <d v="2022-09-06T00:00:00"/>
        <d v="2022-09-05T00:00:00"/>
        <d v="2022-09-02T00:00:00"/>
        <d v="2022-09-01T00:00:00"/>
        <d v="2022-08-31T00:00:00"/>
        <d v="2022-08-30T00:00:00"/>
        <d v="2022-08-29T00:00:00"/>
        <d v="2022-08-28T00:00:00"/>
        <d v="2022-08-26T00:00:00"/>
        <d v="2022-08-25T00:00:00"/>
        <d v="2022-08-24T00:00:00"/>
        <d v="2022-08-23T00:00:00"/>
        <d v="2022-08-21T00:00:00"/>
        <d v="2022-08-20T00:00:00"/>
        <d v="2022-08-19T00:00:00"/>
        <d v="2022-08-18T00:00:00"/>
        <d v="2022-08-17T00:00:00"/>
        <d v="2022-08-16T00:00:00"/>
        <d v="2022-08-15T00:00:00"/>
        <d v="2022-08-14T00:00:00"/>
        <d v="2022-08-13T00:00:00"/>
        <d v="2022-08-12T00:00:00"/>
        <d v="2022-08-11T00:00:00"/>
        <d v="2022-08-10T00:00:00"/>
        <d v="2022-08-09T00:00:00"/>
        <d v="2022-08-08T00:00:00"/>
        <d v="2022-08-07T00:00:00"/>
        <d v="2022-08-06T00:00:00"/>
        <d v="2022-08-05T00:00:00"/>
        <d v="2022-08-04T00:00:00"/>
        <d v="2022-08-03T00:00:00"/>
        <d v="2022-08-02T00:00:00"/>
        <d v="2022-08-01T00:00:00"/>
        <d v="2022-07-31T00:00:00"/>
        <d v="2022-07-30T00:00:00"/>
        <d v="2022-07-29T00:00:00"/>
        <d v="2022-07-28T00:00:00"/>
        <d v="2022-07-27T00:00:00"/>
        <d v="2022-07-26T00:00:00"/>
        <d v="2022-07-25T00:00:00"/>
        <d v="2022-07-21T00:00:00"/>
        <d v="2022-07-20T00:00:00"/>
        <d v="2022-07-19T00:00:00"/>
        <d v="2022-07-18T00:00:00"/>
        <d v="2022-07-17T00:00:00"/>
        <d v="2022-07-16T00:00:00"/>
        <d v="2022-07-13T00:00:00"/>
        <d v="2022-07-12T00:00:00"/>
        <d v="2022-07-09T00:00:00"/>
        <d v="2022-07-08T00:00:00"/>
        <d v="2022-07-07T00:00:00"/>
        <d v="2022-07-05T00:00:00"/>
        <d v="2022-07-03T00:00:00"/>
        <d v="2022-07-02T00:00:00"/>
        <d v="2022-07-01T00:00:00"/>
        <d v="2022-06-28T00:00:00"/>
        <d v="2022-06-27T00:00:00"/>
        <d v="2022-06-25T00:00:00"/>
        <d v="2022-06-24T00:00:00"/>
        <d v="2022-06-23T00:00:00"/>
        <d v="2022-06-22T00:00:00"/>
        <d v="2022-06-21T00:00:00"/>
        <d v="2022-06-20T00:00:00"/>
        <d v="2022-06-18T00:00:00"/>
        <d v="2022-06-17T00:00:00"/>
        <d v="2022-06-16T00:00:00"/>
        <d v="2022-06-15T00:00:00"/>
        <d v="2022-06-14T00:00:00"/>
        <d v="2022-06-13T00:00:00"/>
        <d v="2022-06-12T00:00:00"/>
        <d v="2022-06-11T00:00:00"/>
        <d v="2022-06-10T00:00:00"/>
        <d v="2022-06-09T00:00:00"/>
        <d v="2022-06-08T00:00:00"/>
        <d v="2022-06-07T00:00:00"/>
        <d v="2022-06-06T00:00:00"/>
        <d v="2022-06-05T00:00:00"/>
        <d v="2022-06-04T00:00:00"/>
        <d v="2022-06-03T00:00:00"/>
        <d v="2022-06-02T00:00:00"/>
        <d v="2022-06-01T00:00:00"/>
        <d v="2022-05-31T00:00:00"/>
        <d v="2022-05-30T00:00:00"/>
        <d v="2022-05-28T00:00:00"/>
        <d v="2022-05-27T00:00:00"/>
        <d v="2022-05-26T00:00:00"/>
        <d v="2022-05-25T00:00:00"/>
        <d v="2022-05-24T00:00:00"/>
        <d v="2022-05-23T00:00:00"/>
        <d v="2022-05-21T00:00:00"/>
        <d v="2022-05-20T00:00:00"/>
        <d v="2022-05-19T00:00:00"/>
        <d v="2022-05-18T00:00:00"/>
        <d v="2022-05-17T00:00:00"/>
        <d v="2022-05-16T00:00:00"/>
        <d v="2022-05-15T00:00:00"/>
        <d v="2022-05-14T00:00:00"/>
        <d v="2022-05-13T00:00:00"/>
        <d v="2022-05-12T00:00:00"/>
        <d v="2022-05-11T00:00:00"/>
        <d v="2022-05-10T00:00:00"/>
        <d v="2022-05-09T00:00:00"/>
        <d v="2022-05-08T00:00:00"/>
        <d v="2022-05-07T00:00:00"/>
        <d v="2022-05-06T00:00:00"/>
        <d v="2022-05-05T00:00:00"/>
        <d v="2022-05-04T00:00:00"/>
        <d v="2022-05-03T00:00:00"/>
        <d v="2022-05-02T00:00:00"/>
        <d v="2022-04-29T00:00:00"/>
        <d v="2022-04-28T00:00:00"/>
        <d v="2022-04-27T00:00:00"/>
        <d v="2022-04-25T00:00:00"/>
        <d v="2022-04-23T00:00:00"/>
        <d v="2022-04-22T00:00:00"/>
        <d v="2022-04-21T00:00:00"/>
        <d v="2022-04-20T00:00:00"/>
        <d v="2022-04-19T00:00:00"/>
        <d v="2022-04-18T00:00:00"/>
        <d v="2022-04-17T00:00:00"/>
        <d v="2022-04-16T00:00:00"/>
        <d v="2022-04-15T00:00:00"/>
        <d v="2022-04-14T00:00:00"/>
        <d v="2022-04-13T00:00:00"/>
        <d v="2022-04-12T00:00:00"/>
        <d v="2022-04-11T00:00:00"/>
        <d v="2022-04-09T00:00:00"/>
        <d v="2022-04-08T00:00:00"/>
        <d v="2022-04-06T00:00:00"/>
        <d v="2022-04-05T00:00:00"/>
        <d v="2022-04-04T00:00:00"/>
        <d v="2022-04-03T00:00:00"/>
        <d v="2022-04-02T00:00:00"/>
        <d v="2022-04-01T00:00:00"/>
        <d v="2022-03-31T00:00:00"/>
        <d v="2022-03-30T00:00:00"/>
        <d v="2022-03-29T00:00:00"/>
        <d v="2022-03-28T00:00:00"/>
        <d v="2022-03-27T00:00:00"/>
        <d v="2022-03-26T00:00:00"/>
        <d v="2022-03-25T00:00:00"/>
        <d v="2022-03-24T00:00:00"/>
        <d v="2022-03-23T00:00:00"/>
        <d v="2022-03-22T00:00:00"/>
        <d v="2022-03-21T00:00:00"/>
        <d v="2022-03-19T00:00:00"/>
        <d v="2022-03-18T00:00:00"/>
        <d v="2022-03-17T00:00:00"/>
        <d v="2022-03-16T00:00:00"/>
        <d v="2022-03-15T00:00:00"/>
        <d v="2022-03-14T00:00:00"/>
        <d v="2022-03-13T00:00:00"/>
        <d v="2022-03-12T00:00:00"/>
        <d v="2022-03-11T00:00:00"/>
        <d v="2022-03-09T00:00:00"/>
        <d v="2022-03-08T00:00:00"/>
        <d v="2022-03-04T00:00:00"/>
        <d v="2022-03-03T00:00:00"/>
        <d v="2022-03-02T00:00:00"/>
        <d v="2022-03-01T00:00:00"/>
        <d v="2022-02-26T00:00:00"/>
        <d v="2022-02-25T00:00:00"/>
        <d v="2022-02-24T00:00:00"/>
        <d v="2022-02-23T00:00:00"/>
        <d v="2022-02-22T00:00:00"/>
        <d v="2022-02-19T00:00:00"/>
        <d v="2022-02-18T00:00:00"/>
        <d v="2022-02-17T00:00:00"/>
        <d v="2022-02-16T00:00:00"/>
        <d v="2022-02-15T00:00:00"/>
        <d v="2022-02-14T00:00:00"/>
        <d v="2022-02-12T00:00:00"/>
        <d v="2022-02-11T00:00:00"/>
        <d v="2022-02-08T00:00:00"/>
        <d v="2022-02-06T00:00:00"/>
        <d v="2022-02-05T00:00:00"/>
        <d v="2022-02-04T00:00:00"/>
        <d v="2022-02-03T00:00:00"/>
        <d v="2022-02-01T00:00:00"/>
        <d v="2022-01-28T00:00:00"/>
        <d v="2022-01-25T00:00:00"/>
        <d v="2022-01-23T00:00:00"/>
        <d v="2022-01-22T00:00:00"/>
        <d v="2022-01-21T00:00:00"/>
        <d v="2022-01-20T00:00:00"/>
        <d v="2022-01-19T00:00:00"/>
        <d v="2022-01-18T00:00:00"/>
        <d v="2022-01-15T00:00:00"/>
        <d v="2022-01-14T00:00:00"/>
        <d v="2022-01-12T00:00:00"/>
        <d v="2022-01-10T00:00:00"/>
        <d v="2022-01-09T00:00:00"/>
        <d v="2022-01-07T00:00:00"/>
        <d v="2022-01-06T00:00:00"/>
        <d v="2022-01-05T00:00:00"/>
        <d v="2022-01-04T00:00:00"/>
        <d v="2022-01-01T00:00:00"/>
        <d v="2021-12-31T00:00:00"/>
        <d v="2021-12-30T00:00:00"/>
        <d v="2021-12-27T00:00:00"/>
        <d v="2021-12-26T00:00:00"/>
        <d v="2021-12-25T00:00:00"/>
        <d v="2021-12-24T00:00:00"/>
        <d v="2021-12-23T00:00:00"/>
        <d v="2021-12-22T00:00:00"/>
        <d v="2021-12-21T00:00:00"/>
        <d v="2021-12-20T00:00:00"/>
        <d v="2021-12-19T00:00:00"/>
        <d v="2021-12-18T00:00:00"/>
        <d v="2021-12-17T00:00:00"/>
        <d v="2021-12-16T00:00:00"/>
        <d v="2021-12-15T00:00:00"/>
        <d v="2021-12-14T00:00:00"/>
        <d v="2021-12-10T00:00:00"/>
        <d v="2021-12-09T00:00:00"/>
        <d v="2021-12-08T00:00:00"/>
        <d v="2021-12-07T00:00:00"/>
        <d v="2021-12-04T00:00:00"/>
        <d v="2021-12-03T00:00:00"/>
        <d v="2021-12-02T00:00:00"/>
        <d v="2021-12-01T00:00:00"/>
        <d v="2021-11-30T00:00:00"/>
        <d v="2021-11-27T00:00:00"/>
        <d v="2021-11-25T00:00:00"/>
        <d v="2021-11-24T00:00:00"/>
        <d v="2021-11-23T00:00:00"/>
        <d v="2021-11-22T00:00:00"/>
        <d v="2021-11-21T00:00:00"/>
        <d v="2021-11-20T00:00:00"/>
        <d v="2021-11-18T00:00:00"/>
        <d v="2021-11-17T00:00:00"/>
        <d v="2021-11-16T00:00:00"/>
        <d v="2021-11-11T00:00:00"/>
        <d v="2021-11-10T00:00:00"/>
        <d v="2021-11-09T00:00:00"/>
        <d v="2021-11-06T00:00:00"/>
        <d v="2021-11-03T00:00:00"/>
        <d v="2021-11-02T00:00:00"/>
        <d v="2021-11-01T00:00:00"/>
        <d v="2021-10-31T00:00:00"/>
        <d v="2021-10-30T00:00:00"/>
        <d v="2021-10-28T00:00:00"/>
        <d v="2021-10-27T00:00:00"/>
        <d v="2021-10-26T00:00:00"/>
        <d v="2021-10-25T00:00:00"/>
        <d v="2021-10-23T00:00:00"/>
        <d v="2021-10-22T00:00:00"/>
        <d v="2021-10-21T00:00:00"/>
        <d v="2021-10-20T00:00:00"/>
        <d v="2021-10-19T00:00:00"/>
        <d v="2021-10-17T00:00:00"/>
        <d v="2021-10-16T00:00:00"/>
        <d v="2021-10-15T00:00:00"/>
        <d v="2021-10-14T00:00:00"/>
        <d v="2021-10-13T00:00:00"/>
        <d v="2021-10-12T00:00:00"/>
        <d v="2021-10-11T00:00:00"/>
        <d v="2021-10-08T00:00:00"/>
        <d v="2021-10-06T00:00:00"/>
        <d v="2021-10-05T00:00:00"/>
        <d v="2021-10-04T00:00:00"/>
        <d v="2021-10-03T00:00:00"/>
        <d v="2021-10-01T00:00:00"/>
        <d v="2021-09-30T00:00:00"/>
        <d v="2021-09-29T00:00:00"/>
        <d v="2021-09-28T00:00:00"/>
        <d v="2021-09-22T00:00:00"/>
        <d v="2021-09-21T00:00:00"/>
        <d v="2021-09-19T00:00:00"/>
        <d v="2021-09-18T00:00:00"/>
        <d v="2021-09-16T00:00:00"/>
        <d v="2021-09-15T00:00:00"/>
        <d v="2021-09-14T00:00:00"/>
        <d v="2021-09-13T00:00:00"/>
        <d v="2021-09-09T00:00:00"/>
        <d v="2021-09-07T00:00:00"/>
        <d v="2021-09-05T00:00:00"/>
        <d v="2021-09-04T00:00:00"/>
        <d v="2021-09-02T00:00:00"/>
        <d v="2021-09-01T00:00:00"/>
        <d v="2021-08-31T00:00:00"/>
        <d v="2021-08-26T00:00:00"/>
        <d v="2021-08-25T00:00:00"/>
        <d v="2021-08-24T00:00:00"/>
        <d v="2021-08-23T00:00:00"/>
        <d v="2021-08-21T00:00:00"/>
        <d v="2021-08-19T00:00:00"/>
        <d v="2021-08-18T00:00:00"/>
        <d v="2021-08-16T00:00:00"/>
        <d v="2021-08-14T00:00:00"/>
        <d v="2021-08-12T00:00:00"/>
        <d v="2021-08-11T00:00:00"/>
        <d v="2021-08-10T00:00:00"/>
        <d v="2021-08-09T00:00:00"/>
        <d v="2021-08-05T00:00:00"/>
        <d v="2021-08-04T00:00:00"/>
        <d v="2021-08-03T00:00:00"/>
        <d v="2021-08-02T00:00:00"/>
        <d v="2021-07-30T00:00:00"/>
        <d v="2021-07-28T00:00:00"/>
        <d v="2021-07-27T00:00:00"/>
        <d v="2021-07-24T00:00:00"/>
        <d v="2021-07-22T00:00:00"/>
        <d v="2021-07-20T00:00:00"/>
        <d v="2021-07-19T00:00:00"/>
        <d v="2021-07-18T00:00:00"/>
        <d v="2021-07-17T00:00:00"/>
        <d v="2021-07-16T00:00:00"/>
        <d v="2021-07-15T00:00:00"/>
        <d v="2021-07-14T00:00:00"/>
        <d v="2021-07-13T00:00:00"/>
        <d v="2021-07-12T00:00:00"/>
        <d v="2021-07-11T00:00:00"/>
        <d v="2021-07-09T00:00:00"/>
        <d v="2021-07-08T00:00:00"/>
        <d v="2021-07-07T00:00:00"/>
        <d v="2021-07-06T00:00:00"/>
        <d v="2021-07-05T00:00:00"/>
        <d v="2021-07-04T00:00:00"/>
        <d v="2021-07-02T00:00:00"/>
        <d v="2021-07-01T00:00:00"/>
        <d v="2021-06-30T00:00:00"/>
        <d v="2021-06-27T00:00:00"/>
        <d v="2021-06-26T00:00:00"/>
        <d v="2021-06-25T00:00:00"/>
        <d v="2021-06-24T00:00:00"/>
        <d v="2021-06-23T00:00:00"/>
        <d v="2021-06-22T00:00:00"/>
        <d v="2021-06-21T00:00:00"/>
        <d v="2021-06-19T00:00:00"/>
        <d v="2021-06-18T00:00:00"/>
        <d v="2021-06-17T00:00:00"/>
        <d v="2021-06-16T00:00:00"/>
        <d v="2021-06-15T00:00:00"/>
        <d v="2021-06-12T00:00:00"/>
        <d v="2021-06-11T00:00:00"/>
        <d v="2021-06-10T00:00:00"/>
        <d v="2021-06-09T00:00:00"/>
        <d v="2021-06-08T00:00:00"/>
        <d v="2021-06-06T00:00:00"/>
        <d v="2021-06-05T00:00:00"/>
        <d v="2021-06-04T00:00:00"/>
        <d v="2021-06-03T00:00:00"/>
        <d v="2021-06-02T00:00:00"/>
        <d v="2021-06-01T00:00:00"/>
        <d v="2021-05-29T00:00:00"/>
        <d v="2021-05-28T00:00:00"/>
        <d v="2021-05-27T00:00:00"/>
        <d v="2021-05-26T00:00:00"/>
        <d v="2021-05-24T00:00:00"/>
        <d v="2021-05-23T00:00:00"/>
        <d v="2021-05-22T00:00:00"/>
        <d v="2021-05-21T00:00:00"/>
        <d v="2021-05-19T00:00:00"/>
        <d v="2021-05-18T00:00:00"/>
        <d v="2021-05-16T00:00:00"/>
        <d v="2021-05-15T00:00:00"/>
        <d v="2021-05-14T00:00:00"/>
        <d v="2021-05-13T00:00:00"/>
        <d v="2021-05-12T00:00:00"/>
        <d v="2021-05-11T00:00:00"/>
        <d v="2021-05-10T00:00:00"/>
        <d v="2021-05-09T00:00:00"/>
        <d v="2021-05-08T00:00:00"/>
        <d v="2021-05-07T00:00:00"/>
        <d v="2021-05-06T00:00:00"/>
        <d v="2021-05-05T00:00:00"/>
        <d v="2021-05-04T00:00:00"/>
        <d v="2021-05-03T00:00:00"/>
        <d v="2021-05-02T00:00:00"/>
        <d v="2021-05-01T00:00:00"/>
        <d v="2021-04-30T00:00:00"/>
        <d v="2021-04-29T00:00:00"/>
        <d v="2021-04-28T00:00:00"/>
        <d v="2021-04-27T00:00:00"/>
        <d v="2021-04-24T00:00:00"/>
        <d v="2021-04-23T00:00:00"/>
        <d v="2021-04-22T00:00:00"/>
        <d v="2021-04-21T00:00:00"/>
        <d v="2021-04-20T00:00:00"/>
        <d v="2021-04-18T00:00:00"/>
        <d v="2021-04-17T00:00:00"/>
        <d v="2021-04-16T00:00:00"/>
        <d v="2021-04-15T00:00:00"/>
        <d v="2021-04-14T00:00:00"/>
        <d v="2021-04-13T00:00:00"/>
        <d v="2021-04-12T00:00:00"/>
        <d v="2021-04-11T00:00:00"/>
        <d v="2021-04-10T00:00:00"/>
        <d v="2021-04-09T00:00:00"/>
        <d v="2021-04-08T00:00:00"/>
        <d v="2021-04-07T00:00:00"/>
        <d v="2021-04-06T00:00:00"/>
        <d v="2021-04-03T00:00:00"/>
        <d v="2021-04-02T00:00:00"/>
        <d v="2021-04-01T00:00:00"/>
        <d v="2021-03-31T00:00:00"/>
        <d v="2021-03-30T00:00:00"/>
        <d v="2021-03-27T00:00:00"/>
        <d v="2021-03-26T00:00:00"/>
        <d v="2021-03-25T00:00:00"/>
        <d v="2021-03-24T00:00:00"/>
        <d v="2021-03-23T00:00:00"/>
        <d v="2021-03-20T00:00:00"/>
        <d v="2021-03-19T00:00:00"/>
        <d v="2021-03-18T00:00:00"/>
        <d v="2021-03-17T00:00:00"/>
        <d v="2021-03-16T00:00:00"/>
        <d v="2021-03-15T00:00:00"/>
        <d v="2021-03-13T00:00:00"/>
        <d v="2021-03-12T00:00:00"/>
        <d v="2021-03-11T00:00:00"/>
        <d v="2021-03-10T00:00:00"/>
        <d v="2021-03-09T00:00:00"/>
        <d v="2021-03-08T00:00:00"/>
        <d v="2021-03-06T00:00:00"/>
        <d v="2021-03-05T00:00:00"/>
        <d v="2021-03-04T00:00:00"/>
        <d v="2021-03-03T00:00:00"/>
        <d v="2021-03-02T00:00:00"/>
        <d v="2021-03-01T00:00:00"/>
        <d v="2021-02-28T00:00:00"/>
        <d v="2021-02-27T00:00:00"/>
        <d v="2021-02-26T00:00:00"/>
        <d v="2021-02-25T00:00:00"/>
        <d v="2021-02-24T00:00:00"/>
        <d v="2021-02-23T00:00:00"/>
        <d v="2021-02-22T00:00:00"/>
        <d v="2021-02-20T00:00:00"/>
        <d v="2021-02-19T00:00:00"/>
        <d v="2021-02-18T00:00:00"/>
        <d v="2021-02-17T00:00:00"/>
        <d v="2021-02-16T00:00:00"/>
        <d v="2021-02-13T00:00:00"/>
        <d v="2021-02-12T00:00:00"/>
        <d v="2021-02-11T00:00:00"/>
        <d v="2021-02-10T00:00:00"/>
        <d v="2021-02-09T00:00:00"/>
        <d v="2021-02-06T00:00:00"/>
        <d v="2021-02-05T00:00:00"/>
        <d v="2021-02-04T00:00:00"/>
        <d v="2021-02-03T00:00:00"/>
        <d v="2021-02-02T00:00:00"/>
        <d v="2021-02-01T00:00:00"/>
        <d v="2021-01-31T00:00:00"/>
        <d v="2021-01-30T00:00:00"/>
        <d v="2021-01-29T00:00:00"/>
        <d v="2021-01-28T00:00:00"/>
        <d v="2021-01-26T00:00:00"/>
        <d v="2021-01-24T00:00:00"/>
        <d v="2021-01-23T00:00:00"/>
        <d v="2021-01-22T00:00:00"/>
        <d v="2021-01-21T00:00:00"/>
        <d v="2021-01-20T00:00:00"/>
        <d v="2021-01-19T00:00:00"/>
        <d v="2021-01-16T00:00:00"/>
        <d v="2021-01-15T00:00:00"/>
        <d v="2021-01-14T00:00:00"/>
        <d v="2021-01-13T00:00:00"/>
        <d v="2021-01-12T00:00:00"/>
        <d v="2021-01-11T00:00:00"/>
        <d v="2021-01-10T00:00:00"/>
        <d v="2021-01-09T00:00:00"/>
        <d v="2021-01-07T00:00:00"/>
        <d v="2021-01-06T00:00:00"/>
        <d v="2021-01-05T00:00:00"/>
        <d v="2021-01-04T00:00:00"/>
        <d v="2021-01-02T00:00:00"/>
        <d v="2021-01-01T00:00:00"/>
        <d v="2020-12-31T00:00:00"/>
        <d v="2020-12-30T00:00:00"/>
        <d v="2020-12-29T00:00:00"/>
        <d v="2020-12-26T00:00:00"/>
        <d v="2020-12-25T00:00:00"/>
        <d v="2020-12-24T00:00:00"/>
        <d v="2020-12-23T00:00:00"/>
        <d v="2020-12-22T00:00:00"/>
        <d v="2020-12-19T00:00:00"/>
        <d v="2020-12-18T00:00:00"/>
        <d v="2020-12-16T00:00:00"/>
        <d v="2020-12-14T00:00:00"/>
        <d v="2020-12-12T00:00:00"/>
        <d v="2020-12-11T00:00:00"/>
        <d v="2020-12-10T00:00:00"/>
        <d v="2020-12-09T00:00:00"/>
        <d v="2020-12-08T00:00:00"/>
        <d v="2020-12-05T00:00:00"/>
        <d v="2020-12-04T00:00:00"/>
        <d v="2020-12-03T00:00:00"/>
        <d v="2020-12-02T00:00:00"/>
        <d v="2020-12-01T00:00:00"/>
        <d v="2020-11-29T00:00:00"/>
        <d v="2020-11-28T00:00:00"/>
        <d v="2020-11-27T00:00:00"/>
        <d v="2020-11-26T00:00:00"/>
        <d v="2020-11-25T00:00:00"/>
        <d v="2020-11-24T00:00:00"/>
        <d v="2020-11-23T00:00:00"/>
        <d v="2020-11-21T00:00:00"/>
        <d v="2020-11-20T00:00:00"/>
        <d v="2020-11-19T00:00:00"/>
        <d v="2020-11-18T00:00:00"/>
        <d v="2020-11-17T00:00:00"/>
        <d v="2020-11-16T00:00:00"/>
        <d v="2020-11-14T00:00:00"/>
        <d v="2020-11-13T00:00:00"/>
        <d v="2020-11-12T00:00:00"/>
        <d v="2020-11-11T00:00:00"/>
        <d v="2020-11-10T00:00:00"/>
        <d v="2020-11-09T00:00:00"/>
        <d v="2020-11-08T00:00:00"/>
        <d v="2020-11-07T00:00:00"/>
        <d v="2020-11-04T00:00:00"/>
        <d v="2020-11-03T00:00:00"/>
        <d v="2020-11-02T00:00:00"/>
        <d v="2020-11-01T00:00:00"/>
        <d v="2020-10-31T00:00:00"/>
        <d v="2020-10-30T00:00:00"/>
        <d v="2020-10-29T00:00:00"/>
        <d v="2020-10-28T00:00:00"/>
        <d v="2020-10-26T00:00:00"/>
        <d v="2020-10-24T00:00:00"/>
        <d v="2020-10-21T00:00:00"/>
        <d v="2020-10-20T00:00:00"/>
        <d v="2020-10-19T00:00:00"/>
        <d v="2020-10-17T00:00:00"/>
        <d v="2020-10-16T00:00:00"/>
        <d v="2020-10-15T00:00:00"/>
        <d v="2020-10-14T00:00:00"/>
        <d v="2020-10-13T00:00:00"/>
        <d v="2020-10-12T00:00:00"/>
        <d v="2020-10-10T00:00:00"/>
        <d v="2020-10-09T00:00:00"/>
        <d v="2020-10-08T00:00:00"/>
        <d v="2020-10-07T00:00:00"/>
        <d v="2020-10-06T00:00:00"/>
        <d v="2020-10-05T00:00:00"/>
        <d v="2020-10-03T00:00:00"/>
        <d v="2020-10-02T00:00:00"/>
        <d v="2020-10-01T00:00:00"/>
        <d v="2020-09-30T00:00:00"/>
        <d v="2020-09-29T00:00:00"/>
        <d v="2020-09-27T00:00:00"/>
        <d v="2020-09-26T00:00:00"/>
        <d v="2020-09-24T00:00:00"/>
        <d v="2020-09-23T00:00:00"/>
        <d v="2020-09-22T00:00:00"/>
        <d v="2020-09-21T00:00:00"/>
        <d v="2020-09-19T00:00:00"/>
        <d v="2020-09-18T00:00:00"/>
        <d v="2020-09-17T00:00:00"/>
        <d v="2020-09-16T00:00:00"/>
        <d v="2020-09-14T00:00:00"/>
        <d v="2020-09-12T00:00:00"/>
        <d v="2020-09-10T00:00:00"/>
        <d v="2020-09-09T00:00:00"/>
        <d v="2020-09-08T00:00:00"/>
        <d v="2020-09-07T00:00:00"/>
        <d v="2020-09-06T00:00:00"/>
        <d v="2020-09-05T00:00:00"/>
        <d v="2020-09-04T00:00:00"/>
        <d v="2020-09-03T00:00:00"/>
        <d v="2020-09-02T00:00:00"/>
        <d v="2020-09-01T00:00:00"/>
        <d v="2020-08-29T00:00:00"/>
        <d v="2020-08-27T00:00:00"/>
        <d v="2020-08-26T00:00:00"/>
        <d v="2020-08-25T00:00:00"/>
        <d v="2020-08-23T00:00:00"/>
        <d v="2020-08-22T00:00:00"/>
        <d v="2020-08-20T00:00:00"/>
        <d v="2020-08-19T00:00:00"/>
        <d v="2020-08-18T00:00:00"/>
        <d v="2020-08-17T00:00:00"/>
        <d v="2020-08-15T00:00:00"/>
        <d v="2020-08-14T00:00:00"/>
        <d v="2020-08-13T00:00:00"/>
        <d v="2020-08-12T00:00:00"/>
        <d v="2020-08-11T00:00:00"/>
        <d v="2020-08-10T00:00:00"/>
        <d v="2020-08-09T00:00:00"/>
        <d v="2020-08-08T00:00:00"/>
        <d v="2020-08-07T00:00:00"/>
        <d v="2020-08-06T00:00:00"/>
        <d v="2020-08-05T00:00:00"/>
        <d v="2020-08-03T00:00:00"/>
        <d v="2020-08-01T00:00:00"/>
        <d v="2020-07-31T00:00:00"/>
        <d v="2020-07-30T00:00:00"/>
        <d v="2020-07-29T00:00:00"/>
        <d v="2020-07-28T00:00:00"/>
        <d v="2020-07-25T00:00:00"/>
        <d v="2020-07-23T00:00:00"/>
        <d v="2020-07-22T00:00:00"/>
        <d v="2020-07-21T00:00:00"/>
        <d v="2020-07-20T00:00:00"/>
        <d v="2020-07-18T00:00:00"/>
        <d v="2020-07-16T00:00:00"/>
        <d v="2020-07-15T00:00:00"/>
        <d v="2020-07-14T00:00:00"/>
        <d v="2020-07-13T00:00:00"/>
        <d v="2020-07-11T00:00:00"/>
        <d v="2020-07-10T00:00:00"/>
        <d v="2020-07-09T00:00:00"/>
        <d v="2020-07-08T00:00:00"/>
        <d v="2020-07-07T00:00:00"/>
        <d v="2020-07-06T00:00:00"/>
        <d v="2020-07-04T00:00:00"/>
        <d v="2020-07-02T00:00:00"/>
        <d v="2020-07-01T00:00:00"/>
        <d v="2020-06-30T00:00:00"/>
        <d v="2020-06-29T00:00:00"/>
        <d v="2020-06-27T00:00:00"/>
        <d v="2020-06-26T00:00:00"/>
        <d v="2020-06-25T00:00:00"/>
        <d v="2020-06-24T00:00:00"/>
        <d v="2020-06-23T00:00:00"/>
        <d v="2020-06-22T00:00:00"/>
        <d v="2020-06-20T00:00:00"/>
        <d v="2020-06-18T00:00:00"/>
        <d v="2020-06-17T00:00:00"/>
        <d v="2020-06-16T00:00:00"/>
        <d v="2020-06-13T00:00:00"/>
        <d v="2020-06-12T00:00:00"/>
        <d v="2020-06-11T00:00:00"/>
        <d v="2020-06-10T00:00:00"/>
        <d v="2020-06-09T00:00:00"/>
        <d v="2020-06-06T00:00:00"/>
        <d v="2020-06-05T00:00:00"/>
        <d v="2020-06-04T00:00:00"/>
        <d v="2020-06-03T00:00:00"/>
        <d v="2020-06-02T00:00:00"/>
        <d v="2020-06-01T00:00:00"/>
        <d v="2020-05-30T00:00:00"/>
        <d v="2020-05-28T00:00:00"/>
        <d v="2020-05-27T00:00:00"/>
        <d v="2020-05-26T00:00:00"/>
        <d v="2020-05-23T00:00:00"/>
        <d v="2020-05-20T00:00:00"/>
        <d v="2020-05-19T00:00:00"/>
        <d v="2020-05-16T00:00:00"/>
        <d v="2020-05-14T00:00:00"/>
        <d v="2020-05-13T00:00:00"/>
        <d v="2020-05-11T00:00:00"/>
        <d v="2020-05-10T00:00:00"/>
        <d v="2020-05-09T00:00:00"/>
        <d v="2020-05-08T00:00:00"/>
        <d v="2020-05-07T00:00:00"/>
        <d v="2020-05-06T00:00:00"/>
        <d v="2020-05-05T00:00:00"/>
        <d v="2020-05-04T00:00:00"/>
        <d v="2020-05-03T00:00:00"/>
        <d v="2020-05-02T00:00:00"/>
        <d v="2020-05-01T00:00:00"/>
        <d v="2020-04-30T00:00:00"/>
        <d v="2020-04-29T00:00:00"/>
        <d v="2020-04-28T00:00:00"/>
        <d v="2020-04-27T00:00:00"/>
        <d v="2020-04-26T00:00:00"/>
        <d v="2020-04-25T00:00:00"/>
        <d v="2020-04-22T00:00:00"/>
        <d v="2020-04-21T00:00:00"/>
        <d v="2020-04-19T00:00:00"/>
        <d v="2020-04-18T00:00:00"/>
        <d v="2020-04-17T00:00:00"/>
        <d v="2020-04-16T00:00:00"/>
        <d v="2020-04-15T00:00:00"/>
        <d v="2020-04-13T00:00:00"/>
        <d v="2020-04-11T00:00:00"/>
        <d v="2020-04-10T00:00:00"/>
        <d v="2020-04-08T00:00:00"/>
        <d v="2020-04-07T00:00:00"/>
        <d v="2020-04-04T00:00:00"/>
        <d v="2020-04-02T00:00:00"/>
        <d v="2020-04-01T00:00:00"/>
        <d v="2020-03-31T00:00:00"/>
        <d v="2020-03-30T00:00:00"/>
        <d v="2020-03-28T00:00:00"/>
        <d v="2020-03-27T00:00:00"/>
        <d v="2020-03-26T00:00:00"/>
        <d v="2020-03-25T00:00:00"/>
        <d v="2020-03-24T00:00:00"/>
        <d v="2020-03-21T00:00:00"/>
        <d v="2020-03-20T00:00:00"/>
        <d v="2020-03-19T00:00:00"/>
        <d v="2020-03-18T00:00:00"/>
        <d v="2020-03-17T00:00:00"/>
        <d v="2020-03-16T00:00:00"/>
        <d v="2020-03-15T00:00:00"/>
        <d v="2020-03-14T00:00:00"/>
        <d v="2020-03-13T00:00:00"/>
        <d v="2020-03-12T00:00:00"/>
        <d v="2020-03-11T00:00:00"/>
        <d v="2020-03-10T00:00:00"/>
        <d v="2020-03-09T00:00:00"/>
        <d v="2020-03-07T00:00:00"/>
        <d v="2020-03-06T00:00:00"/>
        <d v="2020-03-05T00:00:00"/>
        <d v="2020-03-04T00:00:00"/>
        <d v="2020-03-03T00:00:00"/>
        <d v="2020-03-02T00:00:00"/>
        <d v="2020-03-01T00:00:00"/>
        <d v="2020-02-29T00:00:00"/>
        <d v="2020-02-28T00:00:00"/>
        <d v="2020-02-27T00:00:00"/>
        <d v="2020-02-26T00:00:00"/>
        <d v="2020-02-25T00:00:00"/>
        <d v="2020-02-24T00:00:00"/>
        <d v="2020-02-23T00:00:00"/>
        <d v="2020-02-22T00:00:00"/>
        <d v="2020-02-21T00:00:00"/>
        <d v="2020-02-20T00:00:00"/>
        <d v="2020-02-19T00:00:00"/>
        <d v="2020-02-18T00:00:00"/>
        <d v="2020-02-17T00:00:00"/>
        <d v="2020-02-16T00:00:00"/>
        <d v="2020-02-15T00:00:00"/>
        <d v="2020-02-14T00:00:00"/>
        <d v="2020-02-13T00:00:00"/>
        <d v="2020-02-12T00:00:00"/>
        <d v="2020-02-11T00:00:00"/>
        <d v="2020-02-10T00:00:00"/>
        <d v="2020-02-08T00:00:00"/>
        <d v="2020-02-07T00:00:00"/>
        <d v="2020-02-06T00:00:00"/>
        <d v="2020-02-05T00:00:00"/>
        <d v="2020-02-04T00:00:00"/>
        <d v="2020-02-03T00:00:00"/>
        <d v="2020-02-01T00:00:00"/>
        <d v="2020-01-31T00:00:00"/>
        <d v="2020-01-30T00:00:00"/>
        <d v="2020-01-29T00:00:00"/>
        <d v="2020-01-28T00:00:00"/>
        <d v="2020-01-26T00:00:00"/>
        <d v="2020-01-25T00:00:00"/>
        <d v="2020-01-24T00:00:00"/>
        <d v="2020-01-23T00:00:00"/>
        <d v="2020-01-22T00:00:00"/>
        <d v="2020-01-21T00:00:00"/>
        <d v="2020-01-20T00:00:00"/>
        <d v="2020-01-19T00:00:00"/>
        <d v="2020-01-18T00:00:00"/>
        <d v="2020-01-17T00:00:00"/>
        <d v="2020-01-16T00:00:00"/>
        <d v="2020-01-15T00:00:00"/>
        <d v="2020-01-14T00:00:00"/>
        <d v="2020-01-13T00:00:00"/>
        <d v="2020-01-12T00:00:00"/>
        <d v="2020-01-11T00:00:00"/>
        <d v="2020-01-10T00:00:00"/>
        <d v="2020-01-09T00:00:00"/>
        <d v="2020-01-08T00:00:00"/>
        <d v="2020-01-07T00:00:00"/>
        <d v="2020-01-04T00:00:00"/>
        <d v="2020-01-03T00:00:00"/>
        <d v="2020-01-02T00:00:00"/>
        <d v="2020-01-01T00:00:00"/>
        <d v="2019-12-31T00:00:00"/>
        <d v="2019-12-30T00:00:00"/>
        <d v="2019-12-29T00:00:00"/>
        <d v="2019-12-28T00:00:00"/>
        <d v="2019-12-27T00:00:00"/>
        <d v="2019-12-26T00:00:00"/>
        <d v="2019-12-25T00:00:00"/>
        <d v="2019-12-24T00:00:00"/>
        <d v="2019-12-23T00:00:00"/>
        <d v="2019-12-22T00:00:00"/>
        <d v="2019-12-21T00:00:00"/>
        <d v="2019-12-20T00:00:00"/>
        <d v="2019-12-19T00:00:00"/>
        <d v="2019-12-18T00:00:00"/>
        <d v="2019-12-17T00:00:00"/>
        <d v="2019-12-16T00:00:00"/>
        <d v="2019-12-15T00:00:00"/>
        <d v="2019-12-14T00:00:00"/>
        <d v="2019-12-13T00:00:00"/>
        <d v="2019-12-12T00:00:00"/>
        <d v="2019-12-11T00:00:00"/>
        <d v="2019-12-10T00:00:00"/>
        <d v="2019-12-09T00:00:00"/>
        <d v="2019-12-07T00:00:00"/>
        <d v="2019-12-06T00:00:00"/>
        <d v="2019-12-05T00:00:00"/>
        <d v="2019-12-04T00:00:00"/>
        <d v="2019-12-03T00:00:00"/>
        <d v="2019-12-02T00:00:00"/>
        <d v="2019-12-01T00:00:00"/>
        <d v="2019-11-30T00:00:00"/>
        <d v="2019-11-29T00:00:00"/>
        <d v="2019-11-28T00:00:00"/>
        <d v="2019-11-27T00:00:00"/>
        <d v="2019-11-26T00:00:00"/>
        <d v="2019-11-25T00:00:00"/>
        <d v="2019-11-24T00:00:00"/>
        <d v="2019-11-23T00:00:00"/>
        <d v="2019-11-22T00:00:00"/>
        <d v="2019-11-21T00:00:00"/>
        <d v="2019-11-20T00:00:00"/>
        <d v="2019-11-19T00:00:00"/>
        <d v="2019-11-18T00:00:00"/>
        <d v="2019-11-16T00:00:00"/>
        <d v="2019-11-15T00:00:00"/>
        <d v="2019-11-14T00:00:00"/>
        <d v="2019-11-13T00:00:00"/>
        <d v="2019-11-12T00:00:00"/>
        <d v="2019-11-11T00:00:00"/>
        <d v="2019-11-09T00:00:00"/>
        <d v="2019-11-08T00:00:00"/>
        <d v="2019-11-07T00:00:00"/>
        <d v="2019-11-06T00:00:00"/>
        <d v="2019-11-05T00:00:00"/>
        <d v="2019-11-04T00:00:00"/>
        <d v="2019-11-03T00:00:00"/>
        <d v="2019-11-02T00:00:00"/>
        <d v="2019-11-01T00:00:00"/>
        <d v="2019-10-31T00:00:00"/>
        <d v="2019-10-30T00:00:00"/>
        <d v="2019-10-29T00:00:00"/>
        <d v="2019-10-28T00:00:00"/>
        <d v="2019-10-26T00:00:00"/>
        <d v="2019-10-25T00:00:00"/>
        <d v="2019-10-24T00:00:00"/>
        <d v="2019-10-23T00:00:00"/>
        <d v="2019-10-22T00:00:00"/>
        <d v="2019-10-21T00:00:00"/>
        <d v="2019-10-20T00:00:00"/>
        <d v="2019-10-19T00:00:00"/>
        <d v="2019-10-18T00:00:00"/>
        <d v="2019-10-17T00:00:00"/>
        <d v="2019-10-16T00:00:00"/>
        <d v="2019-10-15T00:00:00"/>
        <d v="2019-10-14T00:00:00"/>
        <d v="2019-10-13T00:00:00"/>
        <d v="2019-10-12T00:00:00"/>
        <d v="2019-10-11T00:00:00"/>
        <d v="2019-10-10T00:00:00"/>
        <d v="2019-10-09T00:00:00"/>
        <d v="2019-10-08T00:00:00"/>
        <d v="2019-10-06T00:00:00"/>
        <d v="2019-10-05T00:00:00"/>
        <d v="2019-10-04T00:00:00"/>
        <d v="2019-10-03T00:00:00"/>
        <d v="2019-10-02T00:00:00"/>
        <d v="2019-10-01T00:00:00"/>
        <d v="2019-09-30T00:00:00"/>
        <d v="2019-09-28T00:00:00"/>
        <d v="2019-09-26T00:00:00"/>
        <d v="2019-09-25T00:00:00"/>
        <d v="2019-09-24T00:00:00"/>
        <d v="2019-09-23T00:00:00"/>
        <d v="2019-09-21T00:00:00"/>
        <d v="2019-09-20T00:00:00"/>
        <d v="2019-09-19T00:00:00"/>
        <d v="2019-09-18T00:00:00"/>
        <d v="2019-09-17T00:00:00"/>
        <d v="2019-09-16T00:00:00"/>
        <d v="2019-09-14T00:00:00"/>
        <d v="2019-09-13T00:00:00"/>
        <d v="2019-09-12T00:00:00"/>
        <d v="2019-09-11T00:00:00"/>
        <d v="2019-09-10T00:00:00"/>
        <d v="2019-09-09T00:00:00"/>
        <d v="2019-09-08T00:00:00"/>
        <d v="2019-09-07T00:00:00"/>
        <d v="2019-09-06T00:00:00"/>
        <d v="2019-09-05T00:00:00"/>
        <d v="2019-09-04T00:00:00"/>
        <d v="2019-09-03T00:00:00"/>
        <d v="2019-09-02T00:00:00"/>
        <d v="2019-09-01T00:00:00"/>
        <d v="2019-08-31T00:00:00"/>
        <d v="2019-08-30T00:00:00"/>
        <d v="2019-08-29T00:00:00"/>
        <d v="2019-08-28T00:00:00"/>
        <d v="2019-08-27T00:00:00"/>
        <d v="2019-08-25T00:00:00"/>
        <d v="2019-08-24T00:00:00"/>
        <d v="2019-08-23T00:00:00"/>
        <d v="2019-08-22T00:00:00"/>
        <d v="2019-08-21T00:00:00"/>
        <d v="2019-08-20T00:00:00"/>
        <d v="2019-08-19T00:00:00"/>
        <d v="2019-08-18T00:00:00"/>
        <d v="2019-08-17T00:00:00"/>
        <d v="2019-08-16T00:00:00"/>
        <d v="2019-08-15T00:00:00"/>
        <d v="2019-08-14T00:00:00"/>
        <d v="2019-08-13T00:00:00"/>
        <d v="2019-08-12T00:00:00"/>
        <d v="2019-08-11T00:00:00"/>
        <d v="2019-08-10T00:00:00"/>
        <d v="2019-08-09T00:00:00"/>
        <d v="2019-08-08T00:00:00"/>
        <d v="2019-08-07T00:00:00"/>
        <d v="2019-08-06T00:00:00"/>
        <d v="2019-08-05T00:00:00"/>
        <d v="2019-08-03T00:00:00"/>
        <d v="2019-08-02T00:00:00"/>
        <d v="2019-08-01T00:00:00"/>
        <d v="2019-07-31T00:00:00"/>
        <d v="2019-07-30T00:00:00"/>
        <d v="2019-07-29T00:00:00"/>
        <d v="2019-07-28T00:00:00"/>
        <d v="2019-07-27T00:00:00"/>
        <d v="2019-07-26T00:00:00"/>
        <d v="2019-07-25T00:00:00"/>
        <d v="2019-07-24T00:00:00"/>
        <d v="2019-07-23T00:00:00"/>
        <d v="2019-07-22T00:00:00"/>
        <d v="2019-07-21T00:00:00"/>
        <d v="2019-07-20T00:00:00"/>
        <d v="2019-07-19T00:00:00"/>
        <d v="2019-07-18T00:00:00"/>
        <d v="2019-07-17T00:00:00"/>
        <d v="2019-07-16T00:00:00"/>
        <d v="2019-07-15T00:00:00"/>
        <d v="2019-07-14T00:00:00"/>
        <d v="2019-07-13T00:00:00"/>
        <d v="2019-07-12T00:00:00"/>
        <d v="2019-07-11T00:00:00"/>
        <d v="2019-07-10T00:00:00"/>
        <d v="2019-07-09T00:00:00"/>
        <d v="2019-07-08T00:00:00"/>
        <d v="2019-07-07T00:00:00"/>
        <d v="2019-07-06T00:00:00"/>
        <d v="2019-07-05T00:00:00"/>
        <d v="2019-07-04T00:00:00"/>
        <d v="2019-07-03T00:00:00"/>
        <d v="2019-07-02T00:00:00"/>
        <d v="2019-07-01T00:00:00"/>
        <d v="2019-06-29T00:00:00"/>
        <d v="2019-06-28T00:00:00"/>
        <d v="2019-06-27T00:00:00"/>
        <d v="2019-06-26T00:00:00"/>
        <d v="2019-06-25T00:00:00"/>
        <d v="2019-06-24T00:00:00"/>
        <d v="2019-06-22T00:00:00"/>
        <d v="2019-06-21T00:00:00"/>
        <d v="2019-06-20T00:00:00"/>
        <d v="2019-06-19T00:00:00"/>
        <d v="2019-06-18T00:00:00"/>
        <d v="2019-06-17T00:00:00"/>
        <d v="2019-06-16T00:00:00"/>
        <d v="2019-06-15T00:00:00"/>
        <d v="2019-06-14T00:00:00"/>
        <d v="2019-06-13T00:00:00"/>
        <d v="2019-06-12T00:00:00"/>
        <d v="2019-06-11T00:00:00"/>
        <d v="2019-06-10T00:00:00"/>
        <d v="2019-06-08T00:00:00"/>
        <d v="2019-06-07T00:00:00"/>
        <d v="2019-06-06T00:00:00"/>
        <d v="2019-06-05T00:00:00"/>
        <d v="2019-06-04T00:00:00"/>
        <d v="2019-06-03T00:00:00"/>
        <d v="2019-06-01T00:00:00"/>
        <d v="2019-05-31T00:00:00"/>
        <d v="2019-05-30T00:00:00"/>
        <d v="2019-05-29T00:00:00"/>
        <d v="2019-05-28T00:00:00"/>
        <d v="2019-05-27T00:00:00"/>
        <d v="2019-05-26T00:00:00"/>
        <d v="2019-05-25T00:00:00"/>
        <d v="2019-05-24T00:00:00"/>
        <d v="2019-05-23T00:00:00"/>
        <d v="2019-05-22T00:00:00"/>
        <d v="2019-05-21T00:00:00"/>
        <d v="2019-05-20T00:00:00"/>
        <d v="2019-05-19T00:00:00"/>
        <d v="2019-05-18T00:00:00"/>
        <d v="2019-05-17T00:00:00"/>
        <d v="2019-05-16T00:00:00"/>
        <d v="2019-05-15T00:00:00"/>
        <d v="2019-05-14T00:00:00"/>
        <d v="2019-05-13T00:00:00"/>
        <d v="2019-05-12T00:00:00"/>
        <d v="2019-05-11T00:00:00"/>
        <d v="2019-05-10T00:00:00"/>
        <d v="2019-05-09T00:00:00"/>
        <d v="2019-05-08T00:00:00"/>
        <d v="2019-05-07T00:00:00"/>
        <d v="2019-05-06T00:00:00"/>
        <d v="2019-05-04T00:00:00"/>
        <d v="2019-05-03T00:00:00"/>
        <d v="2019-05-02T00:00:00"/>
        <d v="2019-05-01T00:00:00"/>
        <d v="2019-04-30T00:00:00"/>
        <d v="2019-04-29T00:00:00"/>
        <d v="2019-04-27T00:00:00"/>
        <d v="2019-04-26T00:00:00"/>
        <d v="2019-04-25T00:00:00"/>
        <d v="2019-04-24T00:00:00"/>
        <d v="2019-04-23T00:00:00"/>
        <d v="2019-04-20T00:00:00"/>
        <d v="2019-04-19T00:00:00"/>
        <d v="2019-04-17T00:00:00"/>
        <d v="2019-04-16T00:00:00"/>
        <d v="2019-04-15T00:00:00"/>
        <d v="2019-04-13T00:00:00"/>
        <d v="2019-04-12T00:00:00"/>
        <d v="2019-04-11T00:00:00"/>
        <d v="2019-04-10T00:00:00"/>
        <d v="2019-04-09T00:00:00"/>
        <d v="2019-04-08T00:00:00"/>
        <d v="2019-04-06T00:00:00"/>
        <d v="2019-04-05T00:00:00"/>
        <d v="2019-04-04T00:00:00"/>
        <d v="2019-04-03T00:00:00"/>
        <d v="2019-04-02T00:00:00"/>
        <d v="2019-04-01T00:00:00"/>
        <d v="2019-03-31T00:00:00"/>
        <d v="2019-03-30T00:00:00"/>
        <d v="2019-03-29T00:00:00"/>
        <d v="2019-03-28T00:00:00"/>
        <d v="2019-03-27T00:00:00"/>
        <d v="2019-03-26T00:00:00"/>
        <d v="2019-03-25T00:00:00"/>
        <d v="2019-03-23T00:00:00"/>
        <d v="2019-03-21T00:00:00"/>
        <d v="2019-03-20T00:00:00"/>
        <d v="2019-03-19T00:00:00"/>
        <d v="2019-03-17T00:00:00"/>
        <d v="2019-03-16T00:00:00"/>
        <d v="2019-03-15T00:00:00"/>
        <d v="2019-03-14T00:00:00"/>
        <d v="2019-03-13T00:00:00"/>
        <d v="2019-03-11T00:00:00"/>
        <d v="2019-03-09T00:00:00"/>
        <d v="2019-03-08T00:00:00"/>
        <d v="2019-03-07T00:00:00"/>
        <d v="2019-03-06T00:00:00"/>
        <d v="2019-03-05T00:00:00"/>
        <d v="2019-03-04T00:00:00"/>
        <d v="2019-03-02T00:00:00"/>
        <d v="2019-03-01T00:00:00"/>
        <d v="2019-02-28T00:00:00"/>
        <d v="2019-02-27T00:00:00"/>
        <d v="2019-02-26T00:00:00"/>
        <d v="2019-02-25T00:00:00"/>
        <d v="2019-02-23T00:00:00"/>
        <d v="2019-02-22T00:00:00"/>
        <d v="2019-02-21T00:00:00"/>
        <d v="2019-02-20T00:00:00"/>
        <d v="2019-02-19T00:00:00"/>
        <d v="2019-02-18T00:00:00"/>
        <d v="2019-02-16T00:00:00"/>
        <d v="2019-02-15T00:00:00"/>
        <d v="2019-02-14T00:00:00"/>
        <d v="2019-02-13T00:00:00"/>
        <d v="2019-02-12T00:00:00"/>
        <d v="2019-02-11T00:00:00"/>
        <d v="2019-02-10T00:00:00"/>
        <d v="2019-02-09T00:00:00"/>
        <d v="2019-02-08T00:00:00"/>
        <d v="2019-02-07T00:00:00"/>
        <d v="2019-02-06T00:00:00"/>
        <d v="2019-02-05T00:00:00"/>
        <d v="2019-02-04T00:00:00"/>
        <d v="2019-02-02T00:00:00"/>
        <d v="2019-02-01T00:00:00"/>
        <d v="2019-01-31T00:00:00"/>
        <d v="2019-01-30T00:00:00"/>
        <d v="2019-01-29T00:00:00"/>
        <d v="2019-01-28T00:00:00"/>
        <d v="2019-01-27T00:00:00"/>
        <d v="2019-01-26T00:00:00"/>
        <d v="2019-01-25T00:00:00"/>
        <d v="2019-01-24T00:00:00"/>
        <d v="2019-01-23T00:00:00"/>
        <d v="2019-01-22T00:00:00"/>
        <d v="2019-01-19T00:00:00"/>
        <d v="2019-01-18T00:00:00"/>
        <d v="2019-01-17T00:00:00"/>
        <d v="2019-01-16T00:00:00"/>
        <d v="2019-01-15T00:00:00"/>
        <d v="2019-01-14T00:00:00"/>
        <d v="2019-01-12T00:00:00"/>
        <d v="2019-01-11T00:00:00"/>
        <d v="2019-01-10T00:00:00"/>
        <d v="2019-01-09T00:00:00"/>
        <d v="2019-01-08T00:00:00"/>
        <d v="2019-01-07T00:00:00"/>
        <d v="2019-01-05T00:00:00"/>
        <d v="2019-01-03T00:00:00"/>
        <d v="2019-01-02T00:00:00"/>
        <d v="2019-01-01T00:00:00"/>
        <d v="2018-12-31T00:00:00"/>
        <d v="2018-12-30T00:00:00"/>
        <d v="2018-12-29T00:00:00"/>
        <d v="2018-12-28T00:00:00"/>
        <d v="2018-12-27T00:00:00"/>
        <d v="2018-12-25T00:00:00"/>
        <d v="2018-12-24T00:00:00"/>
        <d v="2018-12-23T00:00:00"/>
        <d v="2018-12-22T00:00:00"/>
        <d v="2018-12-21T00:00:00"/>
        <d v="2018-12-20T00:00:00"/>
        <d v="2018-12-19T00:00:00"/>
        <d v="2018-12-18T00:00:00"/>
        <d v="2018-12-17T00:00:00"/>
        <d v="2018-12-15T00:00:00"/>
        <d v="2018-12-14T00:00:00"/>
        <d v="2018-12-13T00:00:00"/>
        <d v="2018-12-12T00:00:00"/>
        <d v="2018-12-11T00:00:00"/>
        <d v="2018-12-08T00:00:00"/>
        <d v="2018-12-07T00:00:00"/>
        <d v="2018-12-06T00:00:00"/>
        <d v="2018-12-05T00:00:00"/>
        <d v="2018-12-04T00:00:00"/>
        <d v="2018-12-03T00:00:00"/>
        <d v="2018-12-01T00:00:00"/>
        <d v="2018-11-30T00:00:00"/>
        <d v="2018-11-29T00:00:00"/>
        <d v="2018-11-28T00:00:00"/>
        <d v="2018-11-27T00:00:00"/>
        <d v="2018-11-24T00:00:00"/>
        <d v="2018-11-23T00:00:00"/>
        <d v="2018-11-22T00:00:00"/>
        <d v="2018-11-21T00:00:00"/>
        <d v="2018-11-20T00:00:00"/>
        <d v="2018-11-17T00:00:00"/>
        <d v="2018-11-16T00:00:00"/>
        <d v="2018-11-15T00:00:00"/>
        <d v="2018-11-14T00:00:00"/>
        <d v="2018-11-13T00:00:00"/>
        <d v="2018-11-10T00:00:00"/>
        <d v="2018-11-09T00:00:00"/>
        <d v="2018-11-08T00:00:00"/>
        <d v="2018-11-07T00:00:00"/>
        <d v="2018-11-05T00:00:00"/>
        <d v="2018-11-04T00:00:00"/>
        <d v="2018-11-03T00:00:00"/>
        <d v="2018-11-02T00:00:00"/>
        <d v="2018-11-01T00:00:00"/>
        <d v="2018-10-31T00:00:00"/>
        <d v="2018-10-30T00:00:00"/>
        <d v="2018-10-28T00:00:00"/>
        <d v="2018-10-27T00:00:00"/>
        <d v="2018-10-26T00:00:00"/>
        <d v="2018-10-25T00:00:00"/>
        <d v="2018-10-24T00:00:00"/>
        <d v="2018-10-23T00:00:00"/>
        <d v="2018-10-22T00:00:00"/>
        <d v="2018-10-20T00:00:00"/>
        <d v="2018-10-19T00:00:00"/>
        <d v="2018-10-18T00:00:00"/>
        <d v="2018-10-17T00:00:00"/>
        <d v="2018-10-16T00:00:00"/>
        <d v="2018-10-14T00:00:00"/>
        <d v="2018-10-13T00:00:00"/>
        <d v="2018-10-12T00:00:00"/>
        <d v="2018-10-11T00:00:00"/>
        <d v="2018-10-10T00:00:00"/>
        <d v="2018-10-09T00:00:00"/>
        <d v="2018-10-08T00:00:00"/>
        <d v="2018-10-07T00:00:00"/>
        <d v="2018-10-06T00:00:00"/>
        <d v="2018-10-05T00:00:00"/>
        <d v="2018-10-04T00:00:00"/>
        <d v="2018-10-03T00:00:00"/>
        <d v="2018-10-02T00:00:00"/>
        <d v="2018-10-01T00:00:00"/>
        <d v="2018-09-29T00:00:00"/>
        <d v="2018-09-28T00:00:00"/>
        <d v="2018-09-27T00:00:00"/>
        <d v="2018-09-26T00:00:00"/>
        <d v="2018-09-25T00:00:00"/>
        <d v="2018-09-24T00:00:00"/>
        <d v="2018-09-22T00:00:00"/>
        <d v="2018-09-21T00:00:00"/>
        <d v="2018-09-20T00:00:00"/>
        <d v="2018-09-19T00:00:00"/>
        <d v="2018-09-18T00:00:00"/>
        <d v="2018-09-17T00:00:00"/>
        <d v="2018-09-16T00:00:00"/>
        <d v="2018-09-15T00:00:00"/>
        <d v="2018-09-14T00:00:00"/>
        <d v="2018-09-13T00:00:00"/>
        <d v="2018-09-12T00:00:00"/>
        <d v="2018-09-11T00:00:00"/>
        <d v="2018-09-10T00:00:00"/>
        <d v="2018-09-08T00:00:00"/>
        <d v="2018-09-07T00:00:00"/>
        <d v="2018-09-06T00:00:00"/>
        <d v="2018-09-05T00:00:00"/>
        <d v="2018-09-04T00:00:00"/>
        <d v="2018-09-03T00:00:00"/>
        <d v="2018-09-01T00:00:00"/>
        <d v="2018-08-31T00:00:00"/>
        <d v="2018-08-30T00:00:00"/>
        <d v="2018-08-29T00:00:00"/>
        <d v="2018-08-28T00:00:00"/>
        <d v="2018-08-27T00:00:00"/>
        <d v="2018-08-25T00:00:00"/>
        <d v="2018-08-24T00:00:00"/>
        <d v="2018-08-23T00:00:00"/>
        <d v="2018-08-22T00:00:00"/>
        <d v="2018-08-21T00:00:00"/>
        <d v="2018-08-18T00:00:00"/>
        <d v="2018-08-17T00:00:00"/>
        <d v="2018-08-16T00:00:00"/>
        <d v="2018-08-15T00:00:00"/>
        <d v="2018-08-14T00:00:00"/>
        <d v="2018-08-11T00:00:00"/>
        <d v="2018-08-10T00:00:00"/>
        <d v="2018-08-09T00:00:00"/>
        <d v="2018-08-08T00:00:00"/>
        <d v="2018-08-07T00:00:00"/>
        <d v="2018-08-06T00:00:00"/>
        <d v="2018-08-05T00:00:00"/>
        <d v="2018-08-04T00:00:00"/>
        <d v="2018-08-03T00:00:00"/>
        <d v="2018-08-02T00:00:00"/>
        <d v="2018-08-01T00:00:00"/>
        <d v="2018-07-31T00:00:00"/>
        <d v="2018-07-28T00:00:00"/>
        <d v="2018-07-27T00:00:00"/>
        <d v="2018-07-26T00:00:00"/>
        <d v="2018-07-25T00:00:00"/>
        <d v="2018-07-24T00:00:00"/>
        <d v="2018-07-21T00:00:00"/>
        <d v="2018-07-20T00:00:00"/>
        <d v="2018-07-19T00:00:00"/>
        <d v="2018-07-18T00:00:00"/>
        <d v="2018-07-17T00:00:00"/>
        <d v="2018-07-14T00:00:00"/>
        <d v="2018-07-13T00:00:00"/>
        <d v="2018-07-12T00:00:00"/>
        <d v="2018-07-11T00:00:00"/>
        <d v="2018-07-10T00:00:00"/>
        <d v="2018-07-09T00:00:00"/>
        <d v="2018-07-07T00:00:00"/>
        <d v="2018-07-06T00:00:00"/>
        <d v="2018-07-05T00:00:00"/>
        <d v="2018-07-04T00:00:00"/>
        <d v="2018-07-03T00:00:00"/>
        <d v="2018-07-02T00:00:00"/>
        <d v="2018-07-01T00:00:00"/>
        <d v="2018-06-27T00:00:00"/>
        <d v="2018-06-20T00:00:00"/>
        <d v="2018-06-15T00:00:00"/>
        <d v="2018-05-26T00:00:00"/>
        <d v="2018-05-18T00:00:00"/>
        <d v="2018-04-24T00:00:00"/>
        <d v="2018-04-20T00:00:00"/>
        <d v="2018-03-09T00:00:00"/>
        <d v="2018-03-08T00:00:00"/>
        <d v="2017-09-21T00:00:00"/>
        <d v="2017-09-18T00:00:00"/>
        <d v="2017-09-11T00:00:00"/>
        <d v="2017-09-09T00:00:00"/>
        <d v="2017-08-05T00:00:00"/>
        <d v="2017-08-04T00:00:00"/>
        <d v="2017-07-31T00:00:00"/>
        <d v="2017-06-28T00:00:00"/>
        <d v="2017-06-09T00:00:00"/>
        <d v="2017-05-09T00:00:00"/>
        <d v="2016-01-22T00:00:00"/>
        <d v="2015-11-19T00:00:00"/>
        <d v="2010-04-29T00:00:00"/>
      </sharedItems>
    </cacheField>
    <cacheField name="Amount" numFmtId="0">
      <sharedItems containsSemiMixedTypes="0" containsString="0" containsNumber="1" minValue="-75000" maxValue="75000"/>
    </cacheField>
    <cacheField name="Transaction" numFmtId="0">
      <sharedItems count="4407">
        <s v="Transfer To Masoumeh Gholamshahi CommBank App massage chair refund"/>
        <s v="COLES 7663COLES 7663 PARRAMATTA AU AUS Card xx2869 Value Date: 19/02/2025"/>
        <s v="ERMINGTON MEATS Ermington NS AUS Card xx2869 Value Date: 19/02/2025"/>
        <s v="BUPA HI P T PHI MELBOURNE VI AUS Card xx2869 Value Date: 19/02/2025"/>
        <s v="ALDI STORES - PARRAMAT PARRAMATTA AUS Card xx2869 Value Date: 18/02/2025"/>
        <s v="Return AMAZON AU MARKETPLACE SYDNEY AUS Card xx2869 Value Date: 18/02/2025"/>
        <s v="Direct Credit 462125 APRA Limited AU Royalty W739163"/>
        <s v="COLES 0887 PARRAMATTA AU"/>
        <s v="HAAK EATERY PTY LTD SURRY HILLS AU"/>
        <s v="Transfer To menikmati CommBank App Cap x 1"/>
        <s v="UBER *EATS HELP.UBER.COM"/>
        <s v="Direct Debit 502574 THE C&amp;PSU CPSU Membership"/>
        <s v="International Transaction Fee Value Date: 10/02/2025"/>
        <s v="OPENAI *CHATGPT SUBSCR SAN FRANCISCO CA USA Card xx2869 USD 22.00 Value Date: 11/02/2025"/>
        <s v="TRANSPORTFORNSW OPAL CHIPPENDALE AUS Card xx2869 Value Date: 11/02/2025"/>
        <s v="Transfer to other Bank NetBank Mortgage Payment"/>
        <s v="Salary SERVAUPAYROLL 20504P 85920286"/>
        <s v="Google YouTube Barangaroo AU AUS Card xx2869 Value Date: 10/02/2025"/>
        <s v="PHOTOWN Alexandria AU"/>
        <s v="COLES 7663COLES 7663 PARRAMATTA AU AUS Card xx2869 Value Date: 07/02/2025"/>
        <s v="ALDI STORES - PARRAMAT PARRAMATTA AUS Card xx2869 Value Date: 07/02/2025"/>
        <s v="OPTUS BILLING AUTOPAY MACQUARIE PAR NS AUS Card xx2869 Value Date: 09/02/2025"/>
        <s v="Transfer To Masoumeh Gholamshahi CommBank App groceries"/>
        <s v="Return THE DAILY WIRE NASHVILLE TN USA Card xx2869 USD 14.99 Value Date: 03/02/2025"/>
        <s v="International Transaction Fee Value Date: 02/02/2025"/>
        <s v="THE DAILY WIRE NASHVILLE TN USA Card xx2869 USD 14.99 Value Date: 02/02/2025"/>
        <s v="eBay O*19-12647-26740 Sydney AU AUS Card xx2869 Value Date: 02/02/2025"/>
        <s v="eBay O*09-12658-12954 Sydney AU AUS Card xx2869 Value Date: 02/02/2025"/>
        <s v="SPEEDWAY WEST RYDE WEST RYDE NSWAU"/>
        <s v="Salary SERVAUPAYROLL 21531P 85920286"/>
        <s v="BUNNINGS 388000 RYDALMERE AU Card xx2869"/>
        <s v="AMAZON AU MARKETPLACE SYDNEY AUS Card xx2869 Value Date: 23/01/2025"/>
        <s v="ALDI STORES - RYDALMER RYDALMERE AUS Card xx2869 Value Date: 26/01/2025"/>
        <s v="COLES 7663 PARRAMATTA AU"/>
        <s v="PHARMACY JUNCTION PARRAMA PARRAMA NSW AU Card xx2869"/>
        <s v="RETAIL PRODIGY OPS PL PARRAMATTA NSWAU"/>
        <s v="OPTUS BILLING AUTOPAY MACQUARIE PAR NS AUS Card xx2869 Value Date: 22/01/2025"/>
        <s v="BUPA HI P T PHI MELBOURNE VI AUS Card xx2869 Value Date: 21/01/2025"/>
        <s v="MEDI CORP PTY LIMITED HABERFIELD NS AUS Card xx2869 Value Date: 17/01/2025"/>
        <s v="WWW.REEBELO.COM.AU SYDNEY NS AUS Card xx2869 Value Date: 17/01/2025"/>
        <s v="COLES 7663COLES 7663 PARRAMATTA AU AUS Card xx2869 Value Date: 18/01/2025"/>
        <s v="Direct Credit 002221 MCARE BENEFITS 382001678 AYWQ"/>
        <s v="Zag Seafood Parramatta AU"/>
        <s v="Harveys Hot Sandwiches Parramatta AU"/>
        <s v="OFFICEWORKS 0256OFFICE NORTHMEAD AU AUS Card xx2869 Value Date: 15/01/2025"/>
        <s v="Return OFFICEWORKS 0256OFFICE NORTHMEAD AU AUS Card xx2869 Value Date: 15/01/2025"/>
        <s v="TRANSPORTFORNSW OPAL CHIPPENDALE AUS Card xx2869 Value Date: 14/01/2025"/>
        <s v="Salary SERVAUPAYROLL 21495P 85920286"/>
        <s v="OPTUS BILLING AUTOPAY MACQUARIE PAR NS AUS Card xx2869 Value Date: 10/01/2025"/>
        <s v="International Transaction Fee Value Date: 10/01/2025"/>
        <s v="OPENAI *CHATGPT SUBSCR SAN FRANCISCO CA USA Card xx2869 USD 22.00 Value Date: 11/01/2025"/>
        <s v="Google YouTube Pyrmont AU AUS Card xx2869 Value Date: 06/01/2025"/>
        <s v="Google YouTube Pyrmont AU AUS Card xx2869 Value Date: 07/01/2025"/>
        <s v="AMAZON AU MARKETPLACE SYDNEY AUS Card xx2869 Value Date: 08/01/2025"/>
        <s v="Jaycar Rhodes Rhodes AU AUS Card xx2869 Value Date: 08/01/2025"/>
        <s v="Transfer to other Bank NetBank groceries"/>
        <s v="Refund Purchase Jaycar Lidcombe Lidcombe AU"/>
        <s v="AMAZON AU MARKETPLACE SYDNEY AUS Card xx2869 Value Date: 06/01/2025"/>
        <s v="International Transaction Fee Value Date: 02/01/2025"/>
        <s v="THE DAILY WIRE NASHVILLE TN USA Card xx2869 USD 14.99 Value Date: 02/01/2025"/>
        <s v="ORIGIN ENERGY BARANGAROO AUS Card xx2869 Value Date: 02/01/2025"/>
        <s v="AMAZON AU MARKETPLACE SYDNEY AUS Card xx2869 Value Date: 04/01/2025"/>
        <s v="Swing Factory T Hills Terrey Hills AU AUS Card xx2869 Value Date: 02/01/2025"/>
        <s v="GUO MAMA PTY LTD CASTLE HILL NS AUS Card xx2869 Value Date: 02/01/2025"/>
        <s v="7-ELEVEN 2048 DRUMMOYNE NS AUS Card xx2869 Value Date: 31/12/2024"/>
        <s v="LIQUORLAND 2822LIQUORL PARRAMATTA AU AUS Card xx2869 Value Date: 31/12/2024"/>
        <s v="Transfer To Z ZHANG PayID Phone from CommBank App food eastwood markets"/>
        <s v="Fast Transfer From JOHN MINAI Eastwood dinner Eastwood dinner"/>
        <s v="Transfer To JOHN MINAI PayID Phone from CommBank App golf"/>
        <s v="Transfer To RAMTEAN ROOZBEHANI CommBank App iou"/>
        <s v="UBER EATS* EATS"/>
        <s v="Salary SERVAUPAYROLL 20241P 85920286"/>
        <s v="Non CBA ATM Withdrawal Fee"/>
        <s v="Wdl ATM CAS COLES EXPRESS - PARRAMAT NS AU"/>
        <s v="COTTON ON 2931 BIRKE DRUMMOYNE NS AUS Card xx2869 Value Date: 29/12/2024"/>
        <s v="7-ELEVEN 2270 ROZELLE NS AUS Card xx2869 Value Date: 29/12/2024"/>
        <s v="SQ *FISHBOWL ROZELLE Rozelle AU"/>
        <s v="HYDROLINK CORP PTY LTD Sydney AU"/>
        <s v="COLES 0887COLES 0887 PARRAMATTA AU AUS Card xx2869 Value Date: 24/12/2024"/>
        <s v="International Transaction Fee Value Date: 24/12/2024"/>
        <s v="SP TAMUZ SAMPLES BROOKLYN NY USA Card xx2869 USD 14.95 Value Date: 25/12/2024"/>
        <s v="BUNNINGS 388000 RYDALMERE AUS Card xx2869 Value Date: 24/12/2024"/>
        <s v="STAN.COM.AU"/>
        <s v="OPTUS BILLING AUTOPAY MACQUARIE PAR NS AUS Card xx2869 Value Date: 22/12/2024"/>
        <s v="Fast Transfer From MASOUMEH GHOLAMSHAHI Merry x-mass Rodean joon. Lots of lov..."/>
        <s v="LIQUORLAND 2822LIQUORL PARRAMATTA AU AUS Card xx2869 Value Date: 21/12/2024"/>
        <s v="Nextra on5 Parramatta AU"/>
        <s v="SPEEDWAY PARRAMATTA PARRAMATTA NSWAU"/>
        <s v="BEATPORT 720-974-9500 CO USA Card xx2869 AUD 3.40 Value Date: 19/12/2024"/>
        <s v="THE GOOD GUYS WEB STOR SOUTHBANK VI AUS Card xx2869 Value Date: 19/12/2024"/>
        <s v="BUPA HI P T PHI MELBOURNE VI AUS Card xx2869 Value Date: 19/12/2024"/>
        <s v="Transfer To Masoumeh Gholamshahi CommBank App flowers"/>
        <s v="Salary SERVAUPAYROLL 19554P 85920286"/>
        <s v="COLES 0887COLES 0887 PARRAMATTA AU AUS Card xx2869 Value Date: 14/12/2024"/>
        <s v="JOHNS QUALITY MEATS PA PARRAMATTA AU AUS Card xx2869 Value Date: 14/12/2024"/>
        <s v="Transfer To Masoumeh Gholamshahi CommBank App food"/>
        <s v="MCDONALDS DRUMMOYNE DRUMMOYNE NSWAU"/>
        <s v="UNIVERSAL IMPERIAL HOT ERSKINEVILLE AU Card xx2869 Value Date: 15/12/2024"/>
        <s v="UNIVERSAL IMPERIAL HOT ERSKINEVILLE AU Card xx2869"/>
        <s v="International Transaction Fee Value Date: 10/12/2024"/>
        <s v="OPENAI *CHATGPT SUBSCR SAN FRANCISCO CA USA Card xx2869 USD 22.00 Value Date: 11/12/2024"/>
        <s v="TRANSPORTFORNSW OPAL CHIPPENDALE AUS Card xx2869 Value Date: 10/12/2024"/>
        <s v="THE HUNTERS HILL HOTEL Hunters Hill AU AUS Card xx2869 Value Date: 07/12/2024"/>
        <s v="OPTUS BILLING AUTOPAY MACQUARIE PAR NS AUS Card xx2869 Value Date: 08/12/2024"/>
        <s v="Jaycar Lidcombe Lidcombe AU"/>
        <s v="International Transaction Fee Value Date: 02/12/2024"/>
        <s v="THE DAILY WIRE NASHVILLE TN USA Card xx2869 USD 14.99 Value Date: 02/12/2024"/>
        <s v="COLES 0887COLES 0887 PARRAMATTA AU AUS Card xx2869 Value Date: 03/12/2024"/>
        <s v="ORIGIN ENERGY BARANGAROO AUS Card xx2869 Value Date: 03/12/2024"/>
        <s v="Salary SERVAUPAYROLL 18572P 85920286"/>
        <s v="Return MANNYS Alexandria NS AUS Card xx2869 Value Date: 02/12/2024"/>
        <s v="Fast Transfer From MR H ROOZBEHANI Happy birthday Love from Dad"/>
        <s v="MANNYS Alexandria AU"/>
        <s v="AMAZON AU MARKETPLACE SYDNEY AUS Card xx2869 Value Date: 25/11/2024"/>
        <s v="CENTRE COM SUNSHINE PTY LAUBURN AU (wireless receiver for keyboard)"/>
        <s v="OPTUS BILLING AUTOPAY MACQUARIE PAR NS AUS Card xx2869 Value Date: 22/11/2024"/>
        <s v="AMAZON AU RETAIL SYDNEY AUS Card xx2869 Value Date: 22/11/2024"/>
        <s v="Fast Transfer From MR JULIEN DANIEL ROBY CREDIT TO ACCOUNT"/>
        <s v="Refund Purchase UBER* TRIP"/>
        <s v="UBER* TRIP"/>
        <s v="Ivy Level 1 Sydney AU"/>
        <s v="Angel Hotel Sydney AU"/>
        <s v="Transfer To Kieran Krohn CommBank App food"/>
        <s v="BUPA HI P T PHI MELBOURNE VI AUS Card xx2869 Value Date: 19/11/2024"/>
        <s v="TRANSPORTFORNSW OPAL CHIPPENDALE AUS Card xx2869 Value Date: 19/11/2024"/>
        <s v="Salary SERVAUPAYROLL 22063P 85920286"/>
        <s v="Direct Credit 002221 MCARE BENEFITS 950055691 AYWQ"/>
        <s v="LEVEL 5 HEALTH P/L PARRAMATTA NSWAU"/>
        <s v="Transfer to other Bank CommBank app Mortgage Payment"/>
        <s v="MANNYS MUSIC STORE Crows Nest AU"/>
        <s v="COLES 0887COLES 0887 PARRAMATTA AU AUS Card xx2869 Value Date: 14/11/2024"/>
        <s v="THE GUITAR FACTORY PARRAMATTA AU Card xx2869"/>
        <s v="Fast Transfer From JACK BOSENBERG to PayID Phone dinner Jack"/>
        <s v="Fast Transfer From CoinSpot CREDIT TO ACCOUNT Value Date: 15/11/2024"/>
        <s v="LINKT SYDNEY SYDNEY AUS Card xx2869 Value Date: 13/11/2024"/>
        <s v="International Transaction Fee Value Date: 10/11/2024"/>
        <s v="OPENAI *CHATGPT SUBSCR SAN FRANCISCO CA USA Card xx2869 USD 22.00 Value Date: 11/11/2024"/>
        <s v="MENZIES WORLD CARGO 2 MATRAVILLE AU AUS Card xx2869 Value Date: 09/11/2024"/>
        <s v="BUNNINGS 388000 RYDALMERE AUS Card xx2869 Value Date: 09/11/2024"/>
        <s v="Fast Transfer From AARON D'ABRUZZO Aaron Dinner Aaron Dinner"/>
        <s v="Fast Transfer From JOHN MINAI to PayID Phone Dinner"/>
        <s v="CrownHotel Parramatta Parramatta AU"/>
        <s v="VOLCANOS PARRAMATTA Parramatta AU"/>
        <s v="OPTUS BILLING AUTOPAY MACQUARIE PAR NS AUS Card xx2869 Value Date: 07/11/2024"/>
        <s v="Parramatta City Counci Parramatta NS AUS Card xx2869 Value Date: 06/11/2024"/>
        <s v="Transfer To Customs Cargo Administrator NetBank Clavinet Clearance"/>
        <s v="Transfer To ATX taxation and accounting CommBank App tax return"/>
        <s v="Salary SERVAUPAYROLL 19375P 85920286"/>
        <s v="WOOLWORTHS 1366 ERMINGTON NS AUS Card xx2869 Value Date: 02/11/2024"/>
        <s v="COLES 0887COLES 0887 PARRAMATTA AU AUS Card xx2869 Value Date: 02/11/2024"/>
        <s v="International Transaction Fee Value Date: 02/11/2024"/>
        <s v="THE DAILY WIRE NASHVILLE TN USA Card xx2869 USD 14.99 Value Date: 02/11/2024"/>
        <s v="ERMINGTON MEATS Ermington AU"/>
        <s v="Harveys Hot Sandwiches Parramatta AU AUS Card xx2869 Value Date: 31/10/2024"/>
        <s v="TRANSPORTFORNSW OPAL CHIPPENDALE AUS Card xx2869 Value Date: 29/10/2024"/>
        <s v="MAD MEX PARRAMATTA PARRAMATTA NSW AU Card xx2869"/>
        <s v="REVERB B.V. AMSTERDAM NL NLD Card xx2869 AUD 6630.76 Value Date: 28/10/2024"/>
        <s v="EG GROUP 1296 WEST RYDE NS AUS Card xx2869 Value Date: 26/10/2024"/>
        <s v="THE BALMAIN HOTEL Sydney AU AUS Card xx2869 Value Date: 26/10/2024"/>
        <s v="COLES 7663COLES 7663 PARRAMATTA AU AUS Card xx2869 Value Date: 27/10/2024"/>
        <s v="Zag Seafood Parramatta NS AUS Card xx2869 Value Date: 27/10/2024"/>
        <s v="CHEEKY BURGERS AND KEBABGNORTH PARR AU"/>
        <s v="Direct Credit 175029 ROOZBEHANI,RODEA Hohner Clavinet e7"/>
        <s v="MCDONALDS WESTMEAD NORTHMEAD NSWAU"/>
        <s v="COLES 7663COLES 7663 PARRAMATTA AU AUS Card xx2869 Value Date: 24/10/2024"/>
        <s v="Parramatta City Counci Parramatta NS AUS Card xx2869 Value Date: 23/10/2024"/>
        <s v="LS Bobble Tea Kingsgrove AU"/>
        <s v="ENTRADA PHARMACY PARRAMATTA NS AUS Card xx2869 Value Date: 23/10/2024"/>
        <s v="OPTUS BILLING AUTOPAY MACQUARIE PAR NS AUS Card xx2869 Value Date: 23/10/2024"/>
        <s v="MOSHTIX PTY LTD SYDNEY NS AUS Card xx2869 Value Date: 22/10/2024"/>
        <s v="Salary SERVAUPAYROLL 19523P 85920286"/>
        <s v="BUPA HI P T PHI MELBOURNE VI AUS Card xx2869 Value Date: 19/10/2024"/>
        <s v="ORIGIN ENERGY BARANGAROO AUS Card xx2869 Value Date: 19/10/2024"/>
        <s v="Return SIM CARDS, ESIM - SIM CENTRAL HO HKG Card xx2869 USD 17.90 Value Date: 20/10/2024"/>
        <s v="COLES 7663COLES 7663 PARRAMATTA AU AUS Card xx2869 Value Date: 20/10/2024"/>
        <s v="International Transaction Fee Value Date: 20/10/2024"/>
        <s v="SIM CARDS, ESIM - SIM CENTRAL HO HKG Card xx2869 USD 22.90 Value Date: 19/10/2024"/>
        <s v="JASIME AUBURN AUBURN NSW AU"/>
        <s v="International Transaction Fee Value Date: 10/10/2024"/>
        <s v="OPENAI *CHATGPT SUBSCR SAN FRANCISCO CA USA Card xx2869 USD 22.00 Value Date: 11/10/2024"/>
        <s v="DAN MURPHY'S 1968 PARAMATTA AU AUS Card xx2869 Value Date: 09/10/2024"/>
        <s v="COLES 0887COLES 0887 PARRAMATTA AU AUS Card xx2869 Value Date: 09/10/2024"/>
        <s v="OPTUS BILLING AUTOPAY MACQUARIE PAR NS AUS Card xx2869 Value Date: 09/10/2024"/>
        <s v="COLES 7663COLES 7663 PARRAMATTA AU AUS Card xx2869 Value Date: 08/10/2024"/>
        <s v="Salary SERVAUPAYROLL 19544P 85920286"/>
        <s v="TRANSPORTFORNSW OPAL CHIPPENDALE AUS Card xx2869 Value Date: 08/10/2024"/>
        <s v="DAN MURPHY'S 1968 PARAMATTA AU AUS Card xx2869 Value Date: 04/10/2024"/>
        <s v="COLES 0887COLES 0887 PARRAMATTA AU AUS Card xx2869 Value Date: 04/10/2024"/>
        <s v="International Transaction Fee Value Date: 05/10/2024"/>
        <s v="MIDJOURNEY INC. SOUTH SAN FRA CA USA Card xx2869 USD 11.00 Value Date: 05/10/2024"/>
        <s v="KOUZINA GRECO PARRAMATTA AU"/>
        <s v="Fast Transfer From JONATHAN OLIVER dinner dinner"/>
        <s v="Fast Transfer From THOMAS GILMOUR to PayID Phone Dinner"/>
        <s v="Fast Transfer From Louis Wayment Greek feast"/>
        <s v="COLES 7663COLES 7663 PARRAMATTA AU AUS Card xx2869 Value Date: 30/09/2024"/>
        <s v="Direct Debit 245164 HCFLIFE 057233969SEA47RQYT"/>
        <s v="WOOLWORTHS 1341 WEST RYDE AU AUS Card xx2869 Value Date: 27/09/2024"/>
        <s v="APPLE.COM/BILL SYDNEY NS AUS Card xx2869 Value Date: 28/09/2024"/>
        <s v="INK EVENT PTY LTD DUNDAS NSW AU Card xx2869"/>
        <s v="Fast Transfer From THOMAS GILMOUR to PayID Phone DJ + Uber. Thank you!"/>
        <s v="GM TAXIPAY MASCOT NSWAU"/>
        <s v="Pontoon Bar Sydney AU"/>
        <s v="GM TAXIPAY MASCOT NSWAU Value Date: 29/09/2024"/>
        <s v="Refund Purchase UBER *TRIP HELP.UBER.COM Value Date: 29/09/2024"/>
        <s v="UBER *TRIP HELP.UBER.COM Value Date: 29/09/2024"/>
        <s v="Salary SERVAUPAYROLL 19570P 85920286"/>
        <s v="OPTUS BILLING AUTOPAY MACQUARIE PAR NS AUS Card xx2869 Value Date: 22/09/2024"/>
        <s v="NAZAR BALYOS LAZAR PARRAMATTA NSWAU"/>
        <s v="COLES 7663COLES 7663 PARRAMATTA AU AUS Card xx2869 Value Date: 21/09/2024"/>
        <s v="COLES 0887COLES 0887 PARRAMATTA AU AUS Card xx2869 Value Date: 22/09/2024"/>
        <s v="BUPA HI P T PHI MELBOURNE VI AUS Card xx2869 Value Date: 19/09/2024"/>
        <s v="Mikazuki Riverside PARRAMATTA AU AUS Card xx2869 Value Date: 18/09/2024"/>
        <s v="TRANSPORTFORNSW OPAL CHIPPENDALE AUS Card xx2869 Value Date: 17/09/2024"/>
        <s v="COLES EXPRESS 1573COLE PARRAMATTA AU AUS Card xx2869 Value Date: 14/09/2024"/>
        <s v="Mikazuki Riverside PARRAMATTA AU AUS Card xx2869 Value Date: 14/09/2024"/>
        <s v="TOXTETH HOTEL GLEBE AU AUS Card xx2869 Value Date: 14/09/2024"/>
        <s v="SUPER CHEAP AUTO NORTH PARRAMA NS AUS Card xx2869 Value Date: 14/09/2024"/>
        <s v="Fast Transfer From KIERAN KROHN to PayID Phone Dinner"/>
        <s v="RJJ AND CO PTY LTD PARRAMATTA AU"/>
        <s v="PARRAMATTA WOOLPACK HO PARRAMATTA AU Card xx2869"/>
        <s v="COLES 0887COLES 0887 PARRAMATTA AU AUS Card xx2869 Value Date: 12/09/2024"/>
        <s v="International Transaction Fee Value Date: 10/09/2024"/>
        <s v="OPENAI *CHATGPT SUBSCR SAN FRANCISCO CA USA Card xx2869 USD 22.00 Value Date: 11/09/2024"/>
        <s v="Salary SERVAUPAYROLL 21504P 85920286"/>
        <s v="JOHNS QUALITY MEATS PA PARRAMATTA AU AUS Card xx2869 Value Date: 05/09/2024"/>
        <s v="MOSHTIX PTY LTD SYDNEY NS AUS Card xx2869 Value Date: 06/09/2024"/>
        <s v="OPTUS BILLING AUTOPAY MACQUARIE PAR NS AUS Card xx2869 Value Date: 07/09/2024"/>
        <s v="SQ *MOS: BAR 7 Rozelle AU"/>
        <s v="SQ *MOS: BAR 1 Sydney Olympi AU"/>
        <s v="Sackville Hotel Rozelle AU"/>
        <s v="V/CELLARS 3401 ABBOTSFORD AU"/>
        <s v="AMAZON AU MARKETPLACE SYDNEY AUS Card xx2869 Value Date: 31/08/2024"/>
        <s v="Direct Debit 245164 HCFLIFE 057233969SJC1B39O3"/>
        <s v="ORIGIN ENERGY CommBank app BPAY 130112 782593097036 elec bill"/>
        <s v="Fast Transfer From MASOUMEH GHOLAMSHAHI Electricity bill april to Sept 2024"/>
        <s v="UNITED RYDALMERE RYDALMERE AU"/>
        <s v="COLES 0887COLES 0887 PARRAMATTA AU AUS Card xx2869 Value Date: 29/08/2024"/>
        <s v="NRMA IVR SYDNEY NS AUS Card xx2869 Value Date: 29/08/2024"/>
        <s v="PEAK AUTOMOTIVE GROU NORTH PARRAMA NS AUS Card xx2869 Value Date: 29/08/2024"/>
        <s v="SERVICE NSW SYDNEY AUS Card xx2869 Value Date: 29/08/2024"/>
        <s v="APPLE.COM/BILL SYDNEY NS AUS Card xx2869 Value Date: 28/08/2024"/>
        <s v="COLES 0887COLES 0887 PARRAMATTA AU AUS Card xx2869 Value Date: 27/08/2024"/>
        <s v="CRYSTAL PARRAMATTA"/>
        <s v="Salary SERVAUPAYROLL 19351P 85920286"/>
        <s v="KEG AND BREW HOTEL SURRY HILLS NS AUS Card xx2869 Value Date: 25/08/2024"/>
        <s v="CITYOFSYDNEY PARKING SYDNEY AUS Card xx2869 Value Date: 25/08/2024"/>
        <s v="DAN MURPHY'S 1968 PARAMATTA AU AUS Card xx2869 Value Date: 24/08/2024"/>
        <s v="COLLECTOR HOTEL PARRAMATTA AU AUS Card xx2869 Value Date: 25/08/2024"/>
        <s v="UBER *EATS Sydney AU AUS Card xx2869 Value Date: 24/08/2024"/>
        <s v="CrownHotel Parramatta Parramatta AU Value Date: 25/08/2024"/>
        <s v="Fast Transfer From ELLA ROSE to PayID Phone Booze"/>
        <s v="Fast Transfer From MASOUMEH GHOLAMSHAHI After trip till get paid"/>
        <s v="Mikazuki Riverside PARRAMATTA AU AUS Card xx2869 Value Date: 22/08/2024"/>
        <s v="OPTUS BILLING AUTOPAY MACQUARIE PAR NS AUS Card xx2869 Value Date: 22/08/2024"/>
        <s v="Syd Aprt Intnl Carp50 Sydney NS AUS Card xx2869 Value Date: 22/08/2024"/>
        <s v="Royal Oak Hotel Parra Parramatta AU"/>
        <s v="International Transaction Fee Value Date: 20/08/2024"/>
        <s v="THE PLAYA VISTA LOS ANGELES CA USA Card xx2869 USD 12.00 Value Date: 21/08/2024"/>
        <s v="BP CONNECT 2644 ROSEHILL AU"/>
        <s v="International Transaction Fee Value Date: 19/08/2024"/>
        <s v="JFK EASTWARD CB 635111 JAMAICA NY USA Card xx2869 USD 6.50 Value Date: 19/08/2024"/>
        <s v="DD DOORDASH NENESTAQU 8559731040 CA USA Card xx2869 USD 76.33 Value Date: 19/08/2024"/>
        <s v="BUPA HI P T PHI MELBOURNE VI AUS Card xx2869 Value Date: 20/08/2024"/>
        <s v="International Transaction Fee Value Date: 18/08/2024"/>
        <s v="JFK JETBOX DD B20 6356 JAMAICA NY USA Card xx2869 USD 4.40 Value Date: 19/08/2024"/>
        <s v="WHEELHOUSE BUSHWICK BROOKLYN NY USA Card xx2869 USD 45.00 Value Date: 18/08/2024"/>
        <s v="UBER TRIP 8005928996 CA USA Card xx2869 USD 16.72 Value Date: 19/08/2024"/>
        <s v="UBER TRIP 8005928996 CA USA Card xx2869 USD 21.29 Value Date: 19/08/2024"/>
        <s v="UBER TRIP 8005928996 CA USA Card xx2869 USD 74.78 Value Date: 19/08/2024"/>
        <s v="International Transaction Fee Value Date: 15/08/2024"/>
        <s v="CURB NYC TAXI QUEENS NY USA Card xx2869 USD 26.40 Value Date: 15/08/2024"/>
        <s v="TST*IL CORALLO New York NY USA Card xx2869 USD 52.34 Value Date: 16/08/2024"/>
        <s v="MTA*NYCT PAYGO NEW YORK NY USA Card xx2869 USD 2.90 Value Date: 16/08/2024"/>
        <s v="J. CREW RETAIL #756 NEW YORK NY USA Card xx2869 USD 221.79 Value Date: 16/08/2024"/>
        <s v="International Transaction Fee Value Date: 14/08/2024"/>
        <s v="FAT BLACK PUSSYCAT NEW YORK NY USA Card xx2869 USD 36.31 Value Date: 15/08/2024"/>
        <s v="FAT BLACK PUSSYCAT NEW YORK NY USA Card xx2869 USD 35.31 Value Date: 15/08/2024"/>
        <s v="International Transaction Fee Value Date: 16/08/2024"/>
        <s v="MTA*NYCT PAYGO NEW YORK NY USA Card xx2869 USD 2.10 Value Date: 16/08/2024"/>
        <s v="International Transaction Fee Value Date: 17/08/2024"/>
        <s v="TST* ANALOGUE NEW YORK NY USA Card xx2869 USD 270.59 Value Date: 17/08/2024"/>
        <s v="Bumble help@bumble.com Dublin IR IRL Card xx2869 AUD 59.99 Value Date: 15/08/2024"/>
        <s v="LA VERA PIZZA NEW YORK NY USA Card xx2869 USD 34.41 Value Date: 17/08/2024"/>
        <s v="SQ *FATHER KNOWS BEST Brooklyn NY USA Card xx2869 USD 41.89 Value Date: 18/08/2024"/>
        <s v="UBER TRIP* TRIP SAN FRANCISCO CA USA Card xx2869 USD 9.40 Value Date: 18/08/2024"/>
        <s v="AT *MOMA NEW YORK NY USA Card xx2869 USD 60.00 Value Date: 18/08/2024"/>
        <s v="UBER TRIP 8005928996 CA USA Card xx2869 USD 16.11 Value Date: 18/08/2024"/>
        <s v="TST* RUSS &amp; DAUGHTERS NEW YORK NY USA Card xx2869 USD 37.29 Value Date: 15/08/2024"/>
        <s v="MRJ NEWSTAND NEW YORK NY USA Card xx2869 USD 4.00 Value Date: 15/08/2024"/>
        <s v="MTA*NYCT PAYGO NEW YORK NY USA Card xx2869 USD 2.90 Value Date: 15/08/2024"/>
        <s v="MTA*NYCT PAYGO NEW YORK NY USA Card xx2869 USD 2.90 Value Date: 14/08/2024"/>
        <s v="UBER TRIP 8005928996 CA USA Card xx2869 USD 14.46 Value Date: 15/08/2024"/>
        <s v="International Transaction Fee Value Date: 13/08/2024"/>
        <s v="THE VILLAGE UNDERGROUN NEW YORK NY USA Card xx2869 USD 100.10 Value Date: 14/08/2024"/>
        <s v="PRINCE ST. PIZZA NEW YORK NY USA Card xx2869 USD 19.69 Value Date: 14/08/2024"/>
        <s v="Duane Reade 14410 Brooklyn NY USA Card xx2869 AUD 18.66 Value Date: 14/08/2024"/>
        <s v="BROADWAY MINI MARKET D BROOKLYN NY USA Card xx2869 USD 2.08 Value Date: 14/08/2024"/>
        <s v="Bumble help@bumble.com Dublin IR IRL Card xx2869 AUD 24.99 Value Date: 13/08/2024"/>
        <s v="PDS IRISH PUB NEW YORK NY USA Card xx2869 USD 42.82 Value Date: 15/08/2024"/>
        <s v="MAXIMUM DEALS BROOKLYN NY USA Card xx2869 USD 7.60 Value Date: 14/08/2024"/>
        <s v="SOREIKU VINYARDS BROOKLYN NY USA Card xx2869 USD 76.19 Value Date: 14/08/2024"/>
        <s v="International Transaction Fee Value Date: 12/08/2024"/>
        <s v="NATURE MARKET 1 CORP BROOKLYN NY USA Card xx2869 USD 9.36 Value Date: 13/08/2024"/>
        <s v="NATURE MARKET 1 CORP BROOKLYN NY USA Card xx2869 USD 2.08 Value Date: 13/08/2024"/>
        <s v="SQ *L'INDUSTRIE PIZZER Brooklyn NY USA Card xx2869 USD 28.10 Value Date: 14/08/2024"/>
        <s v="UBER TRIP 8005928996 CA USA Card xx2869 USD 26.14 Value Date: 14/08/2024"/>
        <s v="International ATM Withdrawal Fee"/>
        <s v="Wdl ATM 556 7TH AVENUE NEW YORK NYUS USD21.69"/>
        <s v="MTA*NYCT PAYGO NEW YORK NY USA Card xx2869 USD 4.25 Value Date: 12/08/2024"/>
        <s v="MTA*NYCT PAYGO NEW YORK NY USA Card xx2869 USD 2.90 Value Date: 12/08/2024"/>
        <s v="HUDSONNEWS ST1176 JAMAICA NY USA Card xx2869 AUD 8.64 Value Date: 12/08/2024"/>
        <s v="WORLD FAMOUS DELI BROOKLYN NY USA Card xx2869 USD 9.88 Value Date: 12/08/2024"/>
        <s v="SQ *L'INDUSTRIE PIZZER Brooklyn NY USA Card xx2869 USD 32.12 Value Date: 14/08/2024"/>
        <s v="TST*DO OR DIVE Brooklyn NY USA Card xx2869 USD 34.80 Value Date: 13/08/2024"/>
        <s v="UBER TRIP 8005928996 CA USA Card xx2869 USD 15.07 Value Date: 13/08/2024"/>
        <s v="Salary SERVAUPAYROLL 19481P 85920286"/>
        <s v="International Transaction Fee Value Date: 08/08/2024"/>
        <s v="SQ *JOE'S CORNER Fremont CA USA Card xx2869 USD 69.41 Value Date: 09/08/2024"/>
        <s v="International Transaction Fee Value Date: 09/08/2024"/>
        <s v="EVERETT &amp; JONES BBQ IN OAKLAND CA USA Card xx2869 USD 238.03 Value Date: 10/08/2024"/>
        <s v="International Transaction Fee Value Date: 10/08/2024"/>
        <s v="OPENAI *CHATGPT SUBSCR SAN FRANCISCO CA USA Card xx2869 USD 22.00 Value Date: 11/08/2024"/>
        <s v="International Transaction Fee Value Date: 07/08/2024"/>
        <s v="TRADER JOE S #071 FAIR OAKS CA USA Card xx2869 USD 79.32 Value Date: 08/08/2024"/>
        <s v="International Transaction Fee Value Date: 06/08/2024"/>
        <s v="BEL AIR MART #511 CARMICHAEL CA USA Card xx2869 USD 38.84 Value Date: 07/08/2024"/>
        <s v="SHOGUN SUSHI - CARMICH CARMICHAEL CA USA Card xx2869 USD 53.37 Value Date: 07/08/2024"/>
        <s v="OPTUS BILLING AUTOPAY MACQUARIE PAR NS AUS Card xx2869 Value Date: 07/08/2024"/>
        <s v="UBER EATS 8005928996 CA USA Card xx2869 USD 65.61 Value Date: 06/08/2024"/>
        <s v="International Transaction Fee Value Date: 01/08/2024"/>
        <s v="TM *PATTON OSWALT 800-653-8000 CA USA Card xx2869 USD 124.70 Value Date: 01/08/2024"/>
        <s v="International Transaction Fee Value Date: 03/08/2024"/>
        <s v="UBER TRIP 8005928996 CA USA Card xx2869 USD 20.00 Value Date: 03/08/2024"/>
        <s v="UBER TRIP 8005928996 CA USA Card xx2869 USD 13.92 Value Date: 03/08/2024"/>
        <s v="MARINIS CANDIES ON THE SANTA CRUZ CA USA Card xx2869 USD 19.20 Value Date: 04/08/2024"/>
        <s v="International Transaction Fee Value Date: 02/08/2024"/>
        <s v="KOKKARI SAN FRANCISCO CA USA Card xx2869 USD 160.11 Value Date: 03/08/2024"/>
        <s v="COBBS COMEDY CLUB SAN FRANCISCO CA USA Card xx2869 USD 70.39 Value Date: 03/08/2024"/>
        <s v="THE MYSTERY SPOT SANTA CRUZ CA USA Card xx2869 USD 16.00 Value Date: 04/08/2024"/>
        <s v="SQ *MISSION HILL COFFE Santa Cruz CA USA Card xx2869 USD 7.00 Value Date: 04/08/2024"/>
        <s v="TST* APRIL JEAN SAN FRANCISCO CA USA Card xx2869 USD 12.06 Value Date: 03/08/2024"/>
        <s v="TST* BRENDA'S FRENCH S SAN FRANCISCO CA USA Card xx2869 USD 108.24 Value Date: 03/08/2024"/>
        <s v="UBER TRIP 8005928996 CA USA Card xx2869 USD 10.98 Value Date: 03/08/2024"/>
        <s v="PIZZA MY HEART SANTA CRUZ CA USA Card xx2869 USD 46.32 Value Date: 04/08/2024"/>
        <s v="SAFEWAY #2968 SAN JOSE CA USA Card xx2869 USD 11.39 Value Date: 04/08/2024"/>
        <s v="MVC PULSE SAN FRANCISC SAN FRANCISCO CA USA Card xx2869 USD 422.81 Value Date: 03/08/2024"/>
        <s v="International Transaction Fee Value Date: 31/07/2024"/>
        <s v="BART-CLIPPER UNION CIT UNION CITY CA USA Card xx2869 USD 20.00 Value Date: 01/08/2024"/>
        <s v="BEST COMEDY TICKETS UTRECHT UT NLD Card xx2869 USD 62.61 Value Date: 01/08/2024"/>
        <s v="Direct Debit 245164 HCFLIFE 057233969SYQ00I7IB"/>
        <s v="International Transaction Fee Value Date: 29/07/2024"/>
        <s v="MARINA FOODS UNION CITY CA USA Card xx2869 USD 36.88 Value Date: 30/07/2024"/>
        <s v="Salary SERVAUPAYROLL 20122P 85920286"/>
        <s v="International Transaction Fee Value Date: 27/07/2024"/>
        <s v="DELTA00622556915761 BRUSSELS BE BEL Card xx2869 USD 496.94 Value Date: 28/07/2024"/>
        <s v="APPLE.COM/BILL SYDNEY AU AUS Card xx2869 Value Date: 28/07/2024"/>
        <s v="International Transaction Fee Value Date: 25/07/2024"/>
        <s v="SQ *CANDY BARREL Sacramento CA USA Card xx2869 USD 18.66 Value Date: 26/07/2024"/>
        <s v="SQ *HALALZ FAST FOOD SACRAMENTO CA USA Card xx2869 USD 19.13 Value Date: 26/07/2024"/>
        <s v="International Transaction Fee Value Date: 26/07/2024"/>
        <s v="TST* URBAN ROOTS BREWE SACRAMENTO CA USA Card xx2869 USD 88.94 Value Date: 26/07/2024"/>
        <s v="CSJ SMART METERS SAN JOSE CA USA Card xx2869 USD 2.00 Value Date: 27/07/2024"/>
        <s v="CKE*IKES SAN JOSE DT S SAN JOSE CA USA Card xx2869 USD 25.85 Value Date: 27/07/2024"/>
        <s v="CHEVRON 0352574 HAYWARD CA USA Card xx2869 USD 46.06 Value Date: 27/07/2024"/>
        <s v="CHEVRON 0352574 HAYWARD CA USA Card xx2869 USD 3.69 Value Date: 27/07/2024"/>
        <s v="The Chefs' Olive Mix SACRAMENTO CA USA Card xx2869 USD 43.85 Value Date: 26/07/2024"/>
        <s v="SQ *OLD MISSION SAN JO Fremont CA USA Card xx2869 USD 10.00 Value Date: 27/07/2024"/>
        <s v="International Transaction Fee Value Date: 28/07/2024"/>
        <s v="AIRBNB * HM2KC8RW8T 415-800-5959 GB GBR Card xx2869 USD 1260.43 Value Date: 28/07/2024"/>
        <s v="THRIFTY #0072216 OAKLAND CA USA Card xx2869 USD 375.07 Value Date: 27/07/2024"/>
        <s v="Transfer from xx8675 CommBank app"/>
        <s v="International Transaction Fee Value Date: 23/07/2024"/>
        <s v="MARINA FOODS UNION CITY CA USA Card xx2869 USD 32.37 Value Date: 24/07/2024"/>
        <s v="CHEVRON 0091166 UNION CITY CA USA Card xx2869 USD 2.24 Value Date: 24/07/2024"/>
        <s v="OPTUS BILLING SERVICES MACQUARIE PAR NS AUS Card xx2869 Value Date: 24/07/2024"/>
        <s v="SAFEWAY #1197 UNION CITY CA USA Card xx2869 USD 86.97 Value Date: 24/07/2024"/>
        <s v="AMAZON MKTPL*RJ63T81E1 Amzn.com/bill WA USA Card xx2869 AUD 75.45 Value Date: 23/07/2024"/>
        <s v="OPTUS BILLING AUTOPAY MACQUARIE PAR NS AUS Card xx2869 Value Date: 23/07/2024"/>
        <s v="AMZN Mktp US*RJ8SZ2TK1 Amzn.com/bill WA USA Card xx2869 AUD 67.37 Value Date: 20/07/2024"/>
        <s v="OPTUS BILLING SERVICES MACQUARIE PAR NS AUS Card xx2869 Value Date: 19/07/2024"/>
        <s v="BUPA HI P T PHI MELBOURNE VI AUS Card xx2869 Value Date: 19/07/2024"/>
        <s v="International Transaction Fee Value Date: 19/07/2024"/>
        <s v="CHEVRON 0308033 DIXON CA USA Card xx2869 USD 2.99 Value Date: 20/07/2024"/>
        <s v="Bumble help@bumble.com Dublin IR IRL Card xx2869 AUD 59.99 Value Date: 16/07/2024"/>
        <s v="PIER C PHARMACY MASCOT NS AUS Card xx2869 Value Date: 16/07/2024"/>
        <s v="Google Feeld Meet Cou Barangaroo AU AUS Card xx2869 Value Date: 17/07/2024"/>
        <s v="STEAMGAMES.COM 4259522 BELLEVUE WA USA Card xx2869 AUD 29.50 Value Date: 15/07/2024"/>
        <s v="BUPA TRAVEL INSURANCE NORTH SYDNEY AUS Card xx2869 Value Date: 16/07/2024"/>
        <s v="Salary SERVAUPAYROLL 19510P 85920286"/>
        <s v="DAN MURPHY'S 1968 PARAMATTA AU AUS Card xx2869 Value Date: 15/07/2024"/>
        <s v="WOOLWORTHS 1070 NORTH PARRA AU AUS Card xx2869 Value Date: 15/07/2024"/>
        <s v="COLES 0887COLES 0887 PARRAMATTA AU AUS Card xx2869 Value Date: 15/07/2024"/>
        <s v="Return CATCH DOCKLANDS VI AUS Card xx2869 Value Date: 15/07/2024"/>
        <s v="MCDONALDS INT AIR II MASCOT NSWAU"/>
        <s v="TAM PH PTY LTD PARRAMATTA NSW AU Card xx2869"/>
        <s v="TARGET 5144TARGET 5144 PARRAMATTA AU AUS Card xx2869 Value Date: 13/07/2024"/>
        <s v="Parramatta City Counci Parramatta NS AUS Card xx2869 Value Date: 13/07/2024"/>
        <s v="TRANSPORTFORNSW OPAL CHIPPENDALE AUS Card xx2869 Value Date: 14/07/2024"/>
        <s v="Uniqlo Australia Pty Ltd Parramatta AU"/>
        <s v="PLINE PH PARRAMATTA PARRAMATTA NSWAU"/>
        <s v="SQ *BERLINER BAKERY Sydney AU"/>
        <s v="SQ *L'AMUSE BOUCHE Sydney AU"/>
        <s v="SQ *GUILTLESS The Rocks AU"/>
        <s v="SQ *G I GOURMET NUTS The Rocks AU"/>
        <s v="SQ *THE ONLINE DRINKS Sydney AU"/>
        <s v="HARRIS FARM MARKETS DRUMMOYNE AU"/>
        <s v="N LEONARDO PTY LTD PARRAMATTA AU"/>
        <s v="International Transaction Fee Value Date: 10/07/2024"/>
        <s v="OPENAI *CHATGPT SUBSCR SAN FRANCISCO CA USA Card xx2869 USD 22.00 Value Date: 11/07/2024"/>
        <s v="OPTUS BILLING AUTOPAY MACQUARIE PAR NS AUS Card xx2869 Value Date: 08/07/2024"/>
        <s v="CATCH DOCKLANDS VI AUS Card xx2869 Value Date: 09/07/2024"/>
        <s v="VICS MEAT MARKET PYRMONT NS AUS Card xx2869 Value Date: 07/07/2024"/>
        <s v="SYDNEY FISH MARKET PL PYRMONT AU Card xx2869"/>
        <s v="Salary SERVAUPAYROLL 20320P 85920286"/>
        <s v="JOHNS QUALITY MEATS PA PARRAMATTA AU AUS Card xx2869 Value Date: 27/06/2024"/>
        <s v="APPLE.COM/BILL SYDNEY NS AUS Card xx2869 Value Date: 28/06/2024"/>
        <s v="DidiChuxing DidiAU pen Sydney AU AUS Card xx2869 Value Date: 30/06/2024"/>
        <s v="Direct Debit 245164 HCFLIFE 057233969S06SKR9MU"/>
        <s v="SMP*Hydrolink Plumbin South Wentwor02 AU"/>
        <s v="Abercrombie Hotel Chippendale AU"/>
        <s v="Britannia Group Pty Lt Darlington AU"/>
        <s v="COLES 0887COLES 0887 PARRAMATTA AU AUS Card xx2869 Value Date: 26/06/2024"/>
        <s v="COLES 0887COLES 0887 PARRAMATTA AU AUS Card xx2869 Value Date: 24/06/2024"/>
        <s v="TRANSPORTFORNSW OPAL CHIPPENDALE AUS Card xx2869 Value Date: 25/06/2024"/>
        <s v="Transfer To 31social club mailbox CommBank App chocolate"/>
        <s v="OPTUS BILLING AUTOPAY MACQUARIE PAR NS AUS Card xx2869 Value Date: 22/06/2024"/>
        <s v="BUPA HI P T PHI MELBOURNE VI AUS Card xx2869 Value Date: 19/06/2024"/>
        <s v="SMP*Patisserie La Gal North Parrama02 AU"/>
        <s v="Salary SERVAUPAYROLL 20062P 85920286"/>
        <s v="KARAOKE WORLD Sydney AU AUS Card xx2869 Value Date: 15/06/2024"/>
        <s v="UBER *TRIP Sydney AU AUS Card xx2869 Value Date: 16/06/2024"/>
        <s v="Transfer To FIZZAH SALAHUDDIN PayID Phone from CommBank App koreanbbq"/>
        <s v="Transfer To FIZZAH SALAHUDDIN PayID Phone from CommBank App karaoke"/>
        <s v="COLES 0887 PARRAMATTA AU AUS Card xx2869 Value Date: 12/06/2024"/>
        <s v="International Transaction Fee Value Date: 10/06/2024"/>
        <s v="OPENAI *CHATGPT SUBSCR SAN FRANCISCO CA USA Card xx2869 USD 22.00 Value Date: 11/06/2024"/>
        <s v="Camy's Chargrill SH Surry Hills AU"/>
        <s v="OPTUS BILLING AUTOPAY MACQUARIE PAR NS AUS Card xx2869 Value Date: 07/06/2024"/>
        <s v="BUNNINGS GROUP LTD HAWTHORN EAST AUS Card xx2869 Value Date: 07/06/2024"/>
        <s v="Transfer To K BENNETT PayID Phone from CommBank App amirs food"/>
        <s v="COLES 0887 PARRAMATTA AU AUS Card xx2869 Value Date: 04/06/2024"/>
        <s v="TRANSPORTFORNSW OPAL CHIPPENDALE AUS Card xx2869 Value Date: 05/06/2024"/>
        <s v="Salary SERVAUPAYROLL 20030P 85920286"/>
        <s v="Fast Transfer From RAMTEAN ROOZBEHANI standzZZz"/>
        <s v="APEX WEST RYDE WEST RYDE NS AUS Card xx2869 Value Date: 02/06/2024"/>
        <s v="DD *DOORDASH BURGERSAN MELBOURNE VI AUS Card xx2869 Value Date: 02/06/2024"/>
        <s v="Direct Debit 245164 HCFLIFE 057233969SPAU77XA9"/>
        <s v="BUNNINGS 582000 GLADESVILLE AU"/>
        <s v="JOHNS QUALITY MEATS PA PARRAMATTA AU"/>
        <s v="WW METRO 1669 SURRY HILLS AU AUS Card xx2869 Value Date: 28/05/2024"/>
        <s v="Little Greece Parra Parramatta AU"/>
        <s v="Dick's Hotel Balmain Balmain AU"/>
        <s v="JOHNS QUALITY MEATS PA PARRAMATTA AU AUS Card xx2869 Value Date: 21/05/2024"/>
        <s v="OPTUS BILLING AUTOPAY MACQUARIE PAR NS AUS Card xx2869 Value Date: 22/05/2024"/>
        <s v="Direct Debit 002619 THE C&amp;PSU CPSU Membership"/>
        <s v="COLES 0887 PARRAMATTA AU AUS Card xx2869 Value Date: 21/05/2024"/>
        <s v="TRANSPORTFORNSW OPAL CHIPPENDALE AUS Card xx2869 Value Date: 22/05/2024"/>
        <s v="Salary SERVAUPAYROLL 19501P 85920286"/>
        <s v="COLES 0887 PARRAMATTA AU AUS Card xx2869 Value Date: 17/05/2024"/>
        <s v="BUNNINGS GROUP LTD HAWTHORN EAST AUS Card xx2869 Value Date: 18/05/2024"/>
        <s v="IKEA RHODES RHODES AU"/>
        <s v="PAYPAL *MAKE NOISE 4029357733 AU AUS Card xx2869 Value Date: 15/05/2024"/>
        <s v="Transfer To rodney mazik CommBank App dannys gift"/>
        <s v="ERGOX AUSTRALIA SEAFORD VI AUS Card xx2869 Value Date: 15/05/2024"/>
        <s v="Return BUNNINGS 388000 RYDALMERE AU Card xx2869"/>
        <s v="BUNNINGS 388000 RYDALMERE AU"/>
        <s v="DAN MURPHY'S 1968 PARAMATTA AU AUS Card xx2869 Value Date: 10/05/2024"/>
        <s v="OPTUS BILLING PAY MY B MACQUARIE PAR NS AUS Card xx2869 Value Date: 10/05/2024"/>
        <s v="IKEA PTY LTD TEmpe NS AUS Card xx2869 Value Date: 10/05/2024"/>
        <s v="APPLE R253 CHATSWOOD C CHATSWOOD NS AUS Card xx2869 Value Date: 11/05/2024"/>
        <s v="International Transaction Fee Value Date: 10/05/2024"/>
        <s v="CHATGPT SUBSCRIPTION SAN FRANCISCO CA USA Card xx2869 USD 22.00 Value Date: 11/05/2024"/>
        <s v="SOUNDS EASY ARTARMON NS AUS (Platform Desk) Card xx2869 Value Date: 12/05/2024"/>
        <s v="LINKT SYDNEY SYDNEY AUS Card xx2869 Value Date: 12/05/2024"/>
        <s v="THE JERKY CO NSW 1 PTY CHATSWOOD AU Card xx2869"/>
        <s v="MCDONALDS DT 0514 DRUMMOYNE NSWAU"/>
        <s v="Transfer To kieran krohn new CommBank App food"/>
        <s v="WW METRO 1669 SURRY HILLS AU AUS Card xx2869 Value Date: 07/05/2024"/>
        <s v="MANNYS Alexandria NS AUS Card xx2869 Value Date: 07/05/2024"/>
        <s v="TRANSPORTFORNSW OPAL CHIPPENDALE AUS Card xx2869 Value Date: 07/05/2024"/>
        <s v="Salary SERVAUPAYROLL 19395P 85920286"/>
        <s v="Direct Credit 245128 HCFHEALTH R57233969000622293"/>
        <s v="CHEMIST WAREHOUSE PARRAMATTA NS AUS Card xx2869 Value Date: 05/05/2024"/>
        <s v="GREEN FARM MEAT SYDNEY HARRIS PAR NSW AU Card xx2869"/>
        <s v="APEX WEST RYDE WEST RYDE AU"/>
        <s v="Direct Debit 245164 HCFHEALTHANDLIFE 057233969SE3CW8RE0"/>
        <s v="SQ *COFFEE ON MILLER North Sydney AU"/>
        <s v="POST NORTH SYDNEY-RET NS AU Card xx2869"/>
        <s v="EZI*CASH CONVERTERS. PERTH AU AUS Card xx2869 Value Date: 29/04/2024"/>
        <s v="AMAZON AU MARKETPLACE SYDNEY AUS Card xx2869 Value Date: 29/04/2024"/>
        <s v="COLES 0887 PARRAMATTA AU AUS Card xx2869 Value Date: 27/04/2024"/>
        <s v="eBay O*15-11491-24366 San Jose CA USA Card xx2869 AUD 48.93 Value Date: 27/04/2024"/>
        <s v="International Transaction Fee Value Date: 26/04/2024"/>
        <s v="EDITOR VST HANNOVER BE DEU Card xx2869 EUR 6.90 Value Date: 27/04/2024"/>
        <s v="CONTAINER NORTH PARR NTH PARRAMATTNSWAU"/>
        <s v="CITY OF PARRAMATTA PARRAMATTA NS AUS Card xx2869 Value Date: 24/04/2024"/>
        <s v="Return CITY OF PARRAMATTA PARRAMATTA NS AUS Card xx2869 Value Date: 24/04/2024"/>
        <s v="Wdl ATM ETX ALBION HOTEL PARRA PARRAMATTA AU"/>
        <s v="Albion Hotel Parramatta AU"/>
        <s v="CITY OF PARRAMATTA PARRAMATTA NS AUS Card xx2869 Value Date: 23/04/2024"/>
        <s v="TRANSPORTFORNSW OPAL CHIPPENDALE AUS Card xx2869 Value Date: 23/04/2024"/>
        <s v="ETERNAL HEALTH GROUP RYDE NS AUS Card xx2869 Value Date: 21/04/2024"/>
        <s v="LINKT SYDNEY SYDNEY AUS Card xx2869 Value Date: 22/04/2024"/>
        <s v="Salary SERVAUPAYROLL 19253P 85920286"/>
        <s v="Return CITY OF PARRAMATTA PARRAMATTA NS AUS Card xx2869 Value Date: 22/04/2024"/>
        <s v="CITY OF PARRAMATTA PARRAMATTA NS AUS Card xx2869 Value Date: 19/04/2024"/>
        <s v="Parramatta City Counci Parramatta NS AUS Card xx2869 Value Date: 19/04/2024"/>
        <s v="BEFORE YOU* BYB: 4/9 H"/>
        <s v="AMAZON AU MARKETPLACE SYDNEY AUS Card xx2869 Value Date: 18/04/2024"/>
        <s v="Telstra Direct Debit AUSTRALIA SA AUS Card xx2869 Value Date: 17/04/2024"/>
        <s v="GREAT NORTHERN OPERA CHATSWOOD NS AUS Card xx2869 Value Date: 14/04/2024"/>
        <s v="APEX WEST RYDE WEST RYDE NS AUS Card xx2869 Value Date: 13/04/2024"/>
        <s v="CHILLNGRILLINDIANCUISI BRISBANE QL AUS Card xx2869 Value Date: 13/04/2024"/>
        <s v="REBEL TOP RYDE TOP RYDE NS AUS Card xx2869 Value Date: 11/04/2024"/>
        <s v="LIQUORLAND 3414 ERMINGTON AU"/>
        <s v="BUNNINGS 594000 ARTARMON AU Card xx2869"/>
        <s v="Transfer To we move you australia CommBank App 4/9 henry st"/>
        <s v="7-ELEVEN 2048 DRUMMOYNE AU"/>
        <s v="International Transaction Fee Value Date: 10/04/2024"/>
        <s v="CHATGPT SUBSCRIPTION SAN FRANCISCO CA USA Card xx2869 USD 22.00 Value Date: 11/04/2024"/>
        <s v="BUPA HI P T PHI MELBOURNE VI AUS Card xx2869 Value Date: 11/04/2024"/>
        <s v="AMPOL RYDALMERE 28781F RYDALMERE AU Card xx2869"/>
        <s v="WE MOVE YOU"/>
        <s v="AMPOL RYDALMERE 28781F RYDALMERE AU"/>
        <s v="CHISWICK CELLARS CHISWICK AU Card xx2869"/>
        <s v="TRANSPORTFORNSW OPAL CHIPPENDALE AUS Card xx2869 Value Date: 10/04/2024"/>
        <s v="AMAZON AU MARKETPLACE SYDNEY AUS Card xx2869 Value Date: 09/04/2024"/>
        <s v="Transfer to CBA A/c NetBank R"/>
        <s v="Salary SERVAUPAYROLL 19494P 85920286"/>
        <s v="DD *DOORDASH MADMEX MELBOURNE VI AUS Card xx2869 Value Date: 06/04/2024"/>
        <s v="Microsoft*Microsoft 36 msbill.info AU AUS Card xx2869 Value Date: 06/04/2024"/>
        <s v="IGA DRUMMOYNE DRUMMOYNE AU Card xx2869"/>
        <s v="COLES 0849 DRUMMOYNE AU"/>
        <s v="IGA DRUMMOYNE DRUMMOYNE AU"/>
        <s v="Fast Transfer From H Roozbehani Home loan to my son H Roozbehani"/>
        <s v="DD *DOORDASH CHARGRILL MELBOURNE VI AUS Card xx2869 Value Date: 04/04/2024"/>
        <s v="ULTRA TUNE DRUMMOYNE AU Card xx2869"/>
        <s v="Wdl Branch DRUMMOYNE"/>
        <s v="Transfer to xx8675 CommBank app"/>
        <s v="Fast Transfer From H Roozbehani Home loan help my son Home loan"/>
        <s v="UBER *EATS Sydney AU AUS Card xx2869 Value Date: 28/03/2024"/>
        <s v="OXFORD HOTEL Drummoyne AU AUS Card xx2869 Value Date: 30/03/2024"/>
        <s v="DD *DOORDASH CHARGRILL MELBOURNE VI AUS Card xx2869 Value Date: 31/03/2024"/>
        <s v="UBER *EATS Sydney AU AUS Card xx2869 Value Date: 01/04/2024"/>
        <s v="Belong Melbourne AU AUS Card xx2869 Value Date: 01/04/2024"/>
        <s v="Direct Debit 245164 HCFHEALTHANDLIFE 057233969SNMGT6126"/>
        <s v="Subway Druitt St 60 Druitt St AU"/>
        <s v="Fast Transfer From H Roozbehani Home Loan help Home Loan"/>
        <s v="Transfer to other Bank NetBank Test Payment Value Date: 31/03/2024"/>
        <s v="Fast Transfer From H Roozbehani H Roozbehani Home loan"/>
        <s v="Fast Transfer From H Roozbehani Rodean unit Loan Home loan"/>
        <s v="Salary SERVAUPAYROLL 19301P 85920286"/>
        <s v="Wdl ATM ETX ANCIENT BRITON HTL GLEBE AU"/>
        <s v="DD *DOORDASH JAHANPERS MELBOURNE VI AUS Card xx2869 Value Date: 22/03/2024"/>
        <s v="DD *DOORDASH MONKEYKIN MELBOURNE VI AUS Card xx2869 Value Date: 22/03/2024"/>
        <s v="DD *DOORDASH CHARGRILL MELBOURNE VI AUS Card xx2869 Value Date: 23/03/2024"/>
        <s v="Homayoun Gift Fast Transfer From H Roozbehani New Property Home Loan"/>
        <s v="Bowan Island Drummoyn Drummoyne AU"/>
        <s v="Homayoun Gift Fast Transfer From H Roozbehani CREDIT TO ACCOUNT Home loan"/>
        <s v="DESTROS PHARMACY DRUMMOYNE NS AUS Card xx2869 Value Date: 20/03/2024"/>
        <s v="Telstra Direct Debit AUSTRALIA SA AUS Card xx2869 Value Date: 20/03/2024"/>
        <s v="Transfer to CBA A/c NetBank Internet"/>
        <s v="BURWOOD COUNCIL BURWOOD AU AUS Card xx2869 Value Date: 19/03/2024"/>
        <s v="DESTROS PHARMACY DRUMMOYNE NS AUS Card xx2869 Value Date: 19/03/2024"/>
        <s v="BUPA HI PTYLTD MELBOURNE AUS Card xx2869 Value Date: 19/03/2024"/>
        <s v="Transfer To Kieran Krohn CommBank App jeff mills + dinner"/>
        <s v="AMPOL FIVE DOCK 22529F FIVE DOCK AU Card xx2869"/>
        <s v="GM TAXIPAY MASCOT NS AUS Card xx2869 Value Date: 16/03/2024"/>
        <s v="DD *DOORDASH CREPESBYH MELBOURNE VI AUS Card xx2869 Value Date: 15/03/2024"/>
        <s v="DD *DOORDASH JAHANPERS MELBOURNE VI AUS Card xx2869 Value Date: 17/03/2024"/>
        <s v="OXFORD HOTEL DRUMMOYNE AU"/>
        <s v="Messina Martin Place Sydney AU"/>
        <s v="City Recital Hall Limi Sydney AU"/>
        <s v="John dahdah Transfer To J DAHDAH PayID Phone from CommBank App furniture"/>
        <s v="Refund Purchase Adobe"/>
        <s v="Adobe (upgrade + cancellation hack: Photoshop)"/>
        <s v="Adobe (upgrade + cancellation hack: Premier pro)"/>
        <s v="LIVESIGN* YOUR REFEREN"/>
        <s v="HARRIS FARM MARKETS DRUMMOYNE AU Card xx2869"/>
        <s v="Fast Transfer From Ms Katrina T Duncan CREDIT TO ACCOUNT kat dinner"/>
        <s v="John dahdah Wdl ATM CBA ATM DRUMMOYNE A NSW 215701 AUS - John Dadah"/>
        <s v="Transfer to xx6542 CommBank app"/>
        <s v="Transfer To Universal Real Estate Sales NetBank Rodean 5/4 Henry Street Parra..."/>
        <s v="Transfer from xx8675 NetBank deposit"/>
        <s v="GYG Five Dock Five Dock AU"/>
        <s v="Transfer to xx6542 NetBank deposit"/>
        <s v="Salary SERVAUPAYROLL 19212P 85920286"/>
        <s v="Nike Drummoyne Drummoyne AU AUS Card xx2869 Value Date: 11/03/2024"/>
        <s v="THE GOVERNOR HOTEL MACQUARIE PAR AU AUS Card xx2869 Value Date: 10/03/2024"/>
        <s v="International Transaction Fee Value Date: 10/03/2024"/>
        <s v="CHATGPT SUBSCRIPTION SAN FRANCISCO CA USA Card xx2869 USD 22.00 Value Date: 11/03/2024"/>
        <s v="7-ELEVEN 2048 DRUMMOYNE NS AUS Card xx2869 Value Date: 10/03/2024"/>
        <s v="UBER *EATS Sydney AU AUS Card xx2869 Value Date: 11/03/2024"/>
        <s v="TRANSPORTFORNSW OPAL CHIPPENDALE AUS Card xx2869 Value Date: 12/03/2024"/>
        <s v="UBER *EATS Sydney AU AUS Card xx2869 Value Date: 09/03/2024"/>
        <s v="Coogee Ground Coogee AU"/>
        <s v="Transfer To RAMTEAN ROOZBEHANI CommBank App food"/>
        <s v="Fast Transfer From RAMTEAN ROOZBEHANI loans"/>
        <s v="INNER WEST COUNCIL PETERSHAM AUS Card xx2869 Value Date: 06/03/2024"/>
        <s v="GM TAXIPAY MASCOT NS AUS Card xx2869 Value Date: 02/03/2024"/>
        <s v="Helm Bar &amp; Bistro Sydney NS AUS Card xx2869 Value Date: 01/03/2024"/>
        <s v="GM CABS PTY LTD MASCOT AUS Card xx2869 Value Date: 01/03/2024"/>
        <s v="7-ELEVEN 2048 DRUMMOYNE NS AUS Card xx2869 Value Date: 02/03/2024"/>
        <s v="UBER *EATS Sydney AU AUS Card xx2869 Value Date: 02/03/2024"/>
        <s v="Homayoun Gift Fast Transfer From H Roozbehani Home Loan Help Help to buy home from Dad"/>
        <s v="Hotel CBD Sydney AU"/>
        <s v="Direct Debit 245164 HCFHEALTHANDLIFE 057233969SYOOFSA2Z"/>
        <s v="IMAX Sydney SYDNEY NSW AU Card xx2869"/>
        <s v="HELM BAR"/>
        <s v="Credit Interest"/>
        <s v="Salary SERVAUPAYROLL 20051P 85920286"/>
        <s v="Transfer To Universal Real Estate Sales NetBank 4-9 Henry Street"/>
        <s v="Fast Transfer From RAMTEAN ROOZBEHANI repayoooyoyoyoyooyo"/>
        <s v="LITTLE JACK HORNER AUSTRALIA VI AUS Card xx2869 Value Date: 25/02/2024"/>
        <s v="DD *DOORDASH JAHANPERS MELBOURNE VI AUS Card xx2869 Value Date: 25/02/2024"/>
        <s v="MCDONALDS ROSEHILL ROSEHILL NSWAU"/>
        <s v="Adobe"/>
        <s v="BEFORE YOU* BID 4/9 HE"/>
        <s v="BEFORE YOU* BID 3015/1"/>
        <s v="SUSHI OTAKU SURRY HILLS AU AUS Card xx2869 Value Date: 20/02/2024"/>
        <s v="WW METRO 1669 SURRY HILLS AU AUS Card xx2869 Value Date: 20/02/2024"/>
        <s v="Subway Haymarket 449 Pitt StreAU"/>
        <s v="COLES 0849 DRUMMOYNE AU AUS Card xx2869 Value Date: 19/02/2024"/>
        <s v="TRANSPORTFORNSW OPAL CHIPPENDALE AUS Card xx2869 Value Date: 20/02/2024"/>
        <s v="Fast Transfer From RAMTEAN ROOZBEHANI monays"/>
        <s v="BEFORE YOU* BID 8/60 A"/>
        <s v="BEFORE YOU* BID 6107/1"/>
        <s v="BEFORE YOU* BID 709/1"/>
        <s v="Telstra Direct Debit AUSTRALIA SA AUS Card xx2869 Value Date: 14/02/2024"/>
        <s v="Salary SERVAUPAYROLL 19444P 85920286"/>
        <s v="DD *DOORDASH JASMIN1 MELBOURNE VI AUS Card xx2869 Value Date: 11/02/2024"/>
        <s v="GM TAXIPAY MASCOT NS AUS Card xx2869 Value Date: 10/02/2024"/>
        <s v="Transfer To RAMTEAN ROOZBEHANI CommBank App 4 u"/>
        <s v="BWS LIQUOR 1601 DRUMMOYNE AU AUS Card xx2869 Value Date: 09/02/2024"/>
        <s v="International Transaction Fee Value Date: 10/02/2024"/>
        <s v="CHATGPT SUBSCRIPTION SAN FRANCISCO CA USA Card xx2869 USD 22.00 Value Date: 11/02/2024"/>
        <s v="DD *DOORDASH JAHANPERS MELBOURNE VI AUS Card xx2869 Value Date: 11/02/2024"/>
        <s v="LINKT SYDNEY SYDNEY AUS Card xx2869 Value Date: 11/02/2024"/>
        <s v="TRANSPORTFORNSW OPAL CHIPPENDALE AUS Card xx2869 Value Date: 12/02/2024"/>
        <s v="COLES EXPRESS 1544 DRUMMOYNE AU"/>
        <s v="NEWTOWN HOTEL NEWTOWN AU Card xx2869"/>
        <s v="BEFORE YOU* BID 403/18"/>
        <s v="COFFEE EMPIRE CO PTY LTD PETERSHA NSW AU"/>
        <s v="Transfer To Peter Johnson CommBank App food"/>
        <s v="Return QANTAS NEW SOUTH WAL NS AUS Card xx2869 Value Date: 06/02/2024"/>
        <s v="QANTAS NEW SOUTH WAL NS AUS Card xx2869 Value Date: 05/02/2024"/>
        <s v="NRMA LTD SYDNEY OLYMPI NS AUS Card xx2869 Value Date: 05/02/2024"/>
        <s v="DYMOCKS ONLINE SYDNEY AUS Card xx2869 Value Date: 05/02/2024"/>
        <s v="QANTAS AIRWAYS LIMITED MASCOT AUS Card xx2869 Value Date: 05/02/2024"/>
        <s v="BEFORE YOU* BID 12/17 SYDNEY NS AUS Card xx2869 Value Date: 02/02/2024"/>
        <s v="BWS 1693 CROWS NEST AU AUS Card xx2869 Value Date: 03/02/2024"/>
        <s v="WW METRO 1669 SURRY HILLS AU AUS Card xx2869 Value Date: 31/01/2024"/>
        <s v="Wdl Branch DRUMMOYNE AUSJ1T9R9W8"/>
        <s v="Salary SERVAUPAYROLL 20130P 85920286"/>
        <s v="Direct Debit 245164 HCFHEALTHANDLIFE 057233969SLPMFMWTZ"/>
        <s v="Debit Excess Interest"/>
        <s v="Transfer to CBA A/c NetBank Rent"/>
        <s v="Transfer To RAMTEAN ROOZBEHANI CommBank App for grunt"/>
        <s v="TRANSPORTFORNSW OPAL CHIPPENDALE AUS Card xx2869 Value Date: 30/01/2024"/>
        <s v="Subway Druitt St 36214 2/60 Druitt SAU"/>
        <s v="GM CABS PTY LTD MASCOT AUS Card xx2869 Value Date: 27/01/2024"/>
        <s v="UBER* TRIP SYDNEY NS AUS Card xx2869 Value Date: 28/01/2024"/>
        <s v="OXFORD HOTEL Drummoyne AU AUS Card xx2869 Value Date: 25/01/2024"/>
        <s v="DD *DOORDASH FRIEDCHIC MELBOURNE VI AUS Card xx2869 Value Date: 26/01/2024"/>
        <s v="Direct Debit 507156 AustCancerResear AustCance_PS1DrNXB"/>
        <s v="UBER *EATS Sydney AU AUS Card xx2869 Value Date: 24/01/2024"/>
        <s v="Adobe Systems Pty Ltd Sydney AU AUS Card xx2869 Value Date: 23/01/2024"/>
        <s v="UBER* EATS SYDNEY NS AUS Card xx2869 Value Date: 19/01/2024"/>
        <s v="UBER *EATS Sydney AU AUS Card xx2869 Value Date: 21/01/2024"/>
        <s v="Stop ez Drummoyne AU"/>
        <s v="KOJIAOKI HOLDINGS PTY LTD SYDNEY NSW AU Card xx2869"/>
        <s v="AMAZON AU MARKETPLACE SYDNEY AUS Card xx2869 Value Date: 21/01/2024"/>
        <s v="BEFORE YOU* BID 6/39 H"/>
        <s v="Telstra Direct Debit AUSTRALIA SA AUS Card xx2869 Value Date: 17/01/2024"/>
        <s v="BEFORE YOU* BID 11/220"/>
        <s v="Salary SERVAUPAYROLL 20182P 85920286"/>
        <s v="Etsy.com*CarrsCreation Sydney AU AUS Card xx2869 Value Date: 16/01/2024"/>
        <s v="TRANSPORTFORNSW OPAL CHIPPENDALE AUS Card xx2869 Value Date: 16/01/2024"/>
        <s v="COLES 0849 DRUMMOYNE AU AUS Card xx2869 Value Date: 15/01/2024"/>
        <s v="OXFORD HOTEL Drummoyne AU AUS Card xx2869 Value Date: 12/01/2024"/>
        <s v="DD *DOORDASH FRIEDCHIC MELBOURNE VI AUS Card xx2869 Value Date: 14/01/2024"/>
        <s v="JACKS HAIRDRESSING SYDNEY NSW AU"/>
        <s v="STAGE.PELUSOMICROPHONE WILLIS VA USA Card xx2869 USD 229.25 Value Date: 11/01/2024"/>
        <s v="International Transaction Fee Value Date: 10/01/2024"/>
        <s v="CHATGPT SUBSCRIPTION SAN FRANCISCO CA USA Card xx2869 USD 22.00 Value Date: 11/01/2024"/>
        <s v="UNIVERSAL AUDIO SCOTTS VALLEY CA USA Card xx2869 USD 24.00 Value Date: 08/01/2024"/>
        <s v="UBER *EATS Sydney AU AUS Card xx2869 Value Date: 09/01/2024"/>
        <s v="International Transaction Fee Value Date: 08/01/2024"/>
        <s v="DEPOSIT CASH $415.00 CHEQUE $0.00 Branch DRUMMOYNE"/>
        <s v="Unpaid NetBank Payment Fee"/>
        <s v="Panda Birkenhead Pt Drummoyne NS AUS Card xx2869 Value Date: 06/01/2024"/>
        <s v="EAST SUSHI PTY LTD LEICHHARDT NS AUS Card xx2869 Value Date: 04/01/2024"/>
        <s v="DD *DOORDASH SAKURAONW MELBOURNE VI AUS Card xx2869 Value Date: 06/01/2024"/>
        <s v="DD *DOORDASH JASMIN1 MELBOURNE VI AUS Card xx2869 Value Date: 05/01/2024"/>
        <s v="BP CNNCT S/HLS0965 REDFERN NS AUS Card xx2869 Value Date: 04/01/2024"/>
        <s v="Transfer To Jonathan K Oliver CommBank App rent"/>
        <s v="UNIVERSAL AUDIO SCOTTS VALLEY CA USA Card xx2869 USD 24.00 Value Date: 04/01/2024"/>
        <s v="PALACE CINEMAS LEICHHARDT NS AUS Card xx2869 Value Date: 04/01/2024"/>
        <s v="International Transaction Fee Value Date: 03/01/2024"/>
        <s v="7-ELEVEN 2048 DRUMMOYNE NS AUS Card xx2869 Value Date: 03/01/2024"/>
        <s v="Salary SERVAUPAYROLL 18404P 85920286"/>
        <s v="DD *DOORDASH MCDONALDS MELBOURNE VI AUS Card xx2869 Value Date: 01/01/2024"/>
        <s v="Transfer from xx6542 CommBank app"/>
        <s v="Transfer To W JAIMES OCAMPO PayID Phone from CommBank App webcam"/>
        <s v="UNIVERSAL AUDIO SCOTTS VALLEY CA USA Card xx2869 USD 123.00 Value Date: 31/12/2023"/>
        <s v="Overdraw Fee For exceeding available funds on 02 Jan"/>
        <s v="International Transaction Fee Value Date: 30/12/2023"/>
        <s v="DD *DOORDASH JASMIN1 MELBOURNE VI AUS Card xx2869 Value Date: 30/12/2023"/>
        <s v="COLES 0849 DRUMMOYNE AU AUS Card xx2869 Value Date: 29/12/2023"/>
        <s v="BUNNINGS 582000 GLADESVILLE AU Card xx2869"/>
        <s v="BIG W 0117 RYDE NSW AU"/>
        <s v="Entertainment and Rec - Transfer To Amir Ehsani CommBank App nye platters, salad, dri..."/>
        <s v="Direct Debit 245164 HCFHEALTHANDLIFE 057233969SL6L5M3EB"/>
        <s v="AMAZON AU MARKETPLACE SYDNEY AUS Card xx2869 Value Date: 28/12/2023"/>
        <s v="Fast Transfer From JONATHAN OLIVER battery"/>
        <s v="ETERNAL HEALTH GROUP RYDE NS AUS Card xx2869 Value Date: 23/12/2023"/>
        <s v="EAST SUSHI PTY LTD LEICHHARDT NS AUS Card xx2869 Value Date: 23/12/2023"/>
        <s v="UBER *EATS Sydney AU AUS Card xx2869 Value Date: 23/12/2023"/>
        <s v="STATEWIDE APPLIANCE ADELAIDE SA AUS Card xx2869 Value Date: 26/12/2023 (LG Tone Earbud)"/>
        <s v="PA RYDE ISE SUPERMARK RYDE NS AUS Card xx2869 Value Date: 23/12/2023"/>
        <s v="BEATPORT 720-974-9500 CO USA Card xx2869 AUD 6.80 Value Date: 25/12/2023"/>
        <s v="Adobe Systems Pty Ltd Sydney AU AUS Card xx2869 Value Date: 23/12/2023"/>
        <s v="V/CELLARS 3673 LEICHHARDT AU"/>
        <s v="Refund Purchase BEFORE YOU* BID 32/21"/>
        <s v="Hestia &amp; Co Leichhardt AU"/>
        <s v="DD *DOORDASH JASMIN1 MELBOURNE VI AUS Card xx2869 Value Date: 21/12/2023"/>
        <s v="Fast Transfer From H Roozbehani Merry Christmas Happy new year Merry Christmas Happy new year"/>
        <s v="BEFORE YOU* BID 32/21"/>
        <s v="Salary SERVAUPAYROLL 20033P 85920286"/>
        <s v="COLES 0849 DRUMMOYNE AU AUS Card xx2869 Value Date: 18/12/2023"/>
        <s v="WOOLWORTHS 1339 RYDE AU AUS Card xx2869 Value Date: 16/12/2023"/>
        <s v="UBER *EATS Sydney AU AUS Card xx2869 Value Date: 15/12/2023"/>
        <s v="THE HUNTERS HILL HOTEL HUNTERS HILL AU AUS Card xx2869 Value Date: 14/12/2023"/>
        <s v="Telstra Direct Debit AUSTRALIA SA AUS Card xx2869 Value Date: 15/12/2023"/>
        <s v="KMART 1251 Top Ryde AU AUS Card xx2869 Value Date: 16/12/2023"/>
        <s v="RYANS BAR SYDNEY NS AUS Card xx2869 Value Date: 12/12/2023"/>
        <s v="Hilton Sydney SYDNEY NSW AU AUS Card xx2869 Value Date: 12/12/2023"/>
        <s v="13cabs Sydney ALEXANDRIA AU"/>
        <s v="RYANS BAR SYDNEY AU"/>
        <s v="DD *DOORDASH ILOVEPIZZ MELBOURNE VI AUS Card xx2869 Value Date: 08/12/2023"/>
        <s v="DD *DOORDASH BARITALIA MELBOURNE VI AUS Card xx2869 Value Date: 09/12/2023"/>
        <s v="7-ELEVEN 2224 GRANVILLE NS AUS Card xx2869 Value Date: 09/12/2023"/>
        <s v="OFFICEWORKS 0201 FIVE DOCK AU AUS Card xx2869 Value Date: 07/12/2023"/>
        <s v="OXFORD HOTEL Drummoyne AU AUS Card xx2869 Value Date: 05/12/2023"/>
        <s v="THE HUNTERS HILL HOTEL HUNTERS HILL AU AUS Card xx2869 Value Date: 04/12/2023"/>
        <s v="Salary SERVAUPAYROLL 20070P 85920286"/>
        <s v="AMAZON AU RETAIL SYDNEY AUS Card xx2869 Value Date: 01/12/2023"/>
        <s v="TRANSPORTFORNSW OPAL CHIPPENDALE AUS Card xx2869 Value Date: 03/12/2023"/>
        <s v="SMP*The Chefs Wife Bi Burwood AU AUS Card xx2869 Value Date: 02/12/2023"/>
        <s v="Panda Birkenhead Pt Drummoyne NS AUS Card xx2869 Value Date: 01/12/2023"/>
        <s v="Orient Hotel Sydney NS AUS Card xx2869 Value Date: 03/12/2023"/>
        <s v="GOOGLE*ADS8721882091 CC GOOGLE.COM AU AUS Card xx2869 Value Date: 02/12/2023"/>
        <s v="DD *DOORDASH JASMIN1 MELBOURNE VI AUS Card xx2869 Value Date: 02/12/2023"/>
        <s v="DD *DOORDASH DOSSENORI MELBOURNE VI AUS Card xx2869 Value Date: 01/12/2023"/>
        <s v="7-ELEVEN 2048 DRUMMOYNE NS AUS Card xx2869 Value Date: 02/12/2023"/>
        <s v="Fast Transfer From H Roozbehani Happy birthday Rodean jan Birthday present"/>
        <s v="UNIVERSAL AUDIO SCOTTS VALLEY CA USA Card xx2869 USD 99.00 Value Date: 30/11/2023"/>
        <s v="Overdraw Fee For exceeding available funds on 01 Dec"/>
        <s v="International Transaction Fee Value Date: 29/11/2023"/>
        <s v="Panda Birkenhead Pt Drummoyne NS AUS Card xx2869 Value Date: 29/11/2023"/>
        <s v="Fast Transfer From JONATHAN OLIVER lunch"/>
        <s v="Direct Debit 245164 HCFHEALTHANDLIFE 057233969S3FI4NQCD"/>
        <s v="Refund from CBA"/>
        <s v="PAPERBOY CONCORD CAFE Mortlake NS AUS Card xx2869 Value Date: 25/11/2023"/>
        <s v="ADOBE PS CREATIVE CLD Sydney AU AUS Card xx2869 Value Date: 24/11/2023"/>
        <s v="Transfer To Jonathan K Oliver CommBank App wine and frozen coffee"/>
        <s v="WW METRO 1669 SURRY HILLS AU AUS Card xx2869 Value Date: 22/11/2023"/>
        <s v="ADOBE PR CREATIVE CLD Sydney AU AUS Card xx2869 Value Date: 23/11/2023"/>
        <s v="WW METRO 1669 SURRY HILLS AU AUS Card xx2869 Value Date: 21/11/2023"/>
        <s v="Salary SERVAUPAYROLL 19221P 85920286"/>
        <s v="BAR TOSCA SYDNEY NS AUS Card xx2869 Value Date: 21/11/2023"/>
        <s v="Transfer To Michael De Laroche CommBank App hotel"/>
        <s v="ZLR*Amir Baulkham Hill AU"/>
        <s v="TRANSPORTFORNSW OPAL CHIPPENDALE AUS Card xx2869 Value Date: 21/11/2023"/>
        <s v="UBER *EATS Sydney AU AUS Card xx2869 Value Date: 19/11/2023"/>
        <s v="OAKS CYPRESS LAKES RES POKOLBIN NS AUS Card xx2869 Value Date: 18/11/2023"/>
        <s v="COLES 0849 DRUMMOYNE AU AUS Card xx2869 Value Date: 17/11/2023"/>
        <s v="ZLR*Bimbadgen - Cellar Pokolbin AU"/>
        <s v="Telstra Direct Debit AUSTRALIA SA AUS Card xx2869 Value Date: 16/11/2023"/>
        <s v="PVH HERIT BRANDS AU DRUMMOYNE NS AUS Card xx2869 Value Date: 16/11/2023"/>
        <s v="PETER JACKSON DRUMMOYNE NS AUS Card xx2869 Value Date: 16/11/2023"/>
        <s v="COLES 0849 DRUMMOYNE AU AUS Card xx2869 Value Date: 16/11/2023"/>
        <s v="Wdl ATM CBA ATM DRUMMOYNE B NSW 215702 AUS"/>
        <s v="THE WHITE BARN POKO POKOLBIN AU"/>
        <s v="NEWPORTO WYONG JILLIBY AU"/>
        <s v="COLES 0849 DRUMMOYNE AU AUS Card xx2869 Value Date: 13/11/2023"/>
        <s v="DD *DOORDASH BANGKOKTH MELBOURNE VI AUS Card xx2869 Value Date: 13/11/2023"/>
        <s v="UBER *EATS Sydney AU AUS Card xx2869 Value Date: 11/11/2023"/>
        <s v="UBER *EATS Sydney AU AUS Card xx2869 Value Date: 10/11/2023"/>
        <s v="Google ADS8721882091 Sydney AU AUS Card xx2869 Value Date: 11/11/2023"/>
        <s v="TRANSPORTFORNSW TAP SYDNEY AUS Card xx2869 Value Date: 09/11/2023"/>
        <s v="MLEKO PTY LTD SURRY HILLS NS AUS Card xx2869 Value Date: 08/11/2023"/>
        <s v="Salary SERVAUPAYROLL 19432P 85920286"/>
        <s v="Transfer To Jonathan K Oliver CommBank App rent addition for prior ..."/>
        <s v="WW METRO 1669 SURRY HILLS AU AUS Card xx2869 Value Date: 07/11/2023"/>
        <s v="COLES 0849 DRUMMOYNE AU AUS Card xx2869 Value Date: 06/11/2023"/>
        <s v="tzp*BYCFURNITURESTRADI AU SGP Card xx2869 AUD 341.09 Value Date: 03/11/2023"/>
        <s v="POST DRUMMOYNE-RET NS AU Card xx2869"/>
        <s v="WW METRO 1669 SURRY HILLS AU AUS Card xx2869 Value Date: 31/10/2023"/>
        <s v="TRANSPORTFORNSW OPAL CHIPPENDALE AUS Card xx2869 Value Date: 31/10/2023"/>
        <s v="Fast Transfer From Megan Cartwright Invoice RR243 Rodean Invoice RR243"/>
        <s v="Direct Debit 245164 HCFHEALTHANDLIFE 057233969SL5HD9Q9L"/>
        <s v="UBER *EATS Sydney AU AUS Card xx2869 Value Date: 29/10/2023"/>
        <s v="UBER *EATS Sydney AU AUS Card xx2869 Value Date: 27/10/2023"/>
        <s v="SMP*Ralph Lauren 7101 Drummoyne AU AUS Card xx2869 Value Date: 28/10/2023"/>
        <s v="LOUIE Coogee AU"/>
        <s v="Deli Fresh Cafe Homebush NS AUS Card xx2869 Value Date: 28/10/2023"/>
        <s v="BAR TOSCA SYDNEY AU"/>
        <s v="GLUE WORLD SQUARE SYDNEY AU"/>
        <s v="Fast Transfer From MASOUMEH GHOLAMSHAHI Payment for lllSl laptop purchase"/>
        <s v="DRUMMOYNE CAMERA HOUSE DRUMMOYNE NSW AU"/>
        <s v="Salary SERVAUPAYROLL 19475P 85920286"/>
        <s v="Bank Hotel Newtown AU"/>
        <s v="SDRO INFRNGMNT PAYME MAITLAND NS AUS Card xx2869 Value Date: 23/10/2023"/>
        <s v="Enmore Theatre Pty Lt Enmore AU"/>
        <s v="Transfer To Louis Wayment PayID Phone from CommBank App dumplings"/>
        <s v="Transfer To Louis Wayment CommBank App dumplings"/>
        <s v="Reversal Transfer To Louis Wayment Account closed"/>
        <s v="Panda Birkenhead Pt Drummoyne AU"/>
        <s v="Transfer To Jonathan K Oliver CommBank App sultans"/>
        <s v="WW METRO 1669 SURRY HILLS AU AUS Card xx2869 Value Date: 18/10/2023"/>
        <s v="Telstra Direct Debit AUSTRALIA SA AUS Card xx2869 Value Date: 18/10/2023"/>
        <s v="TRANSPORTFORNSW OPAL CHIPPENDALE AUS Card xx2869 Value Date: 18/10/2023"/>
        <s v="COLES 0849 DRUMMOYNE AU AUS Card xx2869 Value Date: 17/10/2023"/>
        <s v="Direct Credit 245133 HCF CASHBACK 57233969/L95454"/>
        <s v="UBER *EATS Sydney AU AUS Card xx2869 Value Date: 15/10/2023"/>
        <s v="UBER *EATS Sydney AU AUS Card xx2869 Value Date: 14/10/2023"/>
        <s v="SEOG KYU CHOI DRUMMOYNE NSW AU"/>
        <s v="PAYPAL *NEWMAGICAUS Sydney AU"/>
        <s v="Oxford Hotel DRUMMOYNE AU AUS Card xx2869 Value Date: 14/10/2023"/>
        <s v="SCORPTEC COMPUTERS MACQUARIE PARAU"/>
        <s v="Oxford Hotel DRUMMOYNE AU AUS Card xx2869 Value Date: 10/10/2023"/>
        <s v="Salary SERVAUPAYROLL 19311P 85920286"/>
        <s v="UNIVERSAL HOTELS GRO DARLINGHURST AUS Card xx2869 Value Date: 08/10/2023"/>
        <s v="UNIVERSAL HOTELS GRO DARLINGHURST AUS Card xx2869 Value Date: 07/10/2023"/>
        <s v="OXFORD TOBACCONIST P/L DARLINGHURST AU AUS Card xx2869 Value Date: 08/10/2023"/>
        <s v="GM CABS PTY LTD MASCOT NSWAU"/>
        <s v="ANKARA Darlinghurst AU"/>
        <s v="SCORPTEC COMPUTERS MACQUARIE PARAU Card xx2869"/>
        <s v="TRANSPORTFORNSW OPAL CHIPPENDALE AUS Card xx2869 Value Date: 04/10/2023"/>
        <s v="7-ELEVEN 2048 DRUMMOYNE NS AUS Card xx2869 Value Date: 03/10/2023"/>
        <s v="DEPOSIT CASH $100.00 CHEQUE $0.00 Branch 300 ELIZABETH ST SYDNEY"/>
        <s v="Bowan IslandDrummoyne Drummoyne NS AUS Card xx2869 Value Date: 02/10/2023"/>
        <s v="Transfer To Jonathan K Oliver NetBank Internet x 2 + Water Bill + E..."/>
        <s v="UBER *EATS Sydney AU AUS Card xx2869 Value Date: 30/09/2023"/>
        <s v="SP LOUIS CK COLUMBIA TN USA Card xx2869 USD 30.00 Value Date: 01/10/2023"/>
        <s v="International Transaction Fee Value Date: 30/09/2023"/>
        <s v="Direct Debit 245164 HCFHEALTHANDLIFE 057233969SLWQDPG5S"/>
        <s v="DidiChuxing DidiAU pen Sydney AU AUS Card xx2869 Value Date: 30/09/2023"/>
        <s v="BWS LIQUOR 1601 DRUMMOYNE AU AUS Card xx2869 Value Date: 30/09/2023"/>
        <s v="HOTEL GREENWOOD PTY LI NORTH SYDNEY AU Card xx2869"/>
        <s v="Transfer To RAMTEAN ROOZBEHANI CommBank App maccas"/>
        <s v="UBER *TRIP Sydney AU AUS Card xx2869 Value Date: 25/09/2023"/>
        <s v="MIDJOURNEY INC. SOUTH SAN FRA CA USA Card xx2869 USD 11.00 Value Date: 25/09/2023"/>
        <s v="International Transaction Fee Value Date: 24/09/2023"/>
        <s v="UBER *TRIP Sydney AU AUS Card xx2869 Value Date: 24/09/2023"/>
        <s v="UBER *TRIP Sydney AU AUS Card xx2869 Value Date: 23/09/2023"/>
        <s v="UBER *EATS Sydney AU AUS Card xx2869 Value Date: 24/09/2023"/>
        <s v="CHARGRILL CHARLIES Drummoyne NS AUS Card xx2869 Value Date: 22/09/2023"/>
        <s v="The Sporting Globe Sydney AU"/>
        <s v="7-ELEVEN 2048 DRUMMOYNE AU Cash Out $100.00"/>
        <s v="SP LOUIS CK COLUMBIA TN USA Card xx2869 USD 15.00 Value Date: 20/09/2023"/>
        <s v="International Transaction Fee Value Date: 20/09/2023"/>
        <s v="LIQUORLAND 3301 DRUMMOYNE AU"/>
        <s v="TRANSPORTFORNSW OPAL CHIPPENDALE AUS Card xx2869 Value Date: 19/09/2023"/>
        <s v="GM CABS PTY LTD MASCOT AUS Card xx2869 Value Date: 15/09/2023"/>
        <s v="WOOLLOOMOOLOO BAY WOOLLOOMOOLOO AU AUS Card xx2869 Value Date: 15/09/2023"/>
        <s v="UBER *TRIP Sydney AU AUS Card xx2869 Value Date: 16/09/2023"/>
        <s v="UBER *EATS Sydney AU AUS Card xx2869 Value Date: 17/09/2023"/>
        <s v="Sussudio Sydney Potts Point NS AUS Card xx2869 Value Date: 16/09/2023"/>
        <s v="CHARGRILL CHARLIES Drummoyne NS AUS Card xx2869 Value Date: 15/09/2023"/>
        <s v="MCDONALDS COOGEE COOGEE NSWAU"/>
        <s v="Coogee Bay Hotel Coogee AU"/>
        <s v="COLES 0849 DRUMMOYNE AU AUS Card xx2869 Value Date: 13/09/2023"/>
        <s v="TELSTRA BILL PAYMENT MELBOURNE AUS Card xx2869 Value Date: 13/09/2023"/>
        <s v="Salary SERVAUPAYROLL 19453P 85920286"/>
        <s v="Fast Transfer From JONATHAN OLIVER MPC 7/16 MPC 7/16"/>
        <s v="WOOLWORTHS 1188 BALMAIN AU AUS Card xx2869 Value Date: 11/09/2023"/>
        <s v="EB *BNC pres.Kasper Ko 801-413-7200 VI AUS Card xx2869 Value Date: 10/09/2023"/>
        <s v="Entertainment and Rec - Transfer To Dan P CommBank App rodean nuggets bucks"/>
        <s v="WOOLWORTHS 1188 BALMAIN AU AUS Card xx2869 Value Date: 09/09/2023"/>
        <s v="UBER *EATS Sydney AU AUS Card xx2869 Value Date: 10/09/2023"/>
        <s v="TRANSPORTFORNSW OPAL CHIPPENDALE AUS Card xx2869 Value Date: 11/09/2023"/>
        <s v="QE FOODSTORES BALMAIN NS AUS Card xx2869 Value Date: 08/09/2023"/>
        <s v="SQ *T1721 GM CABS Drummoyne AU"/>
        <s v="Ivy Pool Club Sydney AU"/>
        <s v="Transfer To RAMTEAN ROOZBEHANI CommBank App jji"/>
        <s v="Entertainment and Rec - Transfer To Jonathan K Oliver CommBank App nile rodgers"/>
        <s v="SMP*Fire and Food Aus Sydney02 AU"/>
        <s v="COLES 0849 DRUMMOYNE AU AUS Card xx2869 Value Date: 04/09/2023"/>
        <s v="PEACH AUDIO ANNANDALE NS AUS Card xx2869 Value Date: 01/09/2023"/>
        <s v="COLES EXPRESS 1617 DRUMMOYNE AU AUS Card xx2869 Value Date: 02/09/2023"/>
        <s v="SQ *EAT AT ROBS - DARL Rozelle AU"/>
        <s v="The Alexandria Hotel Alexandria AU"/>
        <s v="Overdraw Fee For exceeding available funds on 01 Sep"/>
        <s v="BREWDOG SOUTH EVELEIG Eveleigh AU"/>
        <s v="Transfer To Amir Ehsani CommBank App brewdog food n drinks"/>
        <s v="QE FOODSTORES BALMAIN AU"/>
        <s v="Direct Debit 245164 HCFHEALTHANDLIFE 057233969SCTQCEVGK"/>
        <s v="TRANSPORTFORNSW OPAL CHIPPENDALE AUS Card xx2869 Value Date: 30/08/2023"/>
        <s v="Salary SERVAUPAYROLL 19265P 85920286"/>
        <s v="Fast Transfer From JONATHAN OLIVER mpc 6/16"/>
        <s v="UBER *EATS Sydney AU AUS Card xx2869 Value Date: 26/08/2023"/>
        <s v="TRANSPORTFORNSW OPAL CHIPPENDALE AUS Card xx2869 Value Date: 28/08/2023"/>
        <s v="QE FOODSTORES BALMAIN NS AUS Card xx2869 Value Date: 25/08/2023"/>
        <s v="MIDJOURNEY INC. SOUTH SAN FRA CA USA Card xx2869 USD 11.00 Value Date: 25/08/2023"/>
        <s v="International Transaction Fee Value Date: 24/08/2023"/>
        <s v="Fast Transfer From JONATHAN OLIVER brownies"/>
        <s v="TRANSPORTFORNSW TAP SYDNEY AUS Card xx2869 Value Date: 25/08/2023"/>
        <s v="QE FOODSTORES BALMAIN NS AUS Card xx2869 Value Date: 23/08/2023"/>
        <s v="B AND C PHARMACY SERVI BALMAIN NS AUS Card xx2869 Value Date: 23/08/2023"/>
        <s v="Fast Transfer From JOSEPH SALLUSTIO Dinner"/>
        <s v="PA RYDE ISE SUPERMARK RYDE NS AUS Card xx2869 Value Date: 21/08/2023"/>
        <s v="UBER* EATS SYDNEY NS AUS Card xx2869 Value Date: 19/08/2023"/>
        <s v="UBER *EATS Sydney AU AUS Card xx2869 Value Date: 18/08/2023"/>
        <s v="Oxford Hotel DRUMMOYNE AU AUS Card xx2869 Value Date: 18/08/2023"/>
        <s v="BALMAIN THE CHAR PTY BALMAIN AUS Card xx2869 Value Date: 18/08/2023"/>
        <s v="TASTE BAGUETTE BALMA BALMAIN NS AUS Card xx2869 Value Date: 17/08/2023"/>
        <s v="Fast Transfer From JONATHAN OLIVER chinese food dinner"/>
        <s v="SERVICE NSW SYDNEY AUS Card xx2869 Value Date: 15/08/2023"/>
        <s v="UBER *EATS Sydney AU AUS Card xx2869 Value Date: 15/08/2023"/>
        <s v="Salary SERVAUPAYROLL 19584P 85920286"/>
        <s v="LALALS.COM ABU DHABI AZ ARE Card xx2869 USD 24.00 Value Date: 15/08/2023"/>
        <s v="International Transaction Fee Value Date: 15/08/2023"/>
        <s v="Fast Transfer From JONATHAN OLIVER Mpc 5/16 Mpc 5/16"/>
        <s v="PEACH AUDIO ANNANDALE NS AUS Card xx2869 Value Date: 14/08/2023"/>
        <s v="NRMA WEB SYDNEY NS AUS Card xx2869 Value Date: 14/08/2023"/>
        <s v="Dumplings &amp; Momo House Sydney AU"/>
        <s v="COLES EXPRESS 1617 DRUMMOYNE AU AUS Card xx2869 Value Date: 14/08/2023"/>
        <s v="THE LOOKOUT @ ECHO POI KATOOMBA AU Card xx2869"/>
        <s v="NATIVE INSTRUMENTS BERLIN BE DEU Card xx2869 AUD 1439.20 Value Date: 11/08/2023"/>
        <s v="LEURA GOURMET LEURA AU Card xx2869"/>
        <s v="Transfer to xx6542 CommBank app Value Date: 11/08/2023"/>
        <s v="Transfer from xx8675 CommBank app Value Date: 11/08/2023"/>
        <s v="Transfer To Jonathan K Oliver NetBank Lots of Bills"/>
        <s v="Rfnd O'Seas Transaction Value Date: 22/07/2023"/>
        <s v="Adjust Purchase ADJUSTMENT TO ACCOUNT Card xx2869 AUD 49.56 Value Date: 22/07/2023"/>
        <s v="Adjust Purchase ADJUSTMENT TO ACCOUNT Card xx2869 AUD 45.39 Value Date: 22/07/2023"/>
        <s v="Adjust Purchase ADJUSTMENT TO ACCOUNT Card xx2869 AUD 35.91 Value Date: 22/07/2023"/>
        <s v="Adjust Purchase ADJUSTMENT TO ACCOUNT Card xx2869 AUD 186.59 Value Date: 22/07/2023"/>
        <s v="Adjust Purchase ADJUSTMENT TO ACCOUNT Card xx2869 AUD 11.91 Value Date: 22/07/2023"/>
        <s v="Cardless Cash return food"/>
        <s v="Cardless Cash for collection food"/>
        <s v="Transfer to xx8675 CommBank app netbank saver"/>
        <s v="Salary SERVAUPAYROLL 21070P 85920286"/>
        <s v="Fast Transfer From JONATHAN OLIVER Mpc 4/16 mpc 4/16"/>
        <s v="Fast Transfer From ARASH NIKHOUSH Music Production"/>
        <s v="Transfer from xx6542 CommBank app netbank saver"/>
        <s v="Direct Debit 245164 HCFHEALTHANDLIFE 057233969SLG7YRD1F"/>
        <s v="Transfer To Masoumeh Gholamshahi CommBank App food - movies"/>
        <s v="Cardless Cash return food and stuff"/>
        <s v="Cardless Cash for collection stuff"/>
        <s v="Cardless Cash for collection food and stuff"/>
        <s v="UBER *TRIP HELP.UBER.COM NH NLD Card xx7126 EUR 7.20 Value Date: 22/07/2023"/>
        <s v="UBER *TRIP HELP.UBER.COM NH NLD Card xx7126 EUR 29.96 Value Date: 22/07/2023"/>
        <s v="UBER *TRIP HELP.UBER.COM NH NLD Card xx7126 EUR 27.44 Value Date: 22/07/2023"/>
        <s v="UBER *TRIP HELP.UBER.COM NH NLD Card xx7126 EUR 21.71 Value Date: 22/07/2023"/>
        <s v="MIDJOURNEY INC. SOUTH SAN FRA CA USA Card xx7126 USD 11.00 Value Date: 25/07/2023"/>
        <s v="International Transaction Fee Value Date: 24/07/2023"/>
        <s v="International Transaction Fee Value Date: 22/07/2023"/>
        <s v="BANDCAMP MEEM 402-935-7733 CA USA Card xx7126 AUD 15.00 Value Date: 22/07/2023"/>
        <s v="ARTURIA MONTBONNOT ST FR FRA Card xx7126 USD 74.00 Value Date: 22/07/2023"/>
        <s v="UBER *TRIP HELP.UBER.C Amsterdam NL NLD Card xx7126 EUR 112.80 Value Date: 22/07/2023"/>
        <s v="UBER *EATS Sydney AU AUS Card xx8188 Value Date: 20/07/2023"/>
        <s v="7-ELEVEN 2048 DRUMMOYNE NS AUS Card xx8188 Value Date: 19/07/2023"/>
        <s v="Salary SERVAUPAYROLL 19371P 85920286"/>
        <s v="IGA DRUMMOYNE DRUMMOYNE AU Card xx8188"/>
        <s v="Fast Transfer From JONATHAN OLIVER MPC 3/16 MPC 3/16"/>
        <s v="Telstra Direct Debit AUSTRALIA SA AUS Card xx8188 Value Date: 17/07/2023"/>
        <s v="HARRIS FARM MARKETS DRUMMOYNE AU Card xx8188"/>
        <s v="TRANSPORTFORNSW OPAL CHIPPENDALE AUS Card xx8188 Value Date: 11/07/2023"/>
        <s v="Fast Transfer From GEOFFREY COLLINS geoff geoff"/>
        <s v="Direct Credit 617702 PAYPAL AUSTRALIA 1028072139454"/>
        <s v="TRANSPORTFORNSW OPAL CHIPPENDALE AUS Card xx8188 Value Date: 05/07/2023"/>
        <s v="Salary SERVAUPAYROLL 20120P 85920286"/>
        <s v="Fast Transfer From JONATHAN OLIVER MPC 2/16 mpc 2/16"/>
        <s v="UBER* EATS SYDNEY NS AUS Card xx8188 Value Date: 30/06/2023"/>
        <s v="TRANSPORTFORNSW OPAL CHIPPENDALE AUS Card xx8188 Value Date: 03/07/2023"/>
        <s v="CKO*Patreon INTERNET AUS Card xx8188 Value Date: 01/07/2023"/>
        <s v="Direct Debit 245164 HCFHEALTHANDLIFE 057233969SM7IZH6UO"/>
        <s v="SDRO INFRNGMNT PAYME MAITLAND NS AUS Card xx8188 Value Date: 27/06/2023"/>
        <s v="Revolut**8052* Melbourne AU AUS Card xx8188 Value Date: 26/06/2023"/>
        <s v="UBER *EATS Sydney AU AUS Card xx8188 Value Date: 23/06/2023"/>
        <s v="MIDJOURNEY INC. SOUTH SAN FRA CA USA Card xx8188 USD 11.00 Value Date: 25/06/2023"/>
        <s v="International Transaction Fee Value Date: 24/06/2023"/>
        <s v="COLES 0849 DRUMMOYNE AU AUS Card xx8188 Value Date: 21/06/2023"/>
        <s v="Fast Transfer From JONATHAN OLIVER MPC 1/16 MPC 1/16"/>
        <s v="UBER *EATS Sydney AU AUS Card xx8188 Value Date: 19/06/2023"/>
        <s v="RISE BAKEHOUSE DRUMMOYNE AU"/>
        <s v="NIKAN RESTAURANT RYDE NSW AU"/>
        <s v="UBER *EATS Sydney AU AUS Card xx8188 Value Date: 16/06/2023"/>
        <s v="Telstra Direct Debit AUSTRALIA SA AUS Card xx8188 Value Date: 15/06/2023"/>
        <s v="SILVER SPOON BISTRO SURRY HILLS NS AUS Card xx8188 Value Date: 14/06/2023"/>
        <s v="BAR TOSCA SYDNEY NS AUS Card xx8188 Value Date: 13/06/2023"/>
        <s v="TRANSPORTFORNSW OPAL CHIPPENDALE AUS Card xx8188 Value Date: 13/06/2023"/>
        <s v="UBER *EATS Sydney AU AUS Card xx8188 Value Date: 11/06/2023"/>
        <s v="UBER *EATS Sydney AU AUS Card xx8188 Value Date: 07/06/2023"/>
        <s v="UBER *EATS Sydney AU AUS Card xx8188 Value Date: 06/06/2023"/>
        <s v="Refund from CBA Value Date: 07/06/2023"/>
        <s v="WW METRO 1669 SURRY HILLS AU AUS Card xx8188 Value Date: 05/06/2023"/>
        <s v="TRANSPORTFORNSW TAP SYDNEY AUS Card xx8188 Value Date: 06/06/2023"/>
        <s v="SUSHI OTAKU SURRY HILLS NS AUS Card xx8188 Value Date: 05/06/2023"/>
        <s v="UBER* EATS SYDNEY NS AUS Card xx8188 Value Date: 03/06/2023"/>
        <s v="CHARGRILL CHARLIES Drummoyne NS AUS Card xx8188 Value Date: 02/06/2023"/>
        <s v="SILVER SPOON BISTRO SURRY HILLS NS AUS Card xx8188 Value Date: 31/05/2023"/>
        <s v="Patreon* Membership INTERNET AUS Card xx8188 Value Date: 02/06/2023"/>
        <s v="Transfer To RAMTEAN ROOZBEHANI CommBank App for u"/>
        <s v="WW METRO 1669 SURRY HILLS AU AUS Card xx8188 Value Date: 31/05/2023"/>
        <s v="TRANSPORTFORNSW OPAL CHIPPENDALE AUS Card xx8188 Value Date: 31/05/2023"/>
        <s v="LINKT SYDNEY SYDNEY AUS Card xx8188 Value Date: 30/05/2023"/>
        <s v="Fast Transfer From JONATHAN OLIVER shopping"/>
        <s v="Direct Debit 245164 HCFHEALTHANDLIFE 057233969S3L4F3XB2"/>
        <s v="BAR TOSCA SYDNEY NS AUS Card xx8188 Value Date: 30/05/2023"/>
        <s v="SUSHI OTAKU SURRY HILLS NS AUS Card xx8188 Value Date: 29/05/2023"/>
        <s v="UBER *EATS Sydney AU AUS Card xx8188 Value Date: 28/05/2023"/>
        <s v="TRANSPORTFORNSW OPAL CHIPPENDALE AUS Card xx8188 Value Date: 29/05/2023"/>
        <s v="MIDJOURNEY INC. SOUTH SAN FRA CA USA Card xx8188 USD 11.00 Value Date: 25/05/2023"/>
        <s v="International Transaction Fee Value Date: 24/05/2023"/>
        <s v="Transfer To Jonathan K Oliver CommBank App food"/>
        <s v="WW METRO 1669 SURRY HILLS AU AUS Card xx8188 Value Date: 23/05/2023"/>
        <s v="Salary SERVAUPAYROLL 19545P 85920286"/>
        <s v="WW METRO 1669 SURRY HILLS AU AUS Card xx8188 Value Date: 22/05/2023"/>
        <s v="TRANSPORTFORNSW OPAL CHIPPENDALE AUS Card xx8188 Value Date: 23/05/2023"/>
        <s v="UBER *EATS Sydney AU AUS Card xx8188 Value Date: 19/05/2023"/>
        <s v="Photown Alexandria Alexandria AU"/>
        <s v="HUNTERS HILL COUNCIL HUNTERS HILL AU AUS Card xx8188 Value Date: 20/05/2023"/>
        <s v="DECKHOUSE CAFE WOOLWICH AU AUS Card xx8188 Value Date: 20/05/2023"/>
        <s v="TIMEZONE CHATSWOOD AU Card xx8188"/>
        <s v="Transfer To Jack Bosenberg CommBank App dinner"/>
        <s v="WW METRO 1669 SURRY HILLS AU AUS Card xx8188 Value Date: 16/05/2023"/>
        <s v="Telstra Direct Debit AUSTRALIA SA AUS Card xx8188 Value Date: 16/05/2023"/>
        <s v="WW METRO 1669 SURRY HILLS AU AUS Card xx8188 Value Date: 15/05/2023"/>
        <s v="TRANSPORTFORNSW OPAL CHIPPENDALE AUS Card xx8188 Value Date: 16/05/2023"/>
        <s v="UBER *EATS Sydney AU AUS Card xx8188 Value Date: 14/05/2023"/>
        <s v="Fast Transfer From BISHOP WARREN GRANT to PayID Phone RODEAN LUNCH"/>
        <s v="MALONEYS GROCER PTY SURRY HILLS AU Card xx8188"/>
        <s v="Fast Transfer From RAMTEAN ROOZBEHANI loanies"/>
        <s v="WW METRO 1669 SURRY HILLS AU AUS Card xx8188 Value Date: 10/05/2023"/>
        <s v="Salary SERVAUPAYROLL 20194P 85920286"/>
        <s v="TRANSPORTFORNSW OPAL CHIPPENDALE AUS Card xx8188 Value Date: 09/05/2023"/>
        <s v="CAFFE CHERRY BEANS-B DRUMMOYNE NS AUS Card xx8188 Value Date: 06/05/2023"/>
        <s v="7-ELEVEN 2270 ROZELLE NS AUS Card xx8188 Value Date: 06/05/2023"/>
        <s v="Moretti Ristorante Leichhardt AU"/>
        <s v="Jaycar Electronics Croydon AU - power supply fuse"/>
        <s v="Jaycar Electronics Croydon AU - cabling"/>
        <s v="Fast Transfer From MASOUMEH GHOLAMSHAHI With Thanks for Payment for tonight"/>
        <s v="Transfer To nick irving CommBank App ns10 - studio speaker / monitor"/>
        <s v="WW METRO 1669 SURRY HILLS AU AUS Card xx8188 Value Date: 03/05/2023"/>
        <s v="WW METRO 1669 SURRY HILLS AU AUS Card xx8188 Value Date: 02/05/2023"/>
        <s v="WW METRO 1669 SURRY HILLS AU AUS Card xx8188 Value Date: 01/05/2023"/>
        <s v="TRANSPORTFORNSW OPAL CHIPPENDALE AUS Card xx8188 Value Date: 02/05/2023"/>
        <s v="REVERB.COM LLC CHICAGO IL USA Card xx8188 USD 69.85 Value Date: 01/05/2023 - Fee for transaction"/>
        <s v="Patreon* Membership INTERNET AUS Card xx8188 Value Date: 02/05/2023"/>
        <s v="International Transaction Fee Value Date: 01/05/2023"/>
        <s v="UBER* EATS SYDNEY NS AUS Card xx8188 Value Date: 30/04/2023"/>
        <s v="SQ *TENTACIONES Surry Hills AU"/>
        <s v="Direct Debit 245164 HCFHEALTHANDLIFE 057233969SEFF4S089"/>
        <s v="Direct Debit 245164 HCFHEALTH 057233969SVTU3IEOI"/>
        <s v="Direct Credit 245127 HCFHEALTH 057233969SVTU3IEOI"/>
        <s v="SDRO INFRNGMNT PAYME MAITLAND NS AUS Card xx8188 Value Date: 26/04/2023"/>
        <s v="WW METRO 1669 SURRY HILLS AU AUS Card xx8188 Value Date: 26/04/2023"/>
        <s v="COLES 0849 DRUMMOYNE AU AUS Card xx8188 Value Date: 25/04/2023"/>
        <s v="UBER* EATS SYDNEY NS AUS Card xx8188 Value Date: 24/04/2023"/>
        <s v="TRANSPORTFORNSW OPAL CHIPPENDALE AUS Card xx8188 Value Date: 26/04/2023"/>
        <s v="Salary SERVAUPAYROLL 20533P 85920286"/>
        <s v="MIDJOURNEY INC. SOUTH SAN FRA CA USA Card xx8188 USD 11.00 Value Date: 25/04/2023"/>
        <s v="International Transaction Fee Value Date: 24/04/2023"/>
        <s v="UBER *EATS Sydney AU AUS Card xx8188 Value Date: 23/04/2023"/>
        <s v="UBER *EATS Sydney AU AUS Card xx8188 Value Date: 20/04/2023"/>
        <s v="WW METRO 1669 SURRY HILLS AU AUS Card xx8188 Value Date: 19/04/2023"/>
        <s v="Telstra Direct Debit AUSTRALIA SA AUS Card xx8188 Value Date: 19/04/2023"/>
        <s v="SILVER SPOON BISTRO SURRY HILLS NS AUS Card xx8188 Value Date: 18/04/2023"/>
        <s v="UBER *EATS Sydney AU AUS Card xx8188 Value Date: 17/04/2023"/>
        <s v="WW METRO 1669 SURRY HILLS AU AUS Card xx8188 Value Date: 17/04/2023"/>
        <s v="UBER *EATS Sydney AU AUS Card xx8188 Value Date: 16/04/2023"/>
        <s v="UBER *EATS Sydney AU AUS Card xx8188 Value Date: 15/04/2023"/>
        <s v="TRANSPORTFORNSW OPAL CHIPPENDALE AUS Card xx8188 Value Date: 17/04/2023"/>
        <s v="Menulog Pty Ltd Sydney AU AUS Card xx8188 Value Date: 15/04/2023"/>
        <s v="JAKEREEDMUSIC.COM SOUTH PASADEN CA USA Card xx8188 USD 50.00 Value Date: 15/04/2023"/>
        <s v="International Transaction Fee Value Date: 15/04/2023"/>
        <s v="Fast Transfer From JONATHAN OLIVER frappe"/>
        <s v="SILVER SPOON BISTRO SURRY HILLS NS AUS Card xx8188 Value Date: 12/04/2023"/>
        <s v="Salary SERVAUPAYROLL 20303P 85920286"/>
        <s v="COLES 0849 DRUMMOYNE AU AUS Card xx8188 Value Date: 11/04/2023"/>
        <s v="BAR TOSCA SYDNEY NS AUS Card xx8188 Value Date: 11/04/2023"/>
        <s v="WAVES INC 8659099200 TN USA Card xx8188 USD 32.99 Value Date: 07/04/2023"/>
        <s v="UBER *EATS Sydney AU AUS Card xx8188 Value Date: 10/04/2023"/>
        <s v="TRANSPORTFORNSW OPAL CHIPPENDALE AUS Card xx8188 Value Date: 11/04/2023"/>
        <s v="Microsoft*Subscription msbill.info AU AUS Card xx8188 Value Date: 06/04/2023"/>
        <s v="International Transaction Fee Value Date: 07/04/2023"/>
        <s v="BP ROSE BAY CENT 7750 ROSE BAY NS AUS Card xx8188 Value Date: 05/04/2023"/>
        <s v="COLES EXPRESS 1617 DRUMMOYNE AU"/>
        <s v="Transfer from ARASH NIKHOUSH Production"/>
        <s v="TRANSPORTFORNSW OPAL CHIPPENDALE AUS Card xx8188 Value Date: 04/04/2023"/>
        <s v="BAR TOSCA SYDNEY NS AUS Card xx8188 Value Date: 03/04/2023"/>
        <s v="Patreon* Membership INTERNET AUS Card xx8188 Value Date: 02/04/2023"/>
        <s v="AMAZON MARKETPLACE AU SYDNEY SOUTH NS AUS Card xx8188 Value Date: 31/03/2023"/>
        <s v="Direct Debit 245164 HCFHEALTHANDLIFE 057233969SZD6VADV1"/>
        <s v="JB HI FI SYDNEY CITY SYDNEY NS AUS Card xx8188 Value Date: 29/03/2023"/>
        <s v="Google YouTube Videos Pyrmont AU AUS Card xx8188 Value Date: 29/03/2023"/>
        <s v="BAR TOSCA SYDNEY NS AUS Card xx8188 Value Date: 29/03/2023"/>
        <s v="TRANSPORTFORNSW OPAL CHIPPENDALE AUS Card xx8188 Value Date: 29/03/2023"/>
        <s v="Salary SERVAUPAYROLL 21050P 85920286"/>
        <s v="LINKT SYDNEY SYDNEY AUS Card xx8188 Value Date: 28/03/2023"/>
        <s v="Fast Transfer From ARASH NIKHOUSH to PayID Phone Music Production"/>
        <s v="TRANSPORTFORNSW OPAL CHIPPENDALE AUS Card xx8188 Value Date: 27/03/2023"/>
        <s v="MIDJOURNEY INC. SOUTH SAN FRA CA USA Card xx8188 USD 11.00 Value Date: 25/03/2023"/>
        <s v="International Transaction Fee Value Date: 24/03/2023"/>
        <s v="SYDMOSA PTY LTD SURRY HILLS AU"/>
        <s v="TRANSPORTFORNSW OPAL CHIPPENDALE AUS Card xx8188 Value Date: 22/03/2023"/>
        <s v="BAR TOSCA SYDNEY NS AUS Card xx8188 Value Date: 22/03/2023"/>
        <s v="Telstra Direct Debit AUSTRALIA SA AUS Card xx8188 Value Date: 21/03/2023"/>
        <s v="Google YouTube Videos Pyrmont AU AUS Card xx8188 Value Date: 21/03/2023"/>
        <s v="COLES 0849 DRUMMOYNE AU AUS Card xx8188 Value Date: 20/03/2023"/>
        <s v="Google YouTube Videos Pyrmont AU AUS Card xx8188 Value Date: 20/03/2023"/>
        <s v="GM CABS PTY LTD MASCOT AUS Card xx8188 Value Date: 19/03/2023"/>
        <s v="UBER *EATS Sydney AU AUS Card xx8188 Value Date: 19/03/2023"/>
        <s v="Menulog Pty Ltd Sydney AU AUS Card xx8188 Value Date: 19/03/2023"/>
        <s v="Google YouTube Videos Pyrmont AU AUS Card xx8188 Value Date: 19/03/2023"/>
        <s v="Fast Transfer From JONATHAN OLIVER maccers"/>
        <s v="Wdl ATM CBA ATM DARLING PARK NSW 202891 AUS"/>
        <s v="WAVES INC 8659099200 TN USA Card xx8188 USD 84.68 Value Date: 16/03/2023"/>
        <s v="SQ *MOOM LIVING Pyrmont AU"/>
        <s v="RAYVEN PTY LTD SYDNEY NSW AU"/>
        <s v="International Transaction Fee Value Date: 15/03/2023"/>
        <s v="Fast Transfer From ARASH NIKHOUSH to PayID Phone Production Session2"/>
        <s v="BEATPORT 720-974-9500 CO USA Card xx8188 AUD 1.86 Value Date: 16/03/2023"/>
        <s v="TRANSPORTFORNSW OPAL CHIPPENDALE AUS Card xx8188 Value Date: 15/03/2023"/>
        <s v="Salary SERVAUPAYROLL 21131P 85920286"/>
        <s v="UBER* EATS SYDNEY NS AUS Card xx8188 Value Date: 10/03/2023"/>
        <s v="ROSE TURKISH GOZLEME HOUS DRUMMOY NSW AU Card xx8188"/>
        <s v="Fast Transfer From ARASH NIKHOUSH to PayID Phone S01"/>
        <s v="SILVER SPOON BISTRO SURRY HILLS NS AUS Card xx8188 Value Date: 07/03/2023"/>
        <s v="TRANSPORTFORNSW TAP SYDNEY AUS Card xx8188 Value Date: 02/03/2023"/>
        <s v="SUSHI OTAKU SURRY HILLS NS AUS Card xx8188 Value Date: 01/03/2023"/>
        <s v="Return SoundCloud Yearly Next Berlin DE DEU Card xx8188 AUD 145.00 Value Date: 01/03/2023"/>
        <s v="Patreon* Membership INTERNET AUS Card xx8188 Value Date: 02/03/2023"/>
        <s v="WW METRO 1669 SURRY HILLS AU AUS Card xx8188 Value Date: 01/03/2023"/>
        <s v="TRANSPORTFORNSW OPAL CHIPPENDALE AUS Card xx8188 Value Date: 01/03/2023"/>
        <s v="SILVER SPOON BISTRO SURRY HILLS NS AUS Card xx8188 Value Date: 27/02/2023"/>
        <s v="Salary SERVAUPAYROLL 21093P 85920286"/>
        <s v="Fast Transfer From RAMTEAN ROOZBEHANI loan back"/>
        <s v="Direct Debit 245164 HCFHEALTHANDLIFE 057233969SR6ZDNYTV"/>
        <s v="TRANSPORTFORNSW TAP SYDNEY AUS Card xx8188 Value Date: 26/02/2023"/>
        <s v="TRANSPORTFORNSW OPAL CHIPPENDALE AUS Card xx8188 Value Date: 27/02/2023"/>
        <s v="BWS LIQUOR 1601 DRUMMOYNE AU AUS Card xx8188 Value Date: 24/02/2023"/>
        <s v="7-ELEVEN 2048 DRUMMOYNE NS AUS Card xx8188 Value Date: 24/02/2023"/>
        <s v="UBER *EATS Sydney AU AUS Card xx8188 Value Date: 22/02/2023"/>
        <s v="SEOG KYU CHOI DRUMMOYNE NSW AU Card xx8188"/>
        <s v="Andiamo Tr Abbotsford Abbotsford NS AUS Card xx8188 Value Date: 23/02/2023"/>
        <s v="TRANSPORTFORNSW TAP SYDNEY AUS Card xx8188 Value Date: 21/02/2023"/>
        <s v="Fast Transfer From RAMTEAN ROOZBEHANI ramen"/>
        <s v="7-ELEVEN 2117 SYDNEY NS AUS Card xx8188 Value Date: 21/02/2023"/>
        <s v="UBER *TRIP Sydney AU AUS Card xx8188 Value Date: 17/02/2023"/>
        <s v="TRANSPORTFORNSW TAP SYDNEY AUS Card xx8188 Value Date: 18/02/2023"/>
        <s v="SoundCloud Yearly Next Berlin DE DEU Card xx8188 AUD 145.00 Value Date: 17/02/2023"/>
        <s v="COLES 0849 DRUMMOYNE AU AUS Card xx8188 Value Date: 18/02/2023"/>
        <s v="Transfer To Jonathan K Oliver CommBank App maccas"/>
        <s v="UBER* EATS SYDNEY NS AUS Card xx8188 Value Date: 16/02/2023"/>
        <s v="TRANSPORTFORNSW TAP SYDNEY AUS Card xx8188 Value Date: 17/02/2023"/>
        <s v="TRANSPORTFORNSW TAP SYDNEY AUS Card xx8188 Value Date: 16/02/2023"/>
        <s v="Torotoro Ramen Bar Barangaroo AU"/>
        <s v="Fast Transfer From GEOFFREY COLLINS geoff"/>
        <s v="TRANSPORTFORNSW TAP SYDNEY AUS Card xx8188 Value Date: 14/02/2023"/>
        <s v="Telstra Direct Debit AUSTRALIA SA AUS Card xx8188 Value Date: 14/02/2023"/>
        <s v="SILVER SPOON BISTRO SURRY HILLS NS AUS Card xx8188 Value Date: 13/02/2023"/>
        <s v="Salary SERVAUPAYROLL 21363P 85920286"/>
        <s v="Wdl ATM CBA ATM 300ELIZABETH C NSW 203303 AUS"/>
        <s v="MIDJOURNEY INC. SOUTH SAN FRA CA USA Card xx8188 USD 11.00 Value Date: 13/02/2023"/>
        <s v="International Transaction Fee Value Date: 13/02/2023"/>
        <s v="COLES 0849 DRUMMOYNE AU AUS Card xx8188 Value Date: 12/02/2023"/>
        <s v="UBER *TRIP Sydney AU AUS Card xx8188 Value Date: 11/02/2023"/>
        <s v="THE GREENS NORTH SYDNEY AU AUS Card xx8188 Value Date: 11/02/2023"/>
        <s v="ALH VENUES 8733 CROWS NEST AU AUS Card xx8188 Value Date: 11/02/2023"/>
        <s v="TRANSPORTFORNSW TAP SYDNEY AUS Card xx8188 Value Date: 09/02/2023"/>
        <s v="WWW.ALIEXPRESS.COM LONDON GB GBR Card xx8188 AUD 26.02 Value Date: 08/02/2023"/>
        <s v="TRANSPORTFORNSW TAP SYDNEY AUS Card xx8188 Value Date: 07/02/2023"/>
        <s v="BAR TOSCA SYDNEY NS AUS Card xx8188 Value Date: 08/02/2023"/>
        <s v="SILVER SPOON BISTRO SURRY HILLS NS AUS Card xx8188 Value Date: 06/02/2023"/>
        <s v="Fast Transfer From Megan Cartwright RR2301 contemplate mix master RR2301 TOE"/>
        <s v="COLES 0849 DRUMMOYNE AU AUS Card xx8188 Value Date: 06/02/2023"/>
        <s v="UBER *EATS Sydney AU AUS Card xx8188 Value Date: 02/02/2023"/>
        <s v="HARRIS FARM MARKETSQPS DRUMMOYNE AUS Card xx8188 Value Date: 04/02/2023"/>
        <s v="HARRIS FARM MARKETS DRUMMOYNE AUS Card xx8188 Value Date: 05/02/2023"/>
        <s v="Transfer To Jonathan K Oliver CommBank App elec bill"/>
        <s v="TRANSPORTFORNSW TAP SYDNEY AUS Card xx8188 Value Date: 02/02/2023"/>
        <s v="TRANSPORTFORNSW TAP SYDNEY AUS Card xx8188 Value Date: 01/02/2023"/>
        <s v="Patreon* Membership INTERNET AUS Card xx8188 Value Date: 02/02/2023"/>
        <s v="NRMA LTD SYDNEY OLYMPI NS AUS Card xx8188 Value Date: 01/02/2023"/>
        <s v="MV&amp;CO THE VIETASTEZ NSWNSW AUS Card xx8188 Value Date: 01/02/2023"/>
        <s v="JOANNE WILLIAMS PTY LIMIT DRUMMOY NSW AU"/>
        <s v="Direct Credit 002221 MCARE BENEFITS 494043223 CYWQ"/>
        <s v="Salary SERVAUPAYROLL 21430P 85920286"/>
        <s v="Transfer To Jonathan K Oliver CommBank App internet"/>
        <s v="TRANSPORTFORNSW TAP SYDNEY AUS Card xx8188 Value Date: 31/01/2023"/>
        <s v="PHOTOWN Alexandria NS AUS Card xx8188 Value Date: 30/01/2023"/>
        <s v="Direct Debit 245164 HCFHEALTHANDLIFE 057233969SR9PFLEM5"/>
        <s v="UBER* EATS SYDNEY NS AUS Card xx8188 Value Date: 27/01/2023"/>
        <s v="HARRIS FARM MARKETSQPS DRUMMOYNE AUS Card xx8188 Value Date: 28/01/2023"/>
        <s v="COLES 0849 DRUMMOYNE AU AUS Card xx8188 Value Date: 29/01/2023"/>
        <s v="Fast Transfer From Krohn K R Pizza"/>
        <s v="Fast Transfer From JONATHAN OLIVER pizza"/>
        <s v="UBER *EATS Sydney AU AUS Card xx8188 Value Date: 25/01/2023"/>
        <s v="TRANSPORTFORNSW TAP SYDNEY AUS Card xx8188 Value Date: 26/01/2023"/>
        <s v="TRANSPORTFORNSW TAP SYDNEY AUS Card xx8188 Value Date: 25/01/2023"/>
        <s v="HARRIS FARM MARKETSQPS DRUMMOYNE AUS Card xx8188 Value Date: 26/01/2023"/>
        <s v="CHEMIST WAREHOUSE SYDNEY NS AUS Card xx8188 Value Date: 25/01/2023"/>
        <s v="BAR TOSCA SYDNEY NS AUS Card xx8188 Value Date: 25/01/2023"/>
        <s v="WW METRO 1669 SURRY HILLS AU AUS Card xx8188 Value Date: 25/01/2023"/>
        <s v="APPLE.COM/BILL SYDNEY AU AUS Card xx8188 Value Date: 22/01/2023"/>
        <s v="THE VINTAGE RECORD ANNANDALE NS AUS Card xx8188 Value Date: 22/01/2023"/>
        <s v="HARRIS FARM MARKETSQPS DRUMMOYNE AUS Card xx8188 Value Date: 23/01/2023"/>
        <s v="COLES 0849 DRUMMOYNE AU AUS Card xx8188 Value Date: 22/01/2023"/>
        <s v="TRANSPORTFORNSW TAP SYDNEY AUS Card xx8188 Value Date: 20/01/2023"/>
        <s v="SMP*Fat Fish Annandal Annandale AU AUS Card xx8188 Value Date: 22/01/2023"/>
        <s v="Return DISTROKID.COM NEW YORK NY USA Card xx8188 USD 35.99 Value Date: 19/01/2023"/>
        <s v="Nike Drummoyne Drummoyne AU AUS Card xx8188 Value Date: 22/01/2023"/>
        <s v="ICC Sydney Sydney NS AUS Card xx8188 Value Date: 20/01/2023"/>
        <s v="HARRY JUICE &amp; CO PTY L DRUMMOYNE AUS Card xx8188 Value Date: 22/01/2023"/>
        <s v="HARRIS FARM MARKETSQPS DRUMMOYNE AUS Card xx8188 Value Date: 21/01/2023"/>
        <s v="COLES EXPRESS 1617 DRUMMOYNE AU AUS Card xx8188 Value Date: 21/01/2023"/>
        <s v="7-ELEVEN 2048 DRUMMOYNE NS AUS Card xx8188 Value Date: 21/01/2023"/>
        <s v="HARRY JUICE &amp; CO PTY L DRUMMOYNE AU Card xx8188"/>
        <s v="HARRIS FARM MARKETS DRUMMOYNE AUS Card xx8188 Value Date: 19/01/2023"/>
        <s v="BAR TOSCA SYDNEY NS AUS Card xx8188 Value Date: 19/01/2023"/>
        <s v="Transfer To Joseph Sallustio CommBank App succulent chinese meal"/>
        <s v="TRANSPORTFORNSW TAP SYDNEY AUS Card xx8188 Value Date: 18/01/2023"/>
        <s v="NOVOTEL DARLING SQR SYDNEY AU Card xx8188"/>
        <s v="Telstra Direct Debit AUSTRALIA SA AUS Card xx8188 Value Date: 17/01/2023"/>
        <s v="Salary SERVAUPAYROLL 21233P 85920286"/>
        <s v="International Transaction Fee Value Date: 17/01/2023"/>
        <s v="DISTROKID.COM NEW YORK NY USA Card xx8188 USD 35.99 Value Date: 17/01/2023"/>
        <s v="UNIVERSAL AUDIO 8314401176 CA USA Card xx8188 USD 124.00 Value Date: 16/01/2023"/>
        <s v="TRANSPORTFORNSW TAP SYDNEY AUS Card xx8188 Value Date: 17/01/2023"/>
        <s v="Return Audible Limited AU MELBOURNE AU AUS Card xx8188 Value Date: 16/01/2023"/>
        <s v="MV&amp;CO THE VIETASTEZ NSWNSW AUS Card xx8188 Value Date: 16/01/2023"/>
        <s v="International Transaction Fee Value Date: 15/01/2023"/>
        <s v="CEX PTY LTD PARRAMATTA NS AUS Card xx8188 Value Date: 16/01/2023"/>
        <s v="UBER* EATS SYDNEY NS AUS Card xx8188 Value Date: 14/01/2023"/>
        <s v="MIDJOURNEY INC. SOUTH SAN FRA CA USA Card xx8188 USD 11.00 Value Date: 13/01/2023"/>
        <s v="International Transaction Fee Value Date: 13/01/2023"/>
        <s v="HARRIS FARM MARKETSQPS DRUMMOYNE AUS Card xx8188 Value Date: 15/01/2023"/>
        <s v="DEPOSIT CASH $655.00 CHEQUE $0.00 Branch 300 ELIZABETH ST SYDNEY"/>
        <s v="DEPOSIT CASH $101.00 CHEQUE $0.00 Branch 300 ELIZABETH ST SYDNEY"/>
        <s v="COLES 0849 DRUMMOYNE AU AUS Card xx8188 Value Date: 15/01/2023"/>
        <s v="7-ELEVEN 2048 DRUMMOYNE NS AUS Card xx8188 Value Date: 13/01/2023"/>
        <s v="NASER PTY LIMITED SYDNEY AU"/>
        <s v="OEH KIRRAWEE NS AUS Card xx8188 Value Date: 12/01/2023"/>
        <s v="MIDJOURNEY INC. SOUTH SAN FRA CA USA Card xx8188 USD 20.00 Value Date: 11/01/2023"/>
        <s v="International Transaction Fee Value Date: 10/01/2023"/>
        <s v="IGA DRUMMOYNE QPS DRUMMOYNE AUS Card xx8188 Value Date: 11/01/2023"/>
        <s v="HARRIS FARM MARKETSQPS DRUMMOYNE AUS Card xx8188 Value Date: 11/01/2023"/>
        <s v="Audible Limited AU MELBOURNE AU AUS Card xx8188 Value Date: 10/01/2023"/>
        <s v="UBER *EATS Sydney AU AUS Card xx8188 Value Date: 08/01/2023"/>
        <s v="MIDJOURNEY INC. SOUTH SAN FRA CA USA Card xx8188 USD 4.00 Value Date: 06/01/2023"/>
        <s v="International Transaction Fee Value Date: 06/01/2023"/>
        <s v="International Transaction Fee Value Date: 05/01/2023"/>
        <s v="Da Vinci's Restaurant Summer Hill NS AUS Card xx8188 Value Date: 07/01/2023"/>
        <s v="UBER *EATS Sydney AU AUS Card xx8188 Value Date: 05/01/2023"/>
        <s v="SQ *FAIR TRADE AT THE Summer Hill AU"/>
        <s v="Return Netflix.com Melbourne VI AUS Card xx8188 Value Date: 05/01/2023"/>
        <s v="Return NETFLIX.COM Melbourne AU AUS Card xx8188 Value Date: 05/01/2023"/>
        <s v="Netflix.com Melbourne VI AUS Card xx8188 Value Date: 04/01/2023"/>
        <s v="ARC AT UNSW LTD KENSINGTON AU Card xx8188"/>
        <s v="Entertainment and Rec - Transfer To Jonathan K Oliver CommBank App folamour"/>
        <s v="Salary SERVAUPAYROLL 20071P 85920286"/>
        <s v="COLES 0849 DRUMMOYNE AU AUS Card xx8188 Value Date: 03/01/2023"/>
        <s v="UBER* EATS SYDNEY NS AUS Card xx8188 Value Date: 02/01/2023"/>
        <s v="UBER *EATS Sydney AU AUS Card xx8188 Value Date: 31/12/2022"/>
        <s v="UBER *EATS Sydney AU AUS Card xx8188 Value Date: 29/12/2022"/>
        <s v="SMP*Ralph Lauren 7101 Drummoyne AU AUS Card xx8188 Value Date: 31/12/2022"/>
        <s v="Patreon* Membership INTERNET AUS Card xx8188 Value Date: 02/01/2023"/>
        <s v="IGA DRUMMOYNE QPS DRUMMOYNE AUS Card xx8188 Value Date: 30/12/2022"/>
        <s v="HUGO BOSS Australia Drummoyne AU AUS Card xx8188 Value Date: 31/12/2022"/>
        <s v="HARRIS FARM MARKETS DRUMMOYNE AUS Card xx8188 Value Date: 30/12/2022"/>
        <s v="COLES 0849 DRUMMOYNE AU AUS Card xx8188 Value Date: 02/01/2023"/>
        <s v="APPLE.COM/BILL SYDNEY AU AUS Card xx8188 Value Date: 30/12/2022"/>
        <s v="ACADEMY BRAND - BIRKEN Rosebery AU AUS Card xx8188 Value Date: 31/12/2022"/>
        <s v="Gladesville Sporties Gladesville AU"/>
        <s v="Direct Debit 245164 HCFHEALTHANDLIFE 057233969S6GIUSC4R"/>
        <s v="UBER *EATS Sydney AU AUS Card xx8188 Value Date: 28/12/2022"/>
        <s v="NETFLIX.COM Melbourne AU AUS Card xx8188 Value Date: 29/12/2022"/>
        <s v="Return Netflix.com Melbourne VI AUS Card xx8188 Value Date: 28/12/2022"/>
        <s v="WWW.LALAL.AI ZUG DU CHE Card xx8188 USD 15.00 Value Date: 27/12/2022"/>
        <s v="UNIVERSAL AUDIO 8314401176 CA USA Card xx8188 USD 49.00 Value Date: 25/12/2022"/>
        <s v="UBER *EATS Sydney AU AUS Card xx8188 Value Date: 23/12/2022"/>
        <s v="UBER *EATS Sydney AU AUS Card xx8188 Value Date: 22/12/2022"/>
        <s v="MIDJOURNEY INC. SOUTH SAN FRA CA USA Card xx8188 USD 4.00 Value Date: 23/12/2022"/>
        <s v="LIQUORLAND 3301 DRUMMOYNE AU AUS Card xx8188 Value Date: 24/12/2022"/>
        <s v="International Transaction Fee Value Date: 26/12/2022"/>
        <s v="International Transaction Fee Value Date: 24/12/2022"/>
        <s v="International Transaction Fee Value Date: 23/12/2022"/>
        <s v="DRI*iZotope iZotope.com NS AUS Card xx8188 Value Date: 26/12/2022"/>
        <s v="DESTROS PHARMACY DRUMMOYNE NS AUS Card xx8188 Value Date: 26/12/2022"/>
        <s v="COLES 0849 DRUMMOYNE AU AUS Card xx8188 Value Date: 24/12/2022"/>
        <s v="Transfer To Jonathan K Oliver CommBank App cafe"/>
        <s v="UBER *EATS Sydney AU AUS Card xx8188 Value Date: 21/12/2022"/>
        <s v="Salary SERVAUPAYROLL 20403P 85920286"/>
        <s v="CHARGRILL CHARLIES Drummoyne NS AUS Card xx8188 Value Date: 20/12/2022"/>
        <s v="UBER *EATS Sydney AU AUS Card xx8188 Value Date: 19/12/2022"/>
        <s v="HAYDEN THEATRES CREMORNE AU Card xx8188"/>
        <s v="7-ELEVEN 2048 DRUMMOYNE NS AUS Card xx8188 Value Date: 18/12/2022"/>
        <s v="UBER* EATS SYDNEY NS AUS Card xx8188 Value Date: 17/12/2022"/>
        <s v="UBER *EATS Sydney AU AUS Card xx8188 Value Date: 18/12/2022"/>
        <s v="ROSE TURKISH GOZLEME H DRUMMOYNE AUS Card xx8188 Value Date: 16/12/2022"/>
        <s v="HARRY JUICE &amp; CO PTY L DRUMMOYNE AUS Card xx8188 Value Date: 16/12/2022"/>
        <s v="PRYDE MEATS RYDE AU Card xx8188"/>
        <s v="ETERNAL HEALTH GROUP RYDE NSWAU"/>
        <s v="Telstra Direct Debit AUSTRALIA SA AUS Card xx8188 Value Date: 15/12/2022"/>
        <s v="IGA DRUMMOYNE QPS DRUMMOYNE AUS Card xx8188 Value Date: 15/12/2022"/>
        <s v="TRANSPORTFORNSW TAP SYDNEY AUS Card xx8188 Value Date: 14/12/2022"/>
        <s v="SEOG KYU CHOI DRUMMOYNE AUS Card xx8188 Value Date: 14/12/2022"/>
        <s v="Transfer To Jonathan K Oliver CommBank App bills to date excl water"/>
        <s v="MIDJOURNEY INC. SAN FRANCISCO CA USA Card xx8188 USD 29.39 Value Date: 13/12/2022"/>
        <s v="International Transaction Fee Value Date: 13/12/2022"/>
        <s v="HARRIS FARM MARKETSQPS DRUMMOYNE AUS Card xx8188 Value Date: 13/12/2022"/>
        <s v="CHARGRILL CHARLIES Drummoyne NS AUS Card xx8188 Value Date: 13/12/2022"/>
        <s v="BWS LIQUOR 1601 DRUMMOYNE AU AUS Card xx8188 Value Date: 13/12/2022"/>
        <s v="7-ELEVEN 2048 DRUMMOYNE NS AUS Card xx8188 Value Date: 13/12/2022"/>
        <s v="TRANSPORTFORNSW TAP SYDNEY AUS Card xx8188 Value Date: 13/12/2022"/>
        <s v="GM CABS PTY LTD MASCOT AUS Card xx8188 Value Date: 10/12/2022"/>
        <s v="BAR TOSCA SYDNEY NS AUS Card xx8188 Value Date: 12/12/2022"/>
        <s v="UBER *TRIP Sydney AU AUS Card xx8188 Value Date: 11/12/2022"/>
        <s v="TRANSPORTFORNSW TAP SYDNEY AUS Card xx8188 Value Date: 11/12/2022"/>
        <s v="TRANSPORTFORNSW TAP SYDNEY AUS Card xx8188 Value Date: 10/12/2022"/>
        <s v="SEOG KYU CHOI DRUMMOYNE AUS Card xx8188 Value Date: 09/12/2022"/>
        <s v="Patreon* Membership INTERNET AUS Card xx8188 Value Date: 09/12/2022"/>
        <s v="OFFICEWORKS 0201 FIVE DOCK AU AUS Card xx8188 Value Date: 09/12/2022"/>
        <s v="MEGA LIMITED AUCKLAND NZL Card xx8188 EUR 4.99 Value Date: 09/12/2022"/>
        <s v="MCDONALDS DRUMMOYNE DRUMMOYNE AUS Card xx8188 Value Date: 08/12/2022"/>
        <s v="International Transaction Fee Value Date: 09/12/2022"/>
        <s v="TRANSPORTFORNSW TAP SYDNEY AUS Card xx8188 Value Date: 08/12/2022"/>
        <s v="PHOTOWN Alexandria NS AUS Card xx8188 Value Date: 08/12/2022"/>
        <s v="Transfer To Josh Hatfield CommBank App dinner"/>
        <s v="Netflix.com Melbourne VI AUS Card xx8188 Value Date: 08/12/2022"/>
        <s v="Fast Transfer From MASOUMEH GHOLAMSHAHI Happy Birthday Azizam Mum to U"/>
        <s v="SEOG KYU CHOI DRUMMOYNE AUS Card xx8188 Value Date: 06/12/2022"/>
        <s v="Salary SERVAUPAYROLL 21243P 85920286"/>
        <s v="DRI*iZotope iZotope.com NS AUS Card xx8188 Value Date: 05/12/2022"/>
        <s v="TRANSPORTFORNSW TAP SYDNEY AUS Card xx8188 Value Date: 06/12/2022"/>
        <s v="PHOTOWN Alexandria NS AUS Card xx8188 Value Date: 05/12/2022"/>
        <s v="7-ELEVEN 2118 CAMPERDOWN NS AUS Card xx8188 Value Date: 04/12/2022"/>
        <s v="UBER *EATS Sydney AU AUS Card xx8188 Value Date: 03/12/2022"/>
        <s v="UBER *EATS Sydney AU AUS Card xx8188 Value Date: 02/12/2022"/>
        <s v="Fast Transfer From H Roozbehani Happy birthday Homayoun"/>
        <s v="UNCLE TETSU AUSTRALI SYDNEY AU"/>
        <s v="Transfer To Warren Bishop CommBank App rodney gift"/>
        <s v="REVERB.COM LLC CHICAGO IL USA Card xx8188 USD 63.29 Value Date: 01/12/2022 - Fee for transaction"/>
        <s v="International Transaction Fee Value Date: 01/12/2022"/>
        <s v="Fast Transfer From JONATHAN OLIVER pizza pizza"/>
        <s v="BP EXPRESS 2241 WEST RYDE NS AUS Card xx8188 Value Date: 29/11/2022"/>
        <s v="Direct Debit 245164 HCFHEALTHANDLIFE 057233969SFC78AD9C"/>
        <s v="COLES 0849 DRUMMOYNE AU AUS Card xx8188 Value Date: 28/11/2022"/>
        <s v="Direct Credit 012721 ATO ATO007000017224616"/>
        <s v="Transfer To RAMTEAN ROOZBEHANI CommBank App email server"/>
        <s v="WWRD AUSTRALIA PTY LTD ARNDELL PARK NS AUS Card xx8188 Value Date: 25/11/2022"/>
        <s v="UNIVERSAL AUDIO 8314401176 CA USA Card xx8188 USD 99.00 Value Date: 25/11/2022"/>
        <s v="UNIVERSAL AUDIO 8314401176 CA USA Card xx8188 USD 399.00 Value Date: 25/11/2022"/>
        <s v="UBER* EATS SYDNEY NS AUS Card xx8188 Value Date: 27/11/2022"/>
        <s v="UBER* EATS SYDNEY NS AUS Card xx8188 Value Date: 26/11/2022"/>
        <s v="UBER *EATS Sydney AU AUS Card xx8188 Value Date: 25/11/2022"/>
        <s v="SCORPTEC COMPUTERS AUBURN AU Card xx8188 - Brateck Single Monitor Pole-Mounted Gas Spring Arm,"/>
        <s v="International Transaction Fee Value Date: 24/11/2022"/>
        <s v="DOORDASH*DOS SENORITAS MELBOURNE VI AUS Card xx8188 Value Date: 27/11/2022"/>
        <s v="7-ELEVEN 2048 DRUMMOYNE NS AUS Card xx8188 Value Date: 27/11/2022"/>
        <s v="Direct Credit 617702 PAYPAL AUSTRALIA 1023753557769 Roger Linn Linnstrument"/>
        <s v="Samsung Electronics AU Sydney AU AUS Card xx8188 Value Date: 23/11/2022 - Desktop monitor"/>
        <s v="7-ELEVEN 2048 DRUMMOYNE NS AUS Card xx8188 Value Date: 23/11/2022"/>
        <s v="Salary SERVAUPAYROLL 21515P 85920286"/>
        <s v="COLES 0849 DRUMMOYNE AU AUS Card xx8188 Value Date: 22/11/2022"/>
        <s v="UBER* EATS SYDNEY NS AUS Card xx8188 Value Date: 21/11/2022"/>
        <s v="OFFICEWORKS 0209 GLEBE AU AUS Card xx8188 Value Date: 21/11/2022"/>
        <s v="eBay O*05-09371-02454 San Jose CA USA Card xx8188 AUD 1558.69 Value Date: 21/11/2022 UAD DSP Octo Card"/>
        <s v="UBER* EATS SYDNEY NS AUS Card xx8188 Value Date: 20/11/2022"/>
        <s v="UBER* EATS SYDNEY NS AUS Card xx8188 Value Date: 18/11/2022"/>
        <s v="JAKEREEDMUSIC.COM SOUTH PASADEN CA USA Card xx8188 USD 30.00 Value Date: 19/11/2022"/>
        <s v="International Transaction Fee Value Date: 19/11/2022"/>
        <s v="DOORDASH*DOS SENORITAS MELBOURNE VI AUS Card xx8188 Value Date: 20/11/2022"/>
        <s v="DOORDASH*DOS SENORITAS MELBOURNE VI AUS Card xx8188 Value Date: 19/11/2022"/>
        <s v="Transfer To Jonathan K Oliver CommBank App frappe"/>
        <s v="UBER* EATS SYDNEY NS AUS Card xx8188 Value Date: 16/11/2022"/>
        <s v="DYMOCKS ONLINE SYDNEY AUS Card xx8188 Value Date: 18/11/2022"/>
        <s v="Bowan IslandDrummoyne Drummoyne NS AUS Card xx8188 Value Date: 17/11/2022"/>
        <s v="BELFIELD MUSIC PTY LTD BASS HILL NSW AU Card xx8188 - PKS7902 Support Arm Kit Suit"/>
        <s v="Transfer To Rodney Mazik PayID Phone from CommBank App for sue"/>
        <s v="Transfer To Jonathan K Oliver CommBank App macattack"/>
        <s v="TRANSPORTFORNSW TAP SYDNEY AUS Card xx8188 Value Date: 16/11/2022"/>
        <s v="TICKETEK PTY LTD WEB SYDNEY AUS Card xx8188 Value Date: 16/11/2022"/>
        <s v="Telstra Direct Debit AUSTRALIA SA AUS Card xx8188 Value Date: 16/11/2022"/>
        <s v="PHOTOWN Alexandria NS AUS Card xx8188 Value Date: 15/11/2022"/>
        <s v="JASMIN 1 LEICHHARDT LEICHHARDT NSWAU"/>
        <s v="eBay O*04-09345-39795 Sydney AU AUS Card xx8188 Value Date: 15/11/2022"/>
        <s v="UBER* EATS SYDNEY NS AUS Card xx8188 Value Date: 14/11/2022"/>
        <s v="UBER *EATS Sydney AU AUS Card xx8188 Value Date: 13/11/2022"/>
        <s v="SoundCloud Monthly Go Berlin DE DEU Card xx8188 AUD 5.99 Value Date: 14/11/2022"/>
        <s v="UBER* EATS SYDNEY NS AUS Card xx8188 Value Date: 11/11/2022"/>
        <s v="MIDJOURNEY INC. SAN FRANCISCO CA USA Card xx8188 USD 22.85 Value Date: 13/11/2022"/>
        <s v="International Transaction Fee Value Date: 13/11/2022"/>
        <s v="Fast Transfer From James Mitchell White to PayID Phone Payment 2/2 for Roland Jupiter 80 Keyboard (second hand sale)"/>
        <s v="COLES 0849 DRUMMOYNE AU AUS Card xx8188 Value Date: 12/11/2022"/>
        <s v="Fast Transfer From James Mitchell White to PayID Phone Payment 1/2 for Roland Jupiter 80 (second hand sale)"/>
        <s v="Transfer To Jonathan K Oliver CommBank App rio"/>
        <s v="TRANSPORTFORNSW TAP SYDNEY AUS Card xx8188 Value Date: 10/11/2022"/>
        <s v="CHARGRILL CHARLIES Drummoyne NS AUS Card xx8188 Value Date: 10/11/2022"/>
        <s v="TRANSPORTFORNSW TAP SYDNEY AUS Card xx8188 Value Date: 09/11/2022"/>
        <s v="AGR SERVICES PTY LTD SYDNEY NS AUS Card xx8188 Value Date: 08/11/2022"/>
        <s v="Salary SERVAUPAYROLL 20534P 85920286"/>
        <s v="MASSAGE LINK RYDE NS AUS Card xx8188 Value Date: 07/11/2022"/>
        <s v="HAPPYFIELD Haberfield NS AUS Card xx8188 Value Date: 07/11/2022"/>
        <s v="Crystal Carwash Cafe Haberfield NS AUS Card xx8188 Value Date: 07/11/2022"/>
        <s v="COLES 0849 DRUMMOYNE AU AUS Card xx8188 Value Date: 06/11/2022"/>
        <s v="7-ELEVEN 2048 DRUMMOYNE NS AUS Card xx8188 Value Date: 07/11/2022"/>
        <s v="UBER *EATS Sydney AU AUS Card xx8188 Value Date: 05/11/2022"/>
        <s v="Your Choice Pharmacy Haberfield AU"/>
        <s v="DAVID GOJAK'S MEATS HABERFIELD AU"/>
        <s v="TRANSPORTFORNSW TAP SYDNEY AUS Card xx8188 Value Date: 03/11/2022"/>
        <s v="TRANSPORTFORNSW TAP SYDNEY AUS Card xx8188 Value Date: 02/11/2022"/>
        <s v="Camy's Chargrill SH Surry Hills NS AUS Card xx8188 Value Date: 01/11/2022"/>
        <s v="TRANSPORTFORNSW TAP SYDNEY AUS Card xx8188 Value Date: 01/11/2022"/>
        <s v="SUSHI OTAKU SURRY HILLS NS AUS Card xx8188 Value Date: 31/10/2022"/>
        <s v="UBER *EATS Sydney AU AUS Card xx8188 Value Date: 29/10/2022"/>
        <s v="Direct Debit 245164 HCFHEALTHANDLIFE 057233969SY729ZIC9"/>
        <s v="COLES 0849 DRUMMOYNE AU AUS Card xx8188 Value Date: 30/10/2022"/>
        <s v="Transfer To Jonathan K Oliver CommBank App iou"/>
        <s v="Salary SERVAUPAYROLL 20424P 85920286"/>
        <s v="COLES 0849 DRUMMOYNE AU AUS Card xx8188 Value Date: 24/10/2022"/>
        <s v="TRANSPORTFORNSW TAP SYDNEY AUS Card xx8188 Value Date: 25/10/2022"/>
        <s v="BLACKWALL CAFE CHISWICK AU"/>
        <s v="Transfer To Jonathan K Oliver CommBank App food iou"/>
        <s v="Transfer To Jonathan K Oliver CommBank App weed"/>
        <s v="UBER *EATS Sydney AU AUS Card xx8188 Value Date: 23/10/2022"/>
        <s v="UBER *EATS Sydney AU AUS Card xx8188 Value Date: 22/10/2022"/>
        <s v="UBER *EATS Sydney AU AUS Card xx8188 Value Date: 20/10/2022"/>
        <s v="TRANSPORTFORNSW TAP SYDNEY AUS Card xx8188 Value Date: 24/10/2022"/>
        <s v="Fast Transfer From ZAHRA NOURI EMAMZADEH Zahra Braza"/>
        <s v="BRAZA CHURRASCARIA PTY SYDNEY AU Card xx8188"/>
        <s v="TRANSPORTFORNSW TAP SYDNEY AUS Card xx8188 Value Date: 20/10/2022"/>
        <s v="TRANSPORTFORNSW TAP SYDNEY AUS Card xx8188 Value Date: 19/10/2022"/>
        <s v="Telstra Direct Debit AUSTRALIA SA AUS Card xx8188 Value Date: 18/10/2022"/>
        <s v="COLES 0849 DRUMMOYNE AU AUS Card xx8188 Value Date: 18/10/2022"/>
        <s v="Syd Aprt Intnl Carp50 Sydney NS AUS Card xx8188 Value Date: 17/10/2022"/>
        <s v="Syd Aprt Dom Carp54 Sydney NS AUS Card xx8188 Value Date: 17/10/2022"/>
        <s v="SUSHI OTAKU SURRY HILLS NS AUS Card xx8188 Value Date: 18/10/2022"/>
        <s v="Fast Transfer From Krohn K R to PayID Phone Dinner legend"/>
        <s v="UBER *EATS Sydney AU AUS Card xx8188 Value Date: 17/10/2022"/>
        <s v="WWW.PACIFICCONCE* ME&amp;U THE ROCKS NS AUS Card xx8188 Value Date: 16/10/2022"/>
        <s v="UBER* EATS SYDNEY NS AUS Card xx8188 Value Date: 16/10/2022"/>
        <s v="UBER *EATS Sydney AU AUS Card xx8188 Value Date: 15/10/2022"/>
        <s v="UBER *EATS Sydney AU AUS Card xx8188 Value Date: 13/10/2022"/>
        <s v="TRANSPORTFORNSW TAP SYDNEY AUS Card xx8188 Value Date: 17/10/2022"/>
        <s v="SoundCloud Monthly Go Berlin DE DEU Card xx8188 AUD 5.99 Value Date: 15/10/2022"/>
        <s v="ROSE TURKISH GOZLEME H DRUMMOYNE AUS Card xx8188 Value Date: 14/10/2022"/>
        <s v="MANNYS Alexandria NS AUS Card xx8188 Value Date: 15/10/2022"/>
        <s v="HOKKA HOKKA DRUMMOYNE NS AUS Card xx8188 Value Date: 14/10/2022"/>
        <s v="COLES 0849 DRUMMOYNE AU AUS Card xx8188 Value Date: 14/10/2022"/>
        <s v="WINGHAUS GATEWAY Sydney AU"/>
        <s v="UBER *EATS Sydney AU AUS Card xx8188 Value Date: 12/10/2022"/>
        <s v="TRANSPORTFORNSW TAP SYDNEY AUS Card xx8188 Value Date: 13/10/2022"/>
        <s v="Return MIDJOURNEY INC. SAN FRANCISCO CA USA Card xx8188 USD 11.00 Value Date: 13/10/2022"/>
        <s v="MIDJOURNEY INC. SAN FRANCISCO CA USA Card xx8188 USD 11.00 Value Date: 13/10/2022"/>
        <s v="International Transaction Fee Value Date: 13/10/2022"/>
        <s v="TRANSPORTFORNSW TAP SYDNEY AUS Card xx8188 Value Date: 12/10/2022"/>
        <s v="PHOTOWN Alexandria NS AUS Card xx8188 Value Date: 12/10/2022"/>
        <s v="Salary SERVAUPAYROLL 20263P 85920286"/>
        <s v="TRANSPORTFORNSW TAP SYDNEY AUS Card xx8188 Value Date: 11/10/2022"/>
        <s v="DESTROS PHARMACY DRUMMOYNE NS AUS Card xx8188 Value Date: 08/10/2022"/>
        <s v="COLES 0849 DRUMMOYNE AU AUS Card xx8188 Value Date: 10/10/2022"/>
        <s v="UBER *TRIP Sydney AU AUS Card xx8188 Value Date: 09/10/2022"/>
        <s v="MIDJOURNEY INC. SAN FRANCISCO CA USA Card xx8188 USD 11.00 Value Date: 07/10/2022"/>
        <s v="International Transaction Fee Value Date: 06/10/2022"/>
        <s v="EG GROUP 1296 WEST RYDE AU AUS Card xx8188 Value Date: 08/10/2022"/>
        <s v="Wdl ATM ETX Odeon Plaza OS Drummoyne AU"/>
        <s v="UBER *EATS Sydney AU AUS Card xx8188 Value Date: 03/10/2022"/>
        <s v="TRANSPORTFORNSW TAP SYDNEY AUS Card xx8188 Value Date: 05/10/2022"/>
        <s v="COLES 0849 DRUMMOYNE AU AUS Card xx8188 Value Date: 04/10/2022"/>
        <s v="UBER *EATS Sydney AU AUS Card xx8188 Value Date: 01/10/2022"/>
        <s v="DOORDASH*OPORTO MELBOURNE VI AUS Card xx8188 Value Date: 02/10/2022"/>
        <s v="Direct Debit 245164 HCFHEALTHANDLIFE 057233969SKO0YSQOB"/>
        <s v="TRANSPORTFORNSW TAP SYDNEY AUS Card xx8188 Value Date: 28/09/2022"/>
        <s v="Salary SERVAUPAYROLL 20222P 85920286"/>
        <s v="BAR TOSCA SYDNEY NS AUS Card xx8188 Value Date: 27/09/2022"/>
        <s v="UBER *EATS Sydney AU AUS Card xx8188 Value Date: 25/09/2022"/>
        <s v="TRANSPORTFORNSW TAP SYDNEY AUS Card xx8188 Value Date: 27/09/2022"/>
        <s v="SUBWAY HAYMARKET SYDNEY NS AUS Card xx8188 Value Date: 26/09/2022"/>
        <s v="PHOTOWN Alexandria NS AUS Card xx8188 Value Date: 26/09/2022"/>
        <s v="GM CABS PTY LTD MASCOT AUS Card xx8188 Value Date: 25/09/2022"/>
        <s v="UBER *TRIP Sydney AU AUS Card xx8188 Value Date: 24/09/2022"/>
        <s v="SMP*Ralph Lauren 7101 Drummoyne AU AUS Card xx8188 Value Date: 24/09/2022"/>
        <s v="Return No account or incorrect account no Kris Gusti Johns Bucks Value Date: 26/09/2022"/>
        <s v="IGA ABBOTSFORD WAREEMBA AU Card xx8188"/>
        <s v="Fast Transfer From KRISTOFER GUSTI Payback"/>
        <s v="Entertainment and Rec - Transfer To Kris Gusti CommBank App johns bucks"/>
        <s v="Entertainment and Rec - Transfer To Kris Gusti CommBank App entertainment"/>
        <s v="Transfer To Alex Grierson CommBank App dinner"/>
        <s v="Surly's Surry Hills AU"/>
        <s v="PICTON KARTING TRACK PICTON NSWAU"/>
        <s v="MCDONALDS CROYDON PRK CROYDON PARK NSWAU"/>
        <s v="LIQUOR ON OXFORD DARLINGHURST AU Card xx8188"/>
        <s v="Transfer to other Bank NetBank Johns Bucks"/>
        <s v="COLES 0849 DRUMMOYNE AU AUS Card xx8188 Value Date: 19/09/2022"/>
        <s v="UBER *EATS Sydney AU AUS Card xx8188 Value Date: 18/09/2022"/>
        <s v="SoundCloud Monthly Go Berlin DE DEU Card xx8188 AUD 5.99 Value Date: 15/09/2022"/>
        <s v="TRANSPORTFORNSW TAP SYDNEY AUS Card xx8188 Value Date: 15/09/2022"/>
        <s v="Telstra Direct Debit AUSTRALIA SA AUS Card xx8188 Value Date: 14/09/2022"/>
        <s v="BAR TOSCA SYDNEY NS AUS Card xx8188 Value Date: 14/09/2022"/>
        <s v="TRANSPORTFORNSW TAP SYDNEY AUS Card xx8188 Value Date: 14/09/2022"/>
        <s v="SUSHI OTAKU SURRY HILLS NS AUS Card xx8188 Value Date: 13/09/2022"/>
        <s v="COLES 0849 DRUMMOYNE AU AUS Card xx8188 Value Date: 12/09/2022"/>
        <s v="UBER *EATS Sydney AU AUS Card xx8188 Value Date: 11/09/2022"/>
        <s v="COLES 0849 DRUMMOYNE AU AUS Card xx8188 Value Date: 10/09/2022"/>
        <s v="Audible Limited AU MELBOURNE AU AUS Card xx8188 Value Date: 10/09/2022"/>
        <s v="BUNNINGS 370000 ALEXANDRIA AU Card xx8188"/>
        <s v="TRANSPORTFORNSW TAP SYDNEY AUS Card xx8188 Value Date: 07/09/2022"/>
        <s v="TRANSPORTFORNSW TAP SYDNEY AUS Card xx8188 Value Date: 06/09/2022"/>
        <s v="PHOTOWN Alexandria NS AUS Card xx8188 Value Date: 05/09/2022"/>
        <s v="GM CABS PTY LTD MASCOT AUS Card xx8188 Value Date: 05/09/2022"/>
        <s v="COLES 0849 DRUMMOYNE AU AUS Card xx8188 Value Date: 05/09/2022"/>
        <s v="CCWEB SDRO PARRAMATTA NS AUS Card xx8188 Value Date: 04/09/2022"/>
        <s v="ALH VENUES 8758 MANLY AU AUS Card xx8188 Value Date: 05/09/2022"/>
        <s v="MANNYS Alexandria NS AUS Card xx8188 Value Date: 02/09/2022"/>
        <s v="Opera Bar Sydney AU"/>
        <s v="TRANSPORTFORNSW TAP SYDNEY AUS Card xx8188 Value Date: 01/09/2022"/>
        <s v="PHOTOWN Alexandria NS AUS Card xx8188 Value Date: 31/08/2022"/>
        <s v="COLES 0849 DRUMMOYNE AU AUS Card xx8188 Value Date: 31/08/2022"/>
        <s v="TRANSPORTFORNSW TAP SYDNEY AUS Card xx8188 Value Date: 31/08/2022"/>
        <s v="SUSHI OTAKU SURRY HILLS NS AUS Card xx8188 Value Date: 30/08/2022"/>
        <s v="Salary SERVAUPAYROLL 20215P 85920286"/>
        <s v="Direct Debit 245164 HCFHEALTHANDLIFE 057233969SQ7DK2GGM"/>
        <s v="COLES 0849 DRUMMOYNE AU AUS Card xx8188 Value Date: 29/08/2022"/>
        <s v="TRANSPORTFORNSW TAP SYDNEY AUS Card xx8188 Value Date: 30/08/2022"/>
        <s v="AREZZO JEWELLERY TOP RYDE NS AUS Card xx8188 Value Date: 28/08/2022"/>
        <s v="Mr Cutz Top Ryde NS AUS Card xx8188 Value Date: 28/08/2022"/>
        <s v="DOORDASH*FORLI RISTORA MELBOURNE VI AUS Card xx8188 Value Date: 27/08/2022"/>
        <s v="Wdl ATM NAB NAB ATM SH LG2 1028 AU"/>
        <s v="SMP*Dominos Pizza Drum Drummoyne02 AU"/>
        <s v="Priceland Ryde AU"/>
        <s v="COVAU PTY LIMITED SYDNEY AU Card xx8188"/>
        <s v="WW METRO 1669 SURRY HILLS AU AUS Card xx8188 Value Date: 23/08/2022"/>
        <s v="WOOLWORTHS 1248 SYDNEY AU AUS Card xx8188 Value Date: 23/08/2022"/>
        <s v="TRANSPORTFORNSW TAP SYDNEY AUS Card xx8188 Value Date: 24/08/2022"/>
        <s v="SPEEDWAY WEST RYDE WEST RYDE NS AUS Card xx8188 Value Date: 22/08/2022"/>
        <s v="Umart Online Milton AU AUS Card xx8188 Value Date: 22/08/2022"/>
        <s v="TRANSPORTFORNSW TAP SYDNEY AUS Card xx8188 Value Date: 23/08/2022"/>
        <s v="SUSHI OTAKU SURRY HILLS NS AUS Card xx8188 Value Date: 22/08/2022"/>
        <s v="MCDONALDS DRUMMOYNE DRUMMOYNE AUS Card xx8188 Value Date: 21/08/2022"/>
        <s v="COLES 0849 DRUMMOYNE AU AUS Card xx8188 Value Date: 21/08/2022"/>
        <s v="Umart Online Milton AU AUS Card xx8188 Value Date: 21/08/2022"/>
        <s v="BAHAR SPRING PTY. LI RYDE NS AUS Card xx8188 Value Date: 19/08/2022"/>
        <s v="Fast Transfer From ZAHRA NOURI EMAMZADEH Zahra coffee"/>
        <s v="SP DUTCHVINYL ABBOTSFORD VI AUS Card xx8188 Value Date: 18/08/2022"/>
        <s v="Fast Transfer From ZAHRA NOURI EMAMZADEH Zahra Dinner and coffee"/>
        <s v="TRANSPORTFORNSW TAP SYDNEY AUS Card xx8188 Value Date: 18/08/2022"/>
        <s v="SQ *FARSI RESTAURANT Ryde AU"/>
        <s v="SERVICE NSW 4007 HAYMARKET AUS Card xx8188 Value Date: 17/08/2022"/>
        <s v="PHOTOWN Alexandria NS AUS Card xx8188 Value Date: 17/08/2022"/>
        <s v="ALDI STORES - GLADESVI GLADESVILLE AU Card xx8188"/>
        <s v="TRANSPORTFORNSW TAP SYDNEY AUS Card xx8188 Value Date: 17/08/2022"/>
        <s v="Telstra Direct Debit AUSTRALIA SA AUS Card xx8188 Value Date: 16/08/2022"/>
        <s v="SUBWAY HAYMARKET SYDNEY NS AUS Card xx8188 Value Date: 16/08/2022"/>
        <s v="SoundCloud Monthly Go Berlin DE DEU Card xx8188 AUD 5.99 Value Date: 16/08/2022"/>
        <s v="Salary SERVAUPAYROLL 20254P 85920286"/>
        <s v="PHOTOWN Alexandria NS AUS Card xx8188 Value Date: 16/08/2022"/>
        <s v="NRMA HUT HURSTVILLE NS AUS Card xx8188 Value Date: 16/08/2022"/>
        <s v="SDRO INFRNGMNT PAYME MAITLAND NS AUS Card xx8188 Value Date: 14/08/2022"/>
        <s v="Fast Transfer From BISHOP WARREN GRANT to PayID Phone CLINTON GIFT"/>
        <s v="COLES 0849 DRUMMOYNE AU AUS Card xx8188 Value Date: 15/08/2022"/>
        <s v="UBER *EATS Sydney AU AUS Card xx8188 Value Date: 13/08/2022"/>
        <s v="Fast Transfer From Mr Jolan Warren Clinton Monkey Power"/>
        <s v="Fast Transfer From Chris McMahon Clinton gift"/>
        <s v="DOORDASH*DOS SENORITAS MELBOURNE VI AUS Card xx8188 Value Date: 14/08/2022"/>
        <s v="Direct Credit 027571 D A ZAPPACOSTA Clinton"/>
        <s v="Fast Transfer From Sue M Hamilton From sue for clinton from Sue for Clinton"/>
        <s v="Fast Transfer From RODNEY MAZIK Rod4Clinton"/>
        <s v="Fast Transfer From YIXUAN LIAO to PayID Phone Moog Lp thanks"/>
        <s v="Transfer To Jonathan K Oliver CommBank App pizza"/>
        <s v="COLES 0849 DRUMMOYNE AU AUS Card xx8188 Value Date: 09/08/2022"/>
        <s v="Audible Limited AU MELBOURNE AU AUS Card xx8188 Value Date: 10/08/2022"/>
        <s v="WW METRO 1669 SURRY HILLS AU AUS Card xx8188 Value Date: 09/08/2022"/>
        <s v="TRANSPORTFORNSW TAP SYDNEY AUS Card xx8188 Value Date: 10/08/2022"/>
        <s v="SQ *ELIZABETH STREET Surry Hills AU AUS Card xx8188 Value Date: 08/08/2022"/>
        <s v="PHOTOWN Alexandria NS AUS Card xx8188 Value Date: 09/08/2022"/>
        <s v="7-ELEVEN 2048 DRUMMOYNE NS AUS Card xx8188 Value Date: 09/08/2022"/>
        <s v="TRANSPORTFORNSW TAP SYDNEY AUS Card xx8188 Value Date: 09/08/2022"/>
        <s v="COLES 0849 DRUMMOYNE AU AUS Card xx8188 Value Date: 07/08/2022"/>
        <s v="UBER *EATS Sydney AU AUS Card xx8188 Value Date: 07/08/2022"/>
        <s v="UBER *EATS Sydney AU AUS Card xx8188 Value Date: 04/08/2022"/>
        <s v="TRANSPORTFORNSW TAP SYDNEY AUS Card xx8188 Value Date: 06/08/2022"/>
        <s v="ROZELLE AUTOMOTIVE ROZELLE NS AUS Card xx8188 Value Date: 05/08/2022"/>
        <s v="TENKOMORI SYDNEY AU Card xx8188"/>
        <s v="Transfer To Joseph Sallustio CommBank App birthday lunch"/>
        <s v="Transfer To Peter Johnson CommBank App karaoke"/>
        <s v="TRANSPORTFORNSW TAP SYDNEY AUS Card xx8188 Value Date: 05/08/2022"/>
        <s v="KARAOKE WORLD SYDNEY NSWAU"/>
        <s v="SDRO INFRNGMNT PAYME MAITLAND NS AUS Card xx8188 Value Date: 02/08/2022"/>
        <s v="DOORDASH*MCDONALDS MELBOURNE VI AUS Card xx8188 Value Date: 03/08/2022"/>
        <s v="COLES 0849 DRUMMOYNE AU AUS Card xx8188 Value Date: 03/08/2022"/>
        <s v="Salary SERVAUPAYROLL 20274P 85920286"/>
        <s v="TRANSPORTFORNSW TAP SYDNEY AUS Card xx8188 Value Date: 02/08/2022"/>
        <s v="GM CABS PTY LTD MASCOT AUS Card xx8188 Value Date: 30/07/2022"/>
        <s v="COLES 0849 DRUMMOYNE AU AUS Card xx8188 Value Date: 31/07/2022"/>
        <s v="UBER* TRIP SYDNEY NS AUS Card xx8188 Value Date: 31/07/2022"/>
        <s v="Tickets-SUTRA SUNRISE MCMAHONS POIN AU AUS Card xx8188 Value Date: 30/07/2022"/>
        <s v="Sackville Hotel Rozelle NS AUS Card xx8188 Value Date: 30/07/2022"/>
        <s v="BRIDGE HOTEL ROZELLE ROZELLE NS AUS Card xx8188 Value Date: 31/07/2022"/>
        <s v="Direct Debit 245164 HCFHEALTHANDLIFE 057233969S8MZCF4XB"/>
        <s v="Wdl ATM CAS BOWCLIFF PTY LTD ROZELLE NS AU"/>
        <s v="Fast Transfer From NATHAN SINGH to PayID Phone Foodie"/>
        <s v="WTW FOOD PTY LTD BURWOOD NS AUS Card xx8188 Value Date: 27/07/2022"/>
        <s v="TRANSPORTFORNSW TAP SYDNEY AUS Card xx8188 Value Date: 28/07/2022"/>
        <s v="BAR TOSCA SYDNEY NS AUS Card xx8188 Value Date: 27/07/2022"/>
        <s v="WOOLWORTHS 1248 SYDNEY AU AUS Card xx8188 Value Date: 26/07/2022"/>
        <s v="TRANSPORTFORNSW TAP SYDNEY AUS Card xx8188 Value Date: 27/07/2022"/>
        <s v="TRANSPORTFORNSW TAP SYDNEY AUS Card xx8188 Value Date: 26/07/2022"/>
        <s v="EMPANADAS FACTORY ROZELLE NS AUS Card xx8188 Value Date: 24/07/2022"/>
        <s v="DA JIAN CHEN BURWOOD AU"/>
        <s v="CHEMIST WAREHOUSE BIRK DRUMMOYNE NS AUS Card xx8188 Value Date: 23/07/2022"/>
        <s v="BAR TOSCA SYDNEY NS AUS Card xx8188 Value Date: 25/07/2022"/>
        <s v="SQ *ELIZABETH STREET Surry Hills AU"/>
        <s v="MEANDU *ROCKPOOL DININ Surry Hills AU AUS Card xx8188 Value Date: 23/07/2022"/>
        <s v="LEICHHARDT MUNICIPAL C LEICHHARDT AU AUS Card xx8188 Value Date: 24/07/2022"/>
        <s v="JAIPUR SWEETS HARRIS PARK AU"/>
        <s v="DOORDASH*LITTLE NEPAL MELBOURNE VI AUS Card xx8188 Value Date: 24/07/2022"/>
        <s v="DOORDASH*DOS SENORITAS MELBOURNE VI AUS Card xx8188 Value Date: 22/07/2022"/>
        <s v="COLES 0849 DRUMMOYNE AU AUS Card xx8188 Value Date: 23/07/2022"/>
        <s v="BEATPORT 720-974-9500 CO USA Card xx8188 AUD 7.89 Value Date: 24/07/2022"/>
        <s v="UBER *EATS Sydney AU AUS Card xx8188 Value Date: 18/07/2022"/>
        <s v="Salary SERVAUPAYROLL 20074P 85920286"/>
        <s v="PASTIZZI CAFE PL NEWTOWN NS AUS Card xx8188 Value Date: 17/07/2022"/>
        <s v="Telstra Direct Debit AUSTRALIA SA AUS Card xx8188 Value Date: 15/07/2022"/>
        <s v="SoundCloud Monthly Go Berlin DE DEU Card xx8188 AUD 5.99 Value Date: 17/07/2022"/>
        <s v="Direct Debit 502642 Telecom Billing 3014468:5544121:16"/>
        <s v="Fast Transfer From ZAHRA NOURI EMAMZADEH Zahra food"/>
        <s v="Transfer To Zahra Nouri Emamzadeh CommBank App food iou"/>
        <s v="General&amp;Co Lobby Bar Lilyfield AU"/>
        <s v="UBER *EATS Sydney AU AUS Card xx8188 Value Date: 10/07/2022"/>
        <s v="DESTROS PHARMACY DRUMMOYNE NS AUS Card xx8188 Value Date: 08/07/2022"/>
        <s v="Audible Limited AU MELBOURNE AU AUS Card xx8188 Value Date: 10/07/2022"/>
        <s v="7-ELEVEN 2048 DRUMMOYNE NS AUS Card xx8188 Value Date: 07/07/2022"/>
        <s v="Salary SERVAUPAYROLL 20283P 85920286"/>
        <s v="COLES 0849 DRUMMOYNE AU AUS Card xx8188 Value Date: 04/07/2022"/>
        <s v="Winona Wine Manly NS AUS Card xx8188 Value Date: 02/07/2022"/>
        <s v="ALDI STORES - DRUMMOYN DRUMMOYNE AU Card xx8188"/>
        <s v="MCDONALDS CREMORNE CREMORNE NSWAU"/>
        <s v="SQ *LABEL Brookvale AU Value Date: 03/07/2022"/>
        <s v="Direct Debit 245164 HCFHEALTHANDLIFE 057233969SDJN6SBEJ"/>
        <s v="TRANSPORTFORNSW TAP SYDNEY AUS Card xx8188 Value Date: 26/06/2022"/>
        <s v="Menulog Pty Ltd Sydney AU AUS Card xx8188 Value Date: 24/06/2022"/>
        <s v="LIQUORLAND 3301 DRUMMOYNE AU AUS Card xx8188 Value Date: 26/06/2022"/>
        <s v="Jimmy's Falafel Sydney NS AUS Card xx8188 Value Date: 25/06/2022"/>
        <s v="COLES 0849 DRUMMOYNE AU AUS Card xx8188 Value Date: 26/06/2022"/>
        <s v="SQ *SUBWAY RESTRAUNT Sydney AU"/>
        <s v="Transfer From FIZZAH SALAHUDDIN Devina Dinner Value Date: 25/06/2022"/>
        <s v="Transfer From JOSHUA HATFIELD to PayID Phone dinner"/>
        <s v="Salary SERVAUPAYROLL 21223P 85920286"/>
        <s v="SPEEDWAY WEST RYDE WEST RYDE NS AUS Card xx8188 Value Date: 18/06/2022"/>
        <s v="COLES 0849 DRUMMOYNE AU AUS Card xx8188 Value Date: 20/06/2022"/>
        <s v="SoundCloud Monthly Go Berlin DE DEU Card xx8188 AUD 5.99 Value Date: 17/06/2022"/>
        <s v="Direct Credit 301500 Rent Trust Accou Inv Crd Gas"/>
        <s v="COLES 0849 DRUMMOYNE AU AUS Card xx8188 Value Date: 17/06/2022"/>
        <s v="Direct Debit 314011 SUMO PAYWAY3233074445"/>
        <s v="Direct Credit 371474 RENTALBONDBOARD T030465-2 2 / 3"/>
        <s v="TRANSPORTFORNSW TAP SYDNEY AUS Card xx8188 Value Date: 17/06/2022"/>
        <s v="MPAY.COM.AU ONE TAXI BELMORE NS AUS Card xx8188 Value Date: 16/06/2022"/>
        <s v="COLES 5801 RYDE AU AUS Card xx8188 Value Date: 15/06/2022"/>
        <s v="7-ELEVEN 2048 DRUMMOYNE NS AUS Card xx8188 Value Date: 15/06/2022"/>
        <s v="TICKETS* 3 HARPS SURRY HILLS NS AUS Card xx8188 Value Date: 15/06/2022"/>
        <s v="Telstra Direct Debit AUSTRALIA SA AUS Card xx8188 Value Date: 15/06/2022"/>
        <s v="UBER* EATS SYDNEY NS AUS Card xx8188 Value Date: 14/06/2022"/>
        <s v="SQ *STROOPBROS The Rocks AU"/>
        <s v="SQ *NOMAD BREWING CO. Darlinghurst AU"/>
        <s v="SQ *EMMY GOZLEME The Rocks AU"/>
        <s v="SQ *BIG TONY CANOLI BA The Rocks AU"/>
        <s v="Direct Debit 502642 Telecom Billing 3014468:5540486:16"/>
        <s v="Transfer From ZAHRA NOURI EMAMZADEH zahra joon pizza"/>
        <s v="RT &amp; SD PTY LTD RYDE AU Card xx8188"/>
        <s v="TRANSPORTFORNSW TAP SYDNEY AUS Card xx8188 Value Date: 11/06/2022"/>
        <s v="LIQUORLAND 3463 HUNTERS HILL AU AUS Card xx8188 Value Date: 12/06/2022"/>
        <s v="BEATPORT 720-974-9500 CO USA Card xx8188 AUD 2.63 Value Date: 10/06/2022"/>
        <s v="Audible Limited AU MELBOURNE AU AUS Card xx8188 Value Date: 10/06/2022"/>
        <s v="ANDERSEN'S OF DENMAR COOGEE NS AUS Card xx8188 Value Date: 10/06/2022"/>
        <s v="Transfer From MASOUMEH GHOLAMSHAHI CREDIT TO ACCOUNT"/>
        <s v="Transfer To MASOUMEH GHOLAMSHAHI CommBank App cafe iou"/>
        <s v="TRANSPORTFORNSW TAP SYDNEY AUS Card xx8188 Value Date: 09/06/2022"/>
        <s v="SURRYHILLS NEWSAGENT SURRY HILLS NS AUS Card xx8188 Value Date: 08/06/2022"/>
        <s v="SDRO INFRNGMNT PAYME MAITLAND NS AUS Card xx8188 Value Date: 08/06/2022"/>
        <s v="BAR TOSCA SYDNEY NS AUS Card xx8188 Value Date: 08/06/2022"/>
        <s v="TRANSPORTFORNSW TAP SYDNEY AUS Card xx8188 Value Date: 08/06/2022"/>
        <s v="Direct Credit 301500 Rent Trust Accou Gas"/>
        <s v="COLES 5801 RYDE AU AUS Card xx8188 Value Date: 06/06/2022"/>
        <s v="TRANSPORTFORNSW TAP SYDNEY AUS Card xx8188 Value Date: 07/06/2022"/>
        <s v="GYG Top Ryde Ryde NS AUS Card xx8188 Value Date: 06/06/2022"/>
        <s v="BAHAR SPRING PTY. LI RYDE NS AUS Card xx8188 Value Date: 06/06/2022"/>
        <s v="UBER *EATS Sydney AU AUS Card xx8188 Value Date: 05/06/2022"/>
        <s v="SDRO INFRNGMNT PAYME MAITLAND NS AUS Card xx8188 Value Date: 02/06/2022"/>
        <s v="EMPANADAS FACTORY ROZELLE NS AUS Card xx8188 Value Date: 04/06/2022"/>
        <s v="1CASTLE HILL HS 8382 CASTLE HILL NS AUS Card xx8188 Value Date: 03/06/2022"/>
        <s v="WOOLWORTHS 1339 RYDE AU AUS Card xx8188 Value Date: 02/06/2022"/>
        <s v="SILVER SPOON BISTRO SURRY HILLS NS AUS Card xx8188 Value Date: 01/06/2022"/>
        <s v="TRANSPORTFORNSW TAP SYDNEY AUS Card xx8188 Value Date: 02/06/2022"/>
        <s v="BAHAR SPRING PTY. LI RYDE NS AUS Card xx8188 Value Date: 01/06/2022"/>
        <s v="WOOLWORTHS 1339 RYDE AU AUS Card xx8188 Value Date: 31/05/2022"/>
        <s v="REBEL TOP RYDE TOP RYDE NS AUS Card xx8188 Value Date: 30/05/2022"/>
        <s v="OFFICEWORKS 0209 GLEBE AU AUS Card xx8188 Value Date: 31/05/2022"/>
        <s v="DIVVY Parking divvy.com.au AU AUS Card xx8188 Value Date: 31/05/2022"/>
        <s v="Direct Credit 301500 Rent Trust Accou Inv Crd ROOZBEHANI"/>
        <s v="WOOLWORTHS 1339 RYDE AU AUS Card xx8188 Value Date: 30/05/2022"/>
        <s v="UBER *EATS Sydney AU AUS Card xx8188 Value Date: 29/05/2022"/>
        <s v="Transfer From ZAHRA NOURI EMAMZADEH zahra food and groceries"/>
        <s v="KMART 1251 Top Ryde AU AUS Card xx8188 Value Date: 30/05/2022"/>
        <s v="Direct Debit 245164 HCFHEALTHANDLIFE 057233969S5J1IZZPM"/>
        <s v="UBER *EATS Sydney AU AUS Card xx8188 Value Date: 28/05/2022"/>
        <s v="GOOGLE*MARTIN LINDAU SYDNEY AU AUS Card xx8188 Value Date: 29/05/2022"/>
        <s v="COLES 0846 LEICHHARDT AU AUS Card xx8188 Value Date: 27/05/2022"/>
        <s v="Bowan IslandDrummoyne Drummoyne NS AUS Card xx8188 Value Date: 29/05/2022"/>
        <s v="Transfer To Jonathan K Oliver NetBank Rent"/>
        <s v="ALDI STORES - RYDE RYDE AU Card xx8188"/>
        <s v="WOOLWORTHS 1339 RYDE AU AUS Card xx8188 Value Date: 26/05/2022"/>
        <s v="SPEEDWAY WEST RYDE WEST RYDE NS AUS Card xx8188 Value Date: 26/05/2022"/>
        <s v="CHARGRILL CHARLIES Drummoyne NS AUS Card xx8188 Value Date: 26/05/2022"/>
        <s v="7-ELEVEN 2048 DRUMMOYNE NS AUS Card xx8188 Value Date: 26/05/2022"/>
        <s v="Transfer To RAMTEAN ROOZBEHANI CommBank App food iou"/>
        <s v="WOOLWORTHS 1248 SYDNEY AU AUS Card xx8188 Value Date: 25/05/2022"/>
        <s v="TRANSPORTFORNSW TAP SYDNEY AUS Card xx8188 Value Date: 26/05/2022"/>
        <s v="Hungry Jacks Ryde AU"/>
        <s v="EVENT CINEMAS MACQUA MACQUARIE PARAU Card xx8188"/>
        <s v="WOOLWORTHS 1248 SYDNEY AU AUS Card xx8188 Value Date: 24/05/2022"/>
        <s v="TRANSPORTFORNSW TAP SYDNEY AUS Card xx8188 Value Date: 25/05/2022"/>
        <s v="Salary SERVAUPAYROLL 20242P 85920286"/>
        <s v="WOOLWORTHS 1248 SYDNEY AU AUS Card xx8188 Value Date: 23/05/2022"/>
        <s v="TRANSPORTFORNSW TAP SYDNEY AUS Card xx8188 Value Date: 24/05/2022"/>
        <s v="OXFORD WORLD SQUARE SYDNEY AU AUS Card xx8188 Value Date: 23/05/2022"/>
        <s v="CITYOFSYDNEY PARKING SYDNEY AUS Card xx8188 Value Date: 21/05/2022"/>
        <s v="BP EX PENINSULA 9540 MONA VALE NS AUS Card xx8188 Value Date: 22/05/2022"/>
        <s v="UBER *EATS Sydney AU AUS Card xx8188 Value Date: 21/05/2022"/>
        <s v="UBER *EATS Sydney AU AUS Card xx8188 Value Date: 20/05/2022"/>
        <s v="The Newport Newport NS AUS Card xx8188 Value Date: 22/05/2022"/>
        <s v="THE LITTLE SNAIL RES PYRMONT NS AUS Card xx8188 Value Date: 21/05/2022"/>
        <s v="KMART 1155 BROADWAY AU AUS Card xx8188 Value Date: 21/05/2022"/>
        <s v="COLES 0839 BROADWAY AU AUS Card xx8188 Value Date: 21/05/2022"/>
        <s v="DOYTAO DRUMMOYNE PTY FIVE DOCK AU"/>
        <s v="Transfer From Miss Rozalie Lakin to PayID Phone Clothes rack"/>
        <s v="COLES 0849 DRUMMOYNE AU AUS Card xx8188 Value Date: 19/05/2022"/>
        <s v="7-ELEVEN 2048 DRUMMOYNE NS AUS Card xx8188 Value Date: 19/05/2022"/>
        <s v="SoundCloud Monthly Go Berlin DE DEU Card xx8188 AUD 5.99 Value Date: 18/05/2022"/>
        <s v="Transfer From ENZO TEIXEIRA DESTRO to PayID Phone Fridge"/>
        <s v="Telstra Direct Debit AUSTRALIA SA AUS Card xx8188 Value Date: 17/05/2022"/>
        <s v="Transfer To RAMTEAN ROOZBEHANI CommBank App SC campaign"/>
        <s v="UBER *EATS Sydney AU AUS Card xx8188 Value Date: 15/05/2022"/>
        <s v="TRANSPORTFORNSW TAP SYDNEY AUS Card xx8188 Value Date: 17/05/2022"/>
        <s v="MARBRAND PTY LTD SYDNEY NS AUS Card xx8188 Value Date: 14/05/2022"/>
        <s v="UBER *TRIP Sydney AU AUS Card xx8188 Value Date: 15/05/2022"/>
        <s v="UBER *TRIP Sydney AU AUS Card xx8188 Value Date: 14/05/2022"/>
        <s v="SURRY HILLS FINE WIN SURRY HILLS NS AUS Card xx8188 Value Date: 14/05/2022"/>
        <s v="El Loco @ Slip Inn Sydney NS AUS Card xx8188 Value Date: 14/05/2022"/>
        <s v="Direct Debit 502642 Telecom Billing 3014468:5539240:16"/>
        <s v="Wdl ATM ETX MOUBIN PTY LTD SYDNEY AU"/>
        <s v="Wdl ATM ETX MOUBIN PTY LTD SYDNEY AU Value Date: 15/05/2022"/>
        <s v="Non CBA ATM Withdrawal Fee Value Date: 15/05/2022"/>
        <s v="MCDONALDS WATERLOO WATERLOO NSWAU"/>
        <s v="B&amp;W Cabs NSW 133222 TEMPE AU"/>
        <s v="Transfer From VICKY LUKMANA to PayID Phone Washer"/>
        <s v="Salary SERVAUPAYROLL 20112P 85920286"/>
        <s v="COLES 0849 DRUMMOYNE AU AUS Card xx8188 Value Date: 10/05/2022"/>
        <s v="Audible Limited AU MELBOURNE AU AUS Card xx8188 Value Date: 10/05/2022"/>
        <s v="TRANSPORTFORNSW TAP SYDNEY AUS Card xx8188 Value Date: 10/05/2022"/>
        <s v="Transfer To Zahra Nouri Emamzadeh CommBank App iou cab"/>
        <s v="Love Crepe Russell Lea NS AUS Card xx8188 Value Date: 07/05/2022"/>
        <s v="Transfer From BISHOP WARREN GRANT to PayID Phone Dumpling"/>
        <s v="ALLEGRIA FLR &amp; HMWRE WAREEMBA NSWAU"/>
        <s v="HARRIS FARM MARKETSQPS DRUMMOYNE AUS Card xx8188 Value Date: 05/05/2022"/>
        <s v="COLES 0849 DRUMMOYNE AU AUS Card xx8188 Value Date: 03/05/2022"/>
        <s v="Transfer To Zahra Nouri Emamzadeh CommBank App flowers for pari"/>
        <s v="7-ELEVEN 2048 DRUMMOYNE NS AUS Card xx8188 Value Date: 03/05/2022"/>
        <s v="Direct Debit 314011 SUMO PAYWAY3199258548"/>
        <s v="Return AIRBNB * HMYYPBT4CY Surry Hills AU AUS Card xx8188 Value Date: 29/04/2022"/>
        <s v="Direct Debit 245164 HCFHEALTHANDLIFE 057233969SH10UZWVW"/>
        <s v="WOOLWORTHS 1188 BALMAIN AU AUS Card xx8188 Value Date: 27/04/2022"/>
        <s v="PHARMACY MANAGEMENT BALMAIN AUS Card xx8188 Value Date: 27/04/2022"/>
        <s v="ELIZABETHS BOOKSHOP NEWTOWN NS AUS Card xx8188 Value Date: 25/04/2022"/>
        <s v="UBER *TRIP Sydney AU AUS Card xx8188 Value Date: 23/04/2022"/>
        <s v="UBER *EATS Sydney AU AUS Card xx8188 Value Date: 22/04/2022"/>
        <s v="TOP FRUIT AND SONS DRUMMOYNE AU Card xx8188"/>
        <s v="ROLLING CAFE AUSTRAL DRUMMOYNE NS AUS Card xx8188 Value Date: 25/04/2022"/>
        <s v="PAYPAL *aemarks85 4029357733 AU AUS Card xx8188 Value Date: 24/04/2022"/>
        <s v="Emilio's Specialty Bu Rozelle AU"/>
        <s v="DOORDASH*JASMIN 1 MELBOURNE VI AUS Card xx8188 Value Date: 24/04/2022"/>
        <s v="CHARGRILL CHARLIES Drummoyne NS AUS Card xx8188 Value Date: 23/04/2022"/>
        <s v="BRIDGE HOTEL ROZELLE ROZELLE NS AUS Card xx8188 Value Date: 24/04/2022"/>
        <s v="SMP*Europe Grill Resta Newtown02 AU"/>
        <s v="SILVER SPOON BISTRO SURRY HILLS NS AUS Card xx8188 Value Date: 20/04/2022"/>
        <s v="BWS LIQUOR 1601 DRUMMOYNE NS AUS Card xx8188 Value Date: 21/04/2022"/>
        <s v="THE ORGNL MNTZM NOOSA NOOSA HEADS AUS Card xx8188 Value Date: 16/04/2022"/>
        <s v="Telstra Direct Debit AUSTRALIA SA AUS Card xx8188 Value Date: 19/04/2022"/>
        <s v="LIVE TAXI AUSTRALIA WEST MELBOURN AUS Card xx8188 Value Date: 17/04/2022"/>
        <s v="LIVE TAXI AUSTRALIA WEST MELBOURN AUS Card xx8188 Value Date: 16/04/2022"/>
        <s v="UNIVERSAL AUDIO 8314401176 CA USA Card xx8188 USD 64.00 Value Date: 18/04/2022"/>
        <s v="SUBWAY HAYMARKET SYDNEY NS AUS Card xx8188 Value Date: 19/04/2022"/>
        <s v="International Transaction Fee Value Date: 18/04/2022"/>
        <s v="ZLR*mount coolum Buderim AU AUS Card xx8188 Value Date: 15/04/2022"/>
        <s v="UBER *TRIP Sydney AU AUS Card xx8188 Value Date: 14/04/2022"/>
        <s v="The Coffee Club Coolum Coolum Beach QL AUS Card xx8188 Value Date: 15/04/2022"/>
        <s v="SUSHI SUSHI SCA MARCOOLA QL AUS Card xx8188 Value Date: 18/04/2022"/>
        <s v="SQ *KANU KAPERS AUSTR Boreen Point AU AUS Card xx8188 Value Date: 13/04/2022"/>
        <s v="Monthly Go Plus plan Berlin DE DEU Card xx8188 AUD 5.99 Value Date: 18/04/2022"/>
        <s v="Laguna Jacks Noosa Heads QL AUS Card xx8188 Value Date: 16/04/2022"/>
        <s v="COLES 0839 BROADWAY AU AUS Card xx8188 Value Date: 14/04/2022"/>
        <s v="BP COOLUM BEACH 1584 COOLUM BEACH QL AUS Card xx8188 Value Date: 15/04/2022"/>
        <s v="APPLE R523 BROADWAY ULTIMO NS AUS Card xx8188 Value Date: 14/04/2022"/>
        <s v="Direct Debit 502642 Telecom Billing 3014468:5535800:16"/>
        <s v="Transfer from xx8675 NetBank ua inflator"/>
        <s v="SUN COAST 131008 MARCOOLA AU"/>
        <s v="DIVAN PERSIAN REST RYDE NSW AU"/>
        <s v="Transfer to xx6542 NetBank ua inflator"/>
        <s v="Transfer From ZAHRA NOURI EMAMZADEH zahra room and kayak"/>
        <s v="CootharaBAR Boreen Point AU"/>
        <s v="COOLUM THAI SPICE COOLUM BEACH QLD AU"/>
        <s v="Transfer From ZAHRA NOURI EMAMZADEH Zahra Steak"/>
        <s v="Transfer From ZAHRA NOURI EMAMZADEH zahra seafood"/>
        <s v="Transfer From ZAHRA NOURI EMAMZADEH zahra groceries"/>
        <s v="SMP*Copenhagen Ice Cre Noosa Heads04 AU"/>
        <s v="SEASONS SUPERMARKETS 4 NOOSA HEADS AU Card xx8188"/>
        <s v="MR MANCINO Coolum Beach AU"/>
        <s v="LIVELIFE PHARMACY COOL COOLUM BEACH AU Card xx8188"/>
        <s v="GHANDA COOLUM BEACH AU Card xx8188"/>
        <s v="AIRPORT RETAIL ENTERPR MASCOT AU Card xx8188"/>
        <s v="AIRBNB * HMYYPBT4CY Surry Hills AU AUS Card xx8188 Value Date: 12/04/2022"/>
        <s v="COLES 0849 DRUMMOYNE AU AUS Card xx8188 Value Date: 12/04/2022"/>
        <s v="TRANSPORTFORNSW TAP SYDNEY AUS Card xx8188 Value Date: 11/04/2022"/>
        <s v="CHARGRILL CHARLIES Drummoyne NS AUS Card xx8188 Value Date: 11/04/2022"/>
        <s v="UBER *EATS Sydney AU AUS Card xx8188 Value Date: 08/04/2022"/>
        <s v="Audible Limited AU MELBOURNE AU AUS Card xx8188 Value Date: 10/04/2022"/>
        <s v="Transfer From ZAHRA NOURI EMAMZADEH zahra Dinner"/>
        <s v="Transfer From ZAHRA NOURI EMAMZADEH zahra Korean BBQ"/>
        <s v="TCSC PTY LTD HAYMARKET AU Card xx8188"/>
        <s v="Microsoft*Microsoft 36 msbill.info AU AUS Card xx8188 Value Date: 06/04/2022"/>
        <s v="TRANSPORTFORNSW TAP SYDNEY AUS Card xx8188 Value Date: 05/04/2022"/>
        <s v="SUBWAY HAYMARKET SYDNEY NS AUS Card xx8188 Value Date: 04/04/2022"/>
        <s v="FISH MARKET CAFE PYRMONT NS AUS Card xx8188 Value Date: 02/04/2022"/>
        <s v="BLACKWALL CAFE CHISWICK NS AUS Card xx8188 Value Date: 02/04/2022"/>
        <s v="SYDNEY FISH MARKET P PYRMONT AUS Card xx8188 Value Date: 02/04/2022"/>
        <s v="Transfer From ZAHRA NOURI EMAMZADEH Zahra lunch"/>
        <s v="OIDEN 11 PTY LTD SYDNEY NS AUS Card xx8188 Value Date: 30/03/2022"/>
        <s v="TRANSPORTFORNSW TAP SYDNEY AUS Card xx8188 Value Date: 31/03/2022"/>
        <s v="The Erko Hotel Erskineville NS AUS Card xx8188 Value Date: 30/03/2022"/>
        <s v="SUBWAY HAYMARKET SYDNEY NS AUS Card xx8188 Value Date: 30/03/2022"/>
        <s v="Direct Debit 245164 HCFHEALTHANDLIFE 057233969SOJ0V9EXB"/>
        <s v="TRANSPORTFORNSW TAP SYDNEY AUS Card xx8188 Value Date: 30/03/2022"/>
        <s v="Salary SERVAUPAYROLL 20511P 85920286"/>
        <s v="COLES 4788 FIVE DOCK AU AUS Card xx8188 Value Date: 28/03/2022"/>
        <s v="TRANSPORTFORNSW TAP SYDNEY AUS Card xx8188 Value Date: 29/03/2022"/>
        <s v="CR MACQUARIE NORTH RYDE NS AUS Card xx8188 Value Date: 26/03/2022"/>
        <s v="UNIVERSAL AUDIO 8314401176 CA USA Card xx8188 USD 548.00 Value Date: 25/03/2022"/>
        <s v="UBER *EATS Sydney AU AUS Card xx8188 Value Date: 25/03/2022"/>
        <s v="KMART 1368 NORTH RYDE AU AUS Card xx8188 Value Date: 26/03/2022"/>
        <s v="JETSTARKI768M MELBOURNE VI AUS Card xx8188 Value Date: 26/03/2022"/>
        <s v="International Transaction Fee Value Date: 25/03/2022"/>
        <s v="7-ELEVEN 2048 DRUMMOYNE NS AUS Card xx8188 Value Date: 26/03/2022"/>
        <s v="Transfer From BISHOP WARREN GRANT to PayID Phone Dumpling _"/>
        <s v="Transfer To Zahra Nouri Emamzadeh CommBank App difference for noosa fli..."/>
        <s v="Transfer From ZAHRA NOURI EMAMZADEH Zahra Morgh"/>
        <s v="Transfer From ZAHRA NOURI EMAMZADEH Trip to sunshine"/>
        <s v="LINDT AND SPRUNGLI AUS NORTH RYDE AU Card xx8188"/>
        <s v="JD SPORTS FASHION AUST MACQUARIE PARAU Card xx8188"/>
        <s v="H&amp;M Sydney AU0004 197-223 HerriAU"/>
        <s v="TRANSPORTFORNSW TAP SYDNEY AUS Card xx8188 Value Date: 24/03/2022"/>
        <s v="Direct Debit 314011 SUMO PAYWAY3172774116"/>
        <s v="TRANSPORTFORNSW TAP SYDNEY AUS Card xx8188 Value Date: 23/03/2022"/>
        <s v="TRANSPORTFORNSW TAP SYDNEY AUS Card xx8188 Value Date: 22/03/2022"/>
        <s v="Transfer From ZAHRA NOURI EMAMZADEH Zahra Flowers for Valentine"/>
        <s v="Telstra Direct Debit AUSTRALIA SA AUS Card xx8188 Value Date: 18/03/2022"/>
        <s v="Monthly Go Plus plan Berlin DE DEU Card xx8188 AUD 5.99 Value Date: 19/03/2022"/>
        <s v="GOU SUSHI SURRY HILLS AU"/>
        <s v="Direct Debit 314011 SUMO PAYWAY3170191901"/>
        <s v="AMAZON MARKETPLACE AU SYDNEY SOUTH NS AUS Card xx8188 Value Date: 18/03/2022"/>
        <s v="TRANSPORTFORNSW TAP SYDNEY AUS Card xx8188 Value Date: 17/03/2022"/>
        <s v="TRANSPORTFORNSW TAP SYDNEY AUS Card xx8188 Value Date: 16/03/2022"/>
        <s v="Transfer From ZAHRA NOURI EMAMZADEH Zahra dinner farsi"/>
        <s v="PA RYDE ISE SUPERMARK RYDE NSW AU"/>
        <s v="Transfer to other Bank NetBank netflix"/>
        <s v="WW METRO 1669 SURRY HILLS NS AUS Card xx8188 Value Date: 15/03/2022"/>
        <s v="Salary SERVAUPAYROLL 20415P 85920286"/>
        <s v="MLEKO PTY LTD SURRY HILLS NS AUS Card xx8188 Value Date: 15/03/2022"/>
        <s v="COLES 0849 DRUMMOYNE AU AUS Card xx8188 Value Date: 15/03/2022"/>
        <s v="Direct Debit 502642 Telecom Billing 3014468:5534867:16"/>
        <s v="IGA DRUMMOYNE DRUMMOYNE AUS Card xx8188 Value Date: 11/03/2022"/>
        <s v="HARE G PTY LTD SURRY HILLS AU Card xx8188"/>
        <s v="CHARGRILL MOSMAN Mosman NS AUS Card xx8188 Value Date: 13/03/2022"/>
        <s v="Transfer From ZAHRA NOURI EMAMZADEH Lunch and coffee"/>
        <s v="UBER *EATS Sydney AU AUS Card xx8188 Value Date: 10/03/2022"/>
        <s v="Audible Limited AU MELBOURNE AU AUS Card xx8188 Value Date: 10/03/2022"/>
        <s v="DOORDASH*JASMIN 1 MELBOURNE VI AUS Card xx8188 Value Date: 09/03/2022"/>
        <s v="SCORPTEC COMPUTERS CLAYTON AUS Card xx8188 Value Date: 08/03/2022"/>
        <s v="SCORPTEC COMPUTERS AUBURN NSWAU"/>
        <s v="Transfer From RAMTEAN ROOZBEHANI dirtyfeet"/>
        <s v="DOORDASH*JASMIN 1 MELBOURNE VI AUS Card xx8188 Value Date: 02/03/2022"/>
        <s v="COLES 0849 DRUMMOYNE AU AUS Card xx8188 Value Date: 01/03/2022"/>
        <s v="Salary SERVAUPAYROLL 21105P 85920286"/>
        <s v="Transfer From Mr Louis Robert Reynolds W Jasmine one dinner"/>
        <s v="COLES 0849 DRUMMOYNE AU AUS Card xx8188 Value Date: 28/02/2022"/>
        <s v="TURRAMURRA SUPERMARK TURRAMURRA NS AUS Card xx8188 Value Date: 26/02/2022"/>
        <s v="Telstra Direct Debit AUSTRALIA SA AUS Card xx8188 Value Date: 24/02/2022"/>
        <s v="DOORDASH*JASMIN 1 MELBOURNE VI AUS Card xx8188 Value Date: 28/02/2022"/>
        <s v="Direct Debit 245164 HCFHEALTHANDLIFE 057233969SDSSRHU8K"/>
        <s v="7-ELEVEN 2048 DRUMMOYNE NS AUS Card xx8188 Value Date: 26/02/2022"/>
        <s v="The Party People - Dr Drummoyne AU"/>
        <s v="Subway Birkenhead Point 19 Roseby StrAU"/>
        <s v="Direct Debit 314011 SUMO PAYWAY3153037621"/>
        <s v="Hurricane's Top Ryde Ryde NS AUS Card xx8188 Value Date: 22/02/2022"/>
        <s v="DESTROS PHARMACY DRUMMOYNE NS AUS Card xx8188 Value Date: 19/02/2022"/>
        <s v="Transfer To CoinSpot NetBank 996312644268"/>
        <s v="UBER *EATS Sydney AU AUS Card xx8188 Value Date: 20/02/2022"/>
        <s v="DOORDASH*JASMIN 1 MELBOURNE VI AUS Card xx8188 Value Date: 20/02/2022"/>
        <s v="SoundCloud Berlin DE DEU Card xx8188 AUD 145.00 Value Date: 17/02/2022"/>
        <s v="COLES 0849 DRUMMOYNE AU AUS Card xx8188 Value Date: 16/02/2022"/>
        <s v="UBER *EATS Sydney AU AUS Card xx8188 Value Date: 15/02/2022"/>
        <s v="Salary SERVAUPAYROLL 20385P 85920286"/>
        <s v="GM CABS PTY LTD MASCOT AUS Card xx8188 Value Date: 14/02/2022"/>
        <s v="Direct Debit 502642 Telecom Billing 3014468:5531678:16"/>
        <s v="UBER *TRIP Sydney AU AUS Card xx8188 Value Date: 14/02/2022"/>
        <s v="DESTROS PHARMACY DRUMMOYNE NS AUS Card xx8188 Value Date: 14/02/2022"/>
        <s v="The General &amp; Co. Lilyfield NS AUS Card xx8188 Value Date: 13/02/2022"/>
        <s v="CHARGRILL CHARLIES Drummoyne NS AUS Card xx8188 Value Date: 11/02/2022"/>
        <s v="MANTA WHARF PL WOOLLOOMOOLOO NSW AU Card xx8188"/>
        <s v="Audible Australia MELBOURNE AU AUS Card xx8188 Value Date: 10/02/2022"/>
        <s v="TOP FRUIT MARKET DRUMMOYNE NS AUS Card xx8188 Value Date: 04/02/2022"/>
        <s v="COLES 0849 DRUMMOYNE AU AUS Card xx8188 Value Date: 05/02/2022"/>
        <s v="FARSI RESTAURANT PTY RYDE AU"/>
        <s v="UBER *EATS Sydney AU AUS Card xx8188 Value Date: 03/02/2022"/>
        <s v="SUBMITHUB HOLDINGS LLC 2183964074 DE USA Card xx8188 USD 72.00 Value Date: 03/02/2022"/>
        <s v="International Transaction Fee Value Date: 03/02/2022"/>
        <s v="FiverrEU Nicosia CY CYP Card xx8188 AUD 23.95 Value Date: 03/02/2022"/>
        <s v="PLINEPH BIRKENHEADPOI DRUMMOYNE NSWAU"/>
        <s v="HARRY JUICE &amp; CO PTY L DRUMMOYNE AU"/>
        <s v="DOORDASH*JASMIN 1 MELBOURNE VI AUS Card xx8188 Value Date: 02/02/2022"/>
        <s v="Salary SERVAUPAYROLL 20491P 85920286"/>
        <s v="FiverrEU Nicosia CY CYP Card xx8188 AUD 142.17 Value Date: 01/02/2022"/>
        <s v="Transfer To CoinSpot NetBank 996311638519"/>
        <s v="UBER *EATS Sydney AU AUS Card xx8188 Value Date: 28/01/2022"/>
        <s v="IGA DRUMMOYNE QPS DRUMMOYNE AUS Card xx8188 Value Date: 29/01/2022"/>
        <s v="Direct Debit 245164 HCFHEALTHANDLIFE 057233969S10W8QA6W"/>
        <s v="7-ELEVEN 2048 DRUMMOYNE NS AUS Card xx8188 Value Date: 29/01/2022"/>
        <s v="2CO.COM*- 173639085 89 AMSTERDAM NL NLD Card xx8188 AUD 394.28 Value Date: 28/01/2022 - SWAM Flutes"/>
        <s v="COLES 4788 FIVE DOCK AU AUS Card xx8188 Value Date: 25/01/2022"/>
        <s v="TOP FRUIT MARKET DRUMMOYNE NS AUS Card xx8188 Value Date: 23/01/2022"/>
        <s v="KADMUS ON THE GO P/L DRUMMOYNE NS AUS Card xx8188 Value Date: 20/01/2022"/>
        <s v="IL POLLO FIVE DOCK FIVE DOCK NS AUS Card xx8188 Value Date: 21/01/2022"/>
        <s v="Direct Debit 314011 SUMO PAYWAY3130950061"/>
        <s v="Dick's Hotel Balmain Balmain NS AUS Card xx8188 Value Date: 22/01/2022"/>
        <s v="COLES 4788 FIVE DOCK AU AUS Card xx8188 Value Date: 21/01/2022"/>
        <s v="COLES 0849 DRUMMOYNE AU AUS Card xx8188 Value Date: 23/01/2022"/>
        <s v="Transfer To Louis Wayment CommBank App iou"/>
        <s v="Direct Debit 502642 Telecom Billing 3014468:5530949:21"/>
        <s v="Salary SERVAUPAYROLL 20402P 85920286"/>
        <s v="OFFICEWORKS BENTLEIGH EAS AUS Card xx8188 Value Date: 18/01/2022"/>
        <s v="OFFICEWORKS 0209 GLEBE AU AUS Card xx8188 Value Date: 18/01/2022"/>
        <s v="NATIVE INSTRUMENTS BERLIN BE DEU Card xx8188 AUD 388.00 Value Date: 18/01/2022"/>
        <s v="PAYPAL *TECONTROLAB 4029357733 AU AUS Card xx8188 Value Date: 17/01/2022"/>
        <s v="International Transaction Fee Value Date: 16/01/2022"/>
        <s v="DISTROKID.COM NEW YORK CITY NY USA Card xx8188 USD 35.99 Value Date: 16/01/2022"/>
        <s v="PA RYDE ISE SUPERMARK RYDE NS AUS Card xx8188 Value Date: 14/01/2022"/>
        <s v="Transfer From ZAHRA NOURI EMAMZADEH Zahra Nikan dinner"/>
        <s v="COLES 4788 FIVE DOCK AU AUS Card xx8188 Value Date: 11/01/2022"/>
        <s v="DOMINOS DRUMMOYNE DRUMMOYNE NS AUS Card xx8188 Value Date: 08/01/2022"/>
        <s v="DESTROS PHARMACY DRUMMOYNE NS AUS Card xx8188 Value Date: 09/01/2022"/>
        <s v="Transfer From ZAHRA NOURI EMAMZADEH ZahraLunch"/>
        <s v="CHARGRILL CHARLIES Drummoyne AU"/>
        <s v="Salary SERVAUPAYROLL 19263P 85920286"/>
        <s v="COLES 0849 DRUMMOYNE AU AUS Card xx8188 Value Date: 04/01/2022"/>
        <s v="Transfer From ZAHRA NOURI EMAMZADEH Zahra Burger Value Date: 06/01/2022"/>
        <s v="MCDONALDS DRUMMOYNE DRUMMOYNE NSWAU Value Date: 06/01/2022"/>
        <s v="LIQUORLAND 3301 DRUMMOYNE AU AUS Card xx8188 Value Date: 31/12/2021"/>
        <s v="COLES 0849 DRUMMOYNE AU AUS Card xx8188 Value Date: 31/12/2021"/>
        <s v="Transfer To CoinSpot NetBank 996310271949"/>
        <s v="Transfer from xx8675 CommBank app transfer"/>
        <s v="Direct Debit 245164 HCFHEALTHANDLIFE 057233969SIJC37JKB"/>
        <s v="Transfer To CoinSpot NetBank 996310272076"/>
        <s v="Return MECCA COFFEE ROASTERS ALEXANDRIA NS AUS Card xx8188 Value Date: 30/12/2021"/>
        <s v="BED BATH N TABLE DRUMMOYNE AU"/>
        <s v="Return NATIVE INSTRUMENTS BERLIN BE DEU Card xx8188 AUD 219.00 Value Date: 23/12/2021"/>
        <s v="MECCA COFFEE ROASTERS ALEXANDRIA NS AUS Card xx8188 Value Date: 24/12/2021"/>
        <s v="DOORDASH*IGA SUPERMARK MELBOURNE VI AUS Card xx8188 Value Date: 25/12/2021"/>
        <s v="DESTROS PHARMACY DRUMMOYNE NS AUS Card xx8188 Value Date: 27/12/2021"/>
        <s v="7-ELEVEN 2048 DRUMMOYNE NS AUS Card xx8188 Value Date: 25/12/2021"/>
        <s v="SQ *SHILA KITCHEN Balmain AU"/>
        <s v="Transfer To Zahra Nouri Emamzadeh CommBank App iou"/>
        <s v="NATIVE INSTRUMENTS BERLIN BE DEU Card xx8188 AUD 299.00 Value Date: 23/12/2021"/>
        <s v="DYMOCKS ONLINE SYDNEY AUS Card xx8188 Value Date: 24/12/2021"/>
        <s v="Transfer From H Roozbehani Merry Christmas and Happy New"/>
        <s v="Direct Debit 507426 ENERGY LOCALS 424273"/>
        <s v="Salary SERVAUPAYROLL 20291P 85920286"/>
        <s v="PASTICCERIA PAPA FIV FIVE DOCK AU Card xx8188"/>
        <s v="Love Crepe Russell Lea NS AUS Card xx8188 Value Date: 21/12/2021"/>
        <s v="Direct Debit 314011 SUMO PAYWAY3111514892"/>
        <s v="INTERNATIONAL PARKING RANDWICK AU Card xx8188"/>
        <s v="DESTROS PHARMACY DRUMMOYNE NS AUS Card xx8188 Value Date: 19/12/2021"/>
        <s v="CHEMIST WAREHOUSE BIRK DRUMMOYNE NS AUS Card xx8188 Value Date: 18/12/2021"/>
        <s v="The Oaks Hotel Neutral Bay NS AUS Card xx8188 Value Date: 19/12/2021"/>
        <s v="NATIVE INSTRUMENTS BERLIN BE DEU Card xx8188 AUD 893.25 Value Date: 17/12/2021"/>
        <s v="NATIVE INSTRUMENTS BERLIN BE DEU Card xx8188 AUD 149.00 Value Date: 18/12/2021"/>
        <s v="DOORDASH*JASMIN 1 MELBOURNE VI AUS Card xx8188 Value Date: 17/12/2021"/>
        <s v="COLES 0829 NEUTRAL BAY AU AUS Card xx8188 Value Date: 19/12/2021"/>
        <s v="AMAZON MKTPLC AU SYDNEY SOUTH NS AUS Card xx8188 Value Date: 18/12/2021"/>
        <s v="Direct Debit 502642 Telecom Billing 3014468:5527669:16"/>
        <s v="Transfer To MASOUMEH GHOLAMSHAHI CommBank App iou"/>
        <s v="Return PAYPAL *SOREMIX 4029357733 AU AUS Card xx8188 Value Date: 16/12/2021"/>
        <s v="PAYPAL *SOREMIX 4029357733 AU AUS Card xx8188 Value Date: 15/12/2021"/>
        <s v="DOORDASH*JASMIN 1 MELBOURNE VI AUS Card xx8188 Value Date: 16/12/2021"/>
        <s v="Direct Debit 314011 SUMO PAYWAY3108005352"/>
        <s v="Transfer To Soheyla Gholamshahi CommBank App paying halves for dinner"/>
        <s v="Transfer To MASOUMEH GHOLAMSHAHI CommBank App halves for dinner"/>
        <s v="Reversal Transfer To Soheyla Gholamshahi Invalid creditor account"/>
        <s v="Transfer From RODNEY MAZIK Too the moon"/>
        <s v="Direct Debit 617704 PAYPAL AUSTRALIA 1017409756114"/>
        <s v="UBER *EATS Sydney AU AUS Card xx8188 Value Date: 13/12/2021"/>
        <s v="UBER *EATS Sydney AU AUS Card xx8188 Value Date: 11/12/2021"/>
        <s v="Oxford Hotel DRUMMOYNE AU AUS Card xx8188 Value Date: 09/12/2021"/>
        <s v="Salary SERVAUPAYROLL 20113P 85920286"/>
        <s v="Transfer From Homayoun Happy Birthday Rodean Jan"/>
        <s v="UBER *EATS Sydney AU AUS Card xx8188 Value Date: 05/12/2021"/>
        <s v="EASTWOOD NEW YEN YEN EASTWOOD NS AUS Card xx8188 Value Date: 04/12/2021"/>
        <s v="DOORDASH*JASMIN 1 MELBOURNE VI AUS Card xx8188 Value Date: 05/12/2021"/>
        <s v="Transfer To CoinSpot NetBank 996308729615"/>
        <s v="UBER *EATS Sydney AU AUS Card xx8188 Value Date: 30/11/2021"/>
        <s v="UBER *EATS Sydney AU AUS Card xx8188 Value Date: 29/11/2021"/>
        <s v="Direct Debit 245164 HCFHEALTHANDLIFE 057233969S9NDPRQ6E"/>
        <s v="Direct Debit 502642 Telecom Billing 3014468:5527156:30"/>
        <s v="COLES 0849 DRUMMOYNE AU AUS Card xx8188 Value Date: 25/11/2021"/>
        <s v="AMAZON MKTPLC AU SYDNEY SOUTH NS AUS Card xx8188 Value Date: 28/11/2021"/>
        <s v="7-ELEVEN 2048 DRUMMOYNE NS AUS Card xx8188 Value Date: 25/11/2021"/>
        <s v="Transfer To RAMTEAN ROOZBEHANI CommBank App gig and domain"/>
        <s v="Salary SERVAUPAYROLL 20171P 85920286"/>
        <s v="UBER *EATS Sydney AU AUS Card xx8188 Value Date: 22/11/2021"/>
        <s v="SETTLERS ARMS INN ST ALBANS NS AUS Card xx8188 Value Date: 20/11/2021"/>
        <s v="7-ELEVEN 2048 DRUMMOYNE NS AUS Card xx8188 Value Date: 20/11/2021"/>
        <s v="Transfer From Sofie Teh Thnx 5eva"/>
        <s v="MCDONALDS DURAL DURAL NSWAU"/>
        <s v="POLITIX BIRKIN HEAD DRUMMOYNE NS AUS Card xx8188 Value Date: 18/11/2021"/>
        <s v="COLES 0849 DRUMMOYNE AU AUS Card xx8188 Value Date: 18/11/2021"/>
        <s v="COLES 0849 DRUMMOYNE AU AUS Card xx8188 Value Date: 16/11/2021"/>
        <s v="TELSTRA CORP LTD CommBank app BPAY 23796 2000710343987 telatra bill"/>
        <s v="ROLLING CAFE AUSTRAL DRUMMOYNE NS AUS Card xx8188 Value Date: 14/11/2021"/>
        <s v="Direct Debit 314011 SUMO PAYWAY3086493381"/>
        <s v="COLES 0849 DRUMMOYNE AU AUS Card xx8188 Value Date: 13/11/2021"/>
        <s v="ALDI STORES - DRUMMOYN DRUMMOYNE AUS Card xx8188 Value Date: 13/11/2021"/>
        <s v="Salary SERVAUPAYROLL 20073P 85920286"/>
        <s v="MINSKYS HOTEL CREMORNE AUS Card xx8188 Value Date: 07/11/2021"/>
        <s v="MCDONALDS CREMORNE CREMORNE AUS Card xx8188 Value Date: 07/11/2021"/>
        <s v="GM CABS PTY LTD MASCOT AUS Card xx8188 Value Date: 05/11/2021"/>
        <s v="ENOTECA 128 NEUTRAL BAY NS AUS Card xx8188 Value Date: 06/11/2021"/>
        <s v="CAMINETTO ITALIAN RE THE ROCKS NS AUS Card xx8188 Value Date: 05/11/2021"/>
        <s v="UBER *TRIP Sydney AU AUS Card xx8188 Value Date: 06/11/2021"/>
        <s v="UBER *EATS Sydney AU AUS Card xx8188 Value Date: 06/11/2021"/>
        <s v="The Oaks Hotel Neutral Bay NS AUS Card xx8188 Value Date: 07/11/2021"/>
        <s v="The Oaks Hotel Neutral Bay NS AUS Card xx8188 Value Date: 06/11/2021"/>
        <s v="COLES EXPRESS 1607 CREMORNE AU AUS Card xx8188 Value Date: 07/11/2021"/>
        <s v="Transfer From JOHN MINAI Italian dinner"/>
        <s v="Transfer From JACK BOSENBERG dinner"/>
        <s v="Transfer From DANIEL LOLLBACK Dan Lollback share of dinner"/>
        <s v="Transfer From AARON D'ABRUZZO Boyz Dinner Aaron"/>
        <s v="UNIVERSAL NEWTOWN PT NEWTOWN AUS Card xx8188 Value Date: 30/10/2021"/>
        <s v="GM CABS PTY LTD MASCOT AUS Card xx8188 Value Date: 30/10/2021"/>
        <s v="Wdl ATM CUS AB HOTEL GLEBE NS AU"/>
        <s v="UBER *TRIP Sydney AU AUS Card xx8188 Value Date: 30/10/2021"/>
        <s v="LIQUORLAND 3301 DRUMMOYNE AU AUS Card xx8188 Value Date: 29/10/2021"/>
        <s v="Dick's Hotel Balmain Balmain NS AUS Card xx8188 Value Date: 30/10/2021"/>
        <s v="COLES 0849 DRUMMOYNE AU AUS Card xx8188 Value Date: 29/10/2021"/>
        <s v="Transfer To CoinSpot NetBank 996306738178"/>
        <s v="Direct Debit 245164 HCFHEALTHANDLIFE 057233969SHMNETX2J"/>
        <s v="SQ *ANYTHING BUT HUMBL Erskineville AU"/>
        <s v="SQ *ANYTHING BUT HUMBL Alexandria AU"/>
        <s v="NYMP PTY LTD NEWTOWN NSWAU"/>
        <s v="Salary SERVAUPAYROLL 20351P 85920286"/>
        <s v="PAPADINOS KATOOMBA KATOOMBA NS AUS Card xx8188 Value Date: 22/10/2021"/>
        <s v="Transfer To Kieran Krohn CommBank App accomodation"/>
        <s v="SMP*Victory Cafe Blackheath AU AUS Card xx8188 Value Date: 24/10/2021"/>
        <s v="IGA BLACKHEATH BLACKHEATH AUS Card xx8188 Value Date: 23/10/2021"/>
        <s v="NEW IVANHOE HOTEL Blackheath AU"/>
        <s v="Bottle Shop Blackheath AU"/>
        <s v="7-ELEVEN 2048 DRUMMOYNE NS AUS Card xx8188 Value Date: 21/10/2021"/>
        <s v="TELECOM BILLING SOUTH MELBOUR VI AUS Card xx8188 Value Date: 20/10/2021"/>
        <s v="KATOOMBA WINES KATOOMBA NSWAU"/>
        <s v="SUMO POWER SOUTH MELBOUR AUS Card xx8188 Value Date: 19/10/2021"/>
        <s v="UBER *TRIP Sydney AU AUS Card xx8188 Value Date: 17/10/2021"/>
        <s v="TRANSPORTFORNSW TAP SYDNEY AUS Card xx8188 Value Date: 18/10/2021"/>
        <s v="LIQUORLAND 3301 DRUMMOYNE AU AUS Card xx8188 Value Date: 16/10/2021"/>
        <s v="Transfer From H Roozbehani Soon will be your Birthday"/>
        <s v="CommBank app TFR from ZAHRA NOURI EMAM Ubee"/>
        <s v="Wdl ATM CBA ATM DRUMMOYNE A NSW 215701 AUS"/>
        <s v="COLES 0849 DRUMMOYNE AU AUS Card xx8188 Value Date: 12/10/2021"/>
        <s v="BEATPORT 720-974-9500 CO USA Card xx8188 AUD 1.86 Value Date: 13/10/2021"/>
        <s v="Salary SERVAUPAYROLL 20081P 85920286"/>
        <s v="UBER *EATS Sydney AU AUS Card xx8188 Value Date: 10/10/2021"/>
        <s v="7-ELEVEN 2048 DRUMMOYNE NS AUS Card xx8188 Value Date: 09/10/2021"/>
        <s v="Transfer To Sue Maree Hamilton PayID Phone from CommBank App for rodney"/>
        <s v="STEAMGAMES.COM 4259522 Hamburg DE DEU Card xx8882 AUD 42.95 Value Date: 01/10/2021"/>
        <s v="CommBank app TFR to 0451757385 iou"/>
        <s v="Cardless Cash return petrol"/>
        <s v="Cardless Cash for collection petrol"/>
        <s v="Cardless Cash for collection shopping"/>
        <s v="Direct Debit 245164 HCFHEALTHANDLIFE 057233969SG52ZKZ4X"/>
        <s v="Direct Credit 301500 Rent Trust Accou REIM GAS BILL"/>
        <s v="UBER *EATS Sydney AU AUS Card xx8882 Value Date: 27/09/2021"/>
        <s v="UBER *EATS Sydney AU AUS Card xx8882 Value Date: 26/09/2021"/>
        <s v="Transfer To CoinSpot NetBank 996304227309"/>
        <s v="COLES 0849 DRUMMOYNE AU AUS Card xx8882 Value Date: 19/09/2021"/>
        <s v="ALDI STORES - DRUMMOYN DRUMMOYNE AU Card xx8882"/>
        <s v="TELECOM BILLING SOUTH MELBOUR VI AUS Card xx8882 Value Date: 16/09/2021"/>
        <s v="COLES 0849 DRUMMOYNE AU AUS Card xx8882 Value Date: 15/09/2021"/>
        <s v="Telstra Direct Debit AUSTRALIA SA AUS Card xx8882 Value Date: 14/09/2021"/>
        <s v="Salary SERVAUPAYROLL 20235P 85920286"/>
        <s v="AGL RETAIL ENERGY NetBank BPAY 208892 70804298439409530129 Victoria Pl gas"/>
        <s v="UTS HABERFIELD CLUB HABERFIELD NS AUS Card xx8882 Value Date: 11/09/2021"/>
        <s v="UBER *EATS Sydney AU AUS Card xx8882 Value Date: 11/09/2021"/>
        <s v="LIQUORLAND 3301 DRUMMOYNE AU AUS Card xx8882 Value Date: 10/09/2021"/>
        <s v="COLES 0849 DRUMMOYNE AU AUS Card xx8882 Value Date: 10/09/2021"/>
        <s v="Transfer To CoinSpot NetBank 996303386356"/>
        <s v="AMAZON MKTPLC AU SYDNEY SOUTH NS AUS Card xx8882 Value Date: 07/09/2021"/>
        <s v="UBER *EATS Sydney AU AUS Card xx8882 Value Date: 05/09/2021"/>
        <s v="UBER *EATS Sydney AU AUS Card xx8882 Value Date: 04/09/2021"/>
        <s v="UBER *EATS Sydney AU AUS Card xx8882 Value Date: 03/09/2021"/>
        <s v="COLES 0849 DRUMMOYNE AU AUS Card xx8882 Value Date: 05/09/2021"/>
        <s v="SUMO POWER SOUTH MELBOUR AUS Card xx8882 Value Date: 02/09/2021"/>
        <s v="Salary SERVAUPAYROLL 21151P 85920286"/>
        <s v="Direct Debit 245164 HCFHEALTHANDLIFE 057233969SXTF8KW6K"/>
        <s v="7-ELEVEN 2048 DRUMMOYNE NS AUS Card xx8882 Value Date: 27/08/2021"/>
        <s v="International Transaction Fee Value Date: 22/08/2021"/>
        <s v="BANDCAMP S THE DJ 402-935-7733 CA USA Card xx8882 EUR 1.43 Value Date: 22/08/2021"/>
        <s v="Transfer To CoinSpot NetBank 996302431482"/>
        <s v="PLUGINFOX PORTLAND OR USA Card xx8882 USD 139.00 Value Date: 22/08/2021"/>
        <s v="Transfer From H Roozbehani Present from Father"/>
        <s v="Transfer To CoinSpot NetBank 996302268718"/>
        <s v="HARRIS FARM MARKETS DRUMMOYNE AU Card xx8882"/>
        <s v="Salary SERVAUPAYROLL 20414P 85920286"/>
        <s v="Telstra Direct Debit AUSTRALIA SA AUS Card xx8882 Value Date: 16/08/2021"/>
        <s v="TELECOM BILLING SOUTH MELBOUR VI AUS Card xx8882 Value Date: 16/08/2021"/>
        <s v="IGA DRUMMOYNE DRUMMOYNE AU Card xx8882"/>
        <s v="CONQUEST PTY LTD DRUMMOYNE NS AUS Card xx8882 Value Date: 10/08/2021"/>
        <s v="CITYOFSYDNEY PARKING SYDNEY AUS Card xx8882 Value Date: 10/08/2021"/>
        <s v="LIQUORLAND 3301 DRUMMOYNE AU AUS Card xx8882 Value Date: 09/08/2021"/>
        <s v="COLES 0849 DRUMMOYNE AU AUS Card xx8882 Value Date: 09/08/2021"/>
        <s v="Transfer To CoinSpot NetBank 996301576640"/>
        <s v="Transfer To CoinSpot NetBank 996301576672"/>
        <s v="WWW.DEVICEDEAL.COM.AU VERMONT VI AUS Card xx8882 Value Date: 07/08/2021"/>
        <s v="SUMO POWER SOUTH MELBOUR AUS Card xx8882 Value Date: 03/08/2021"/>
        <s v="Salary SERVAUPAYROLL 20095P 85920286"/>
        <s v="JIMS COMPUTER SERVIC GUILDFORD AU"/>
        <s v="DESTROS PHARMACY DRUMMOYNE NS AUS Card xx8882 Value Date: 31/07/2021"/>
        <s v="THE REJECT SHOP 2299 GLEBE NS AUS Card xx8882 Value Date: 31/07/2021"/>
        <s v="COLES 0849 DRUMMOYNE AU AUS Card xx8882 Value Date: 30/07/2021"/>
        <s v="Direct Debit 245164 HCFHEALTHANDLIFE 057233969SNGZEO00H"/>
        <s v="Transfer To Danny Vardanega CommBank App gamblor"/>
        <s v="Transfer From VARDANEGA DANIEL Winnings"/>
        <s v="Transfer From Homayoun Present"/>
        <s v="SIENELLA PTY LTD RODD POINT NS AUS Card xx8882 Value Date: 25/07/2021"/>
        <s v="COLES 0849 DRUMMOYNE AU AUS Card xx8882 Value Date: 24/07/2021"/>
        <s v="BUNNINGS 595000 ASHFIELD AU Card xx8882"/>
        <s v="Salary SERVAUPAYROLL 20264P 85920286"/>
        <s v="7-ELEVEN 2048 DRUMMOYNE NS AUS Card xx8882 Value Date: 20/07/2021"/>
        <s v="UBER *EATS Sydney AU AUS Card xx8882 Value Date: 16/07/2021"/>
        <s v="TELECOM BILLING SOUTH MELBOUR VI AUS Card xx8882 Value Date: 16/07/2021"/>
        <s v="Wdl ATM CAS CASHCARD DRUMMOYNENS AU"/>
        <s v="Telstra Direct Debit AUSTRALIA SA AUS Card xx8882 Value Date: 15/07/2021"/>
        <s v="FS *Akai Pro Amsterdam NL NLD Card xx8882 AUD 15.99 Value Date: 14/07/2021"/>
        <s v="COLES 0849 DRUMMOYNE AU AUS Card xx8882 Value Date: 12/07/2021"/>
        <s v="UBER *EATS Sydney AU AUS Card xx8882 Value Date: 11/07/2021"/>
        <s v="ROLAND TECHNICAL SER DEE WHY NS AUS Card xx8882 Value Date: 09/07/2021"/>
        <s v="7-ELEVEN 2048 DRUMMOYNE NS AUS Card xx8882 Value Date: 10/07/2021"/>
        <s v="Direct Debit 314011 SUMO PAYWAY3004036904"/>
        <s v="Salary SERVAUPAYROLL 20185P 85920286"/>
        <s v="SERVICE NSW SYDNEY AUS_x000a_Card xx8882_x000a_Value Date: 02/07/2021"/>
        <s v="NRMA WEB SYDNEY NS AUS_x000a_Card xx8882_x000a_Value Date: 02/07/2021"/>
        <s v="UBER *EATS Sydney AU AUS_x000a_Card xx8882_x000a_Value Date: 04/07/2021 "/>
        <s v="D&amp;B Drummoyne Drummoyne NS AUS_x000a_Tap and Pay xx2711_x000a_Value Date: 04/07/2021 "/>
        <s v="IGA DRUMMOYNE DRUMMOYNE AU_x000a_Card xx8882 "/>
        <s v="Transfer From JONATHAN OLIVER_x000a_lunch "/>
        <s v="IGA DRUMMOYNE DRUMMOYNE AU Card xx8882 "/>
        <s v="Trattoria Casa Chiswick NS AUS Card xx8882 Value Date: 30/06/2021"/>
        <s v="UBER *EATS Sydney AU AUS Card xx8882 Value Date: 29/06/2021"/>
        <s v="Direct Debit 245164 HCFHEALTHANDLIFE 057233969SAQXWRXQN"/>
        <s v="7-ELEVEN 2048 DRUMMOYNE NS AUS Card xx8882 Value Date: 29/06/2021"/>
        <s v="Transfer From MASOUMEH GHOLAMSHAHI faciliatete car rego"/>
        <s v="Transfer To RAMTEAN ROOZBEHANI NetBank removalist and cleaner"/>
        <s v=" Transfer from xx8675 NetBank"/>
        <s v="Transfer To Drummoyne Properties Pty Ltd CommBank App 2309vic"/>
        <s v="Salary SERVAUPAYROLL 21013P 85920286"/>
        <s v="UBER *EATS Sydney AU AUS Card xx8882 Value Date: 21/06/2021"/>
        <s v="UBER* TRIP SYDNEY NS AUS Card xx8882 Value Date: 19/06/2021"/>
        <s v="UBER *EATS Sydney AU AUS Card xx8882 Value Date: 19/06/2021"/>
        <s v="UBER *EATS Sydney AU AUS Card xx8882 Value Date: 18/06/2021"/>
        <s v="Transfer to xx8675 NetBank House Deposit"/>
        <s v="BAR TOSCA SYDNEY NS AUS Card xx8882 Value Date: 17/06/2021"/>
        <s v="ARC AT UNSW LTD KENSINGTON AU Card xx8882"/>
        <s v="ULTRA TUNE DRUMMOYNE AU Card xx8882"/>
        <s v="UBER *EATS Sydney AU AUS Card xx8882 Value Date: 16/06/2021"/>
        <s v="Transfer From Ms Katrina T Duncan Kat"/>
        <s v="Telstra Direct Debit AUSTRALIA SA AUS Card xx8882 Value Date: 16/06/2021"/>
        <s v="Menulog Pty Ltd Sydney AU AUS Card xx8882 Value Date: 17/06/2021"/>
        <s v="UBER *EATS Sydney AU AUS Card xx8882 Value Date: 15/06/2021"/>
        <s v="Transfer From GEOFFREY COLLINS G electric"/>
        <s v="UBER *TRIP Sydney AU AUS Card xx8882 Value Date: 13/06/2021"/>
        <s v="UBER *EATS Sydney AU AUS Card xx8882 Value Date: 14/06/2021"/>
        <s v="7-ELEVEN 2048 DRUMMOYNE NS AUS Card xx8882 Value Date: 13/06/2021"/>
        <s v="WOOLWORTHS 1248 SYDNEY NS AUS Card xx8882 Value Date: 12/06/2021"/>
        <s v="UME Restaurant Surry Hills NS AUS Card xx8882 Value Date: 12/06/2021"/>
        <s v="UBER* EATS SYDNEY NS AUS Card xx8882 Value Date: 13/06/2021"/>
        <s v="UBER *EATS Sydney AU AUS Card xx8882 Value Date: 11/06/2021"/>
        <s v="Menulog Pty Ltd Sydney AU AUS Card xx8882 Value Date: 12/06/2021"/>
        <s v="CARRINGTON 565 PTY L SURRY HILLS NS AUS Card xx8882 Value Date: 12/06/2021"/>
        <s v="UBER *EATS Sydney AU AUS Card xx8882 Value Date: 10/06/2021"/>
        <s v="CommBank app TFR to 0426276026 iou"/>
        <s v="Direct Debit 314011 SUMO PAYWAY2983079229"/>
        <s v="Transfer From RAMTEAN ROOZBEHANI old rent return"/>
        <s v="TELECOM BILLING SOUTH MELBOUR VI AUS Card xx8882 Value Date: 08/06/2021"/>
        <s v="Salary SERVAUPAYROLL 21345P 85920286"/>
        <s v="Transfer To Katrina Duncan PayID Phone from CommBank App food iou"/>
        <s v="Transfer From RAMTEAN ROOZBEHANI electricity"/>
        <s v="LINKT SYDNEY SYDNEY AUS Card xx8882 Value Date: 08/06/2021"/>
        <s v="COLES 0849 DRUMMOYNE AU AUS Tap and Pay xx2711 Value Date: 06/06/2021"/>
        <s v="SILVER SPOON BISTRO SURRY HILLS NS AUS Card xx8882 Value Date: 03/06/2021"/>
        <s v="COLES 0849 DRUMMOYNE AU AUS Card xx8882 Value Date: 06/06/2021"/>
        <s v="NSW RENTAL BOND PARRAMATTA AUS Card xx8882 Value Date: 03/06/2021"/>
        <s v="WOOLWORTHS 1248 SYDNEY NS AUS Card xx8882 Value Date: 02/06/2021"/>
        <s v="PHOTOWN Alexandria NS AUS Card xx8882 Value Date: 02/06/2021"/>
        <s v="TRANSPORTFORNSW OPAL CHIPPENDALE AUS Card xx8882 Value Date: 02/06/2021"/>
        <s v="TAXI COMBINED 133300 ALEXANDRIA NS AUS Card xx8882 Value Date: 29/05/2021"/>
        <s v="UBER *TRIP Sydney AU AUS Card xx8882 Value Date: 29/05/2021"/>
        <s v="UBER *EATS Sydney AU AUS Card xx8882 Value Date: 29/05/2021"/>
        <s v="UBER *EATS Sydney AU AUS Card xx8882 Value Date: 28/05/2021"/>
        <s v="STEAMGAMES.COM 4259522 Hamburg DE DEU Card xx8882 AUD 28.95 Value Date: 29/05/2021"/>
        <s v="Internet share"/>
        <s v="Direct Debit 245164 HCFHEALTHANDLIFE 057233969SX0QN422Z"/>
        <s v="Dick's Hotel Balmain Balmain NS AUS Card xx8882 Value Date: 29/05/2021"/>
        <s v="BWS LIQUOR 1601 DRUMMOYNE NS AUS Card xx8882 Value Date: 28/05/2021"/>
        <s v="BRIDGE HOTEL ROZELLE ROZELLE NS AUS Card xx8882 Value Date: 30/05/2021"/>
        <s v="AGR SERVICES PTY LTD SYDNEY NS AUS Card xx8882 Value Date: 28/05/2021"/>
        <s v="Transfer From GEOFFREY COLLINS geoff shake"/>
        <s v="BAR TOSCA SYDNEY NS AUS Card xx8882 Value Date: 27/05/2021"/>
        <s v="BAR TOSCA SYDNEY NS AUS Card xx8882 Value Date: 26/05/2021"/>
        <s v="Salary SERVAUPAYROLL 20343P 85920286"/>
        <s v="Menulog Pty Ltd Sydney AU AUS Card xx8882 Value Date: 25/05/2021"/>
        <s v="Menulog Pty Ltd Sydney AU AUS Card xx8882 Value Date: 23/05/2021"/>
        <s v="International Transaction Fee Value Date: 24/05/2021"/>
        <s v="BEYOU CHAIR 2362576589 DE USA Card xx8882 USD 329.00 Value Date: 24/05/2021"/>
        <s v="Transfer From RAMTEAN ROOZBEHANI food"/>
        <s v="WW METRO 1669 SURRY HILLS NS AUS Card xx8882 Value Date: 20/05/2021"/>
        <s v="BAR TOSCA SYDNEY NS AUS Card xx8882 Value Date: 20/05/2021"/>
        <s v="TRANSPORTFORNSW OPAL CHIPPENDALE AUS Card xx8882 Value Date: 20/05/2021"/>
        <s v="BAR TOSCA SYDNEY NS AUS Card xx8882 Value Date: 19/05/2021"/>
        <s v="Telstra Direct Debit AUSTRALIA SA AUS Card xx8882 Value Date: 17/05/2021"/>
        <s v="SPOTTO NSW DARLINGHURSTN NS AUS Card xx8882 Value Date: 16/05/2021"/>
        <s v="SPEEDW AY ROSEVILLE ROSEVILLE NS AUS Card xx8882 Value Date: 14/05/2021"/>
        <s v="UBER *EATS Sydney AU AUS Card xx8882 Value Date: 16/05/2021"/>
        <s v="STRIKE AUSTRALIA PTY SYDNEY NS AUS Card xx8882 Value Date: 15/05/2021"/>
        <s v="SHWARMAMA PTY LTD SURRY HILLS NS AUS Tap and Pay xx2711 Value Date: 12/05/2021"/>
        <s v="NBC-PAY &amp; DISPLAY PARK DEE WHY AUS Card xx8882 Value Date: 14/05/2021"/>
        <s v="BETTYS BURGERS AUSTRAL BONDI JUNCTIOAU Card xx8882"/>
        <s v="Barangaroo House Barangaroo AU"/>
        <s v="BAR TOSCA SYDNEY NS AUS Card xx8882 Value Date: 13/05/2021"/>
        <s v="ALDI STORES - DRUMMOYN DRUMMOYNE AUS Tap and Pay xx2711 Value Date: 11/05/2021"/>
        <s v="Transfer to CBA A/c CommBank app gig iou"/>
        <s v="TRANSPORTFORNSW OPAL CHIPPENDALE AUS Card xx8882 Value Date: 12/05/2021"/>
        <s v="Transfer From GEOFFREY COLLINS electricity"/>
        <s v="Salary SERVAUPAYROLL 20223P 85920286"/>
        <s v="Menulog Pty Ltd Sydney AU AUS Card xx8882 Value Date: 12/05/2021"/>
        <s v="Direct Debit 314011 SUMO PAYWAY2961317502"/>
        <s v="UBER *EATS Sydney AU AUS Card xx8882 Value Date: 10/05/2021"/>
        <s v="RAMTEAN  food"/>
        <s v="Menulog Pty Ltd Sydney AU AUS Card xx8882 Value Date: 11/05/2021"/>
        <s v="WW METRO 1669 SURRY HILLS NS AUS Tap and Pay xx2711 Value Date: 07/05/2021"/>
        <s v="UBER *EATS Sydney AU AUS Card xx8882 Value Date: 09/05/2021"/>
        <s v="UBER *EATS Sydney AU AUS Card xx8882 Value Date: 08/05/2021"/>
        <s v="SHWARMAMA PTY LTD SURRY HILLS NS AUS Tap and Pay xx2711 Value Date: 07/05/2021"/>
        <s v="Netbank to Complete Access CommBank app crpyto"/>
        <s v="Katrina Duncan PayID Phone from CommBank App food iou"/>
        <s v="House Deposit"/>
        <s v="BAR TOSCA SYDNEY NS AUS Tap and Pay xx2711 Value Date: 06/05/2021"/>
        <s v="Camy's Chargrill SH Surry Hills NS AUS Tap and Pay xx2711 Value Date: 05/05/2021"/>
        <s v="H Roozbehani Gift to Rodean from Dad"/>
        <s v="Oxford Hotel DRUMMOYNE AU AUS Tap and Pay xx2711 Value Date: 02/05/2021"/>
        <s v="UBER *EATS Sydney AU AUS Card xx8882 Value Date: 02/05/2021"/>
        <s v="TENKOMORI SYDNEY AUS Tap and Pay xx2711 Value Date: 30/04/2021"/>
        <s v="Katrina Duncan PayID Phone from CommBank App VR"/>
        <s v="grunt electricity"/>
        <s v="Direct Debit 245164 HCFHEALTHANDLIFE 057233969SV6VQ6565"/>
        <s v="Rio Ticket Louis Wayment"/>
        <s v="PHOTOWN Alexandria NS AUS Tap and Pay xx2711 Value Date: 29/04/2021"/>
        <s v="Camy's Chargrill SH Surry Hills NS AUS Tap and Pay xx2711 Value Date: 29/04/2021"/>
        <s v="UBER *EATS Sydney AU AUS Card xx8882 Value Date: 28/04/2021"/>
        <s v="TAXI COMBINED 133300 ALEXANDRIA NS AUS Tap and Pay xx2711 Value Date: 28/04/2021"/>
        <s v="DOORDASH*DOS SENORITAS MELBOURNE VI AUS Card xx8882 Value Date: 29/04/2021"/>
        <s v="CITY CONVENIENCE STORE HAYMARKET NS AUS Tap and Pay xx2711 Value Date: 27/04/2021"/>
        <s v="BAR BROADWAY BROADWAY AUS Tap and Pay xx2711 Value Date: 27/04/2021"/>
        <s v="TRANSPORTFORNSW OPAL CHIPPENDALE AUS Card xx8882 Value Date: 27/04/2021"/>
        <s v="Salary SERVAUPAYROLL 19431P 85920286"/>
        <s v="Rent"/>
        <s v="Kyo-To Spice Alley Chippendale NS AUS Tap and Pay xx2711 Value Date: 27/04/2021"/>
        <s v="Ground Floor Estab Sydney NS AUS Tap and Pay xx2711 Value Date: 28/04/2021"/>
        <s v="ACTIVE8 POOL TABLES KIRRAWEE NS AUS Tap and Pay xx2711 Value Date: 27/04/2021"/>
        <s v="MCDONALDS NAMBUCCA HD VALLA AUS Tap and Pay xx2711 Value Date: 23/04/2021"/>
        <s v="MCDONALDS F3 NORTHBOU JILLIBY AUS Tap and Pay xx2711 Value Date: 23/04/2021"/>
        <s v="COLES 0849 DRUMMOYNE AU AUS Tap and Pay xx2711 Value Date: 26/04/2021"/>
        <s v="BVL PARTNERSHIP PL BELLINGEN NS AUS Card xx8882 Value Date: 23/04/2021"/>
        <s v="BP NAMBUCCA TRVL CTR 7 VALLA NS AUS Tap and Pay xx2711 Value Date: 23/04/2021"/>
        <s v="UNITED DORRIGO DORRIGO NS AUS Tap and Pay xx2711 Value Date: 23/04/2021"/>
        <s v="RAMTEAN  loan"/>
        <s v="Netbank to Complete Access CommBank app"/>
        <s v="Hilltop at the Lodge Bellingen NS AUS Tap and Pay xx2711 Value Date: 25/04/2021"/>
        <s v="EBOR PUB PL EBOR AUS Tap and Pay xx2711 Value Date: 23/04/2021"/>
        <s v="CALTEX COOLONGOLOOK COOLONGOLOOK AUS Tap and Pay xx2711 Value Date: 25/04/2021"/>
        <s v="Overdraw Fee For exceeding available funds on 23 Apr"/>
        <s v="MANGO COCO THAI DESSER HAYMARKET AUS Tap and Pay xx2711 Value Date: 22/04/2021"/>
        <s v="7-ELEVEN 2048 DRUMMOYNE NS AUS Tap and Pay xx2711 Value Date: 22/04/2021"/>
        <s v="Menulog Pty Ltd Sydney AU AUS Card xx8882 Value Date: 22/04/2021"/>
        <s v="BAR TOSCA SYDNEY NS AUS Tap and Pay xx2711 Value Date: 21/04/2021"/>
        <s v="Dick Smith FKFBJM9Y Melbourne AU AUS Card xx8882 Value Date: 20/04/2021 (Kogan Fridge)"/>
        <s v="Telstra Direct Debit AUSTRALIA SA AUS Card xx8882 Value Date: 19/04/2021"/>
        <s v="RAMTEAN  fridge"/>
        <s v="Menulog Pty Ltd Sydney AU AUS Card xx8882 Value Date: 19/04/2021"/>
        <s v="COLES 0849 DRUMMOYNE AU AUS Card xx8882 Value Date: 19/04/2021"/>
        <s v="WW METRO 1669 SURRY HILLS NS AUS Card xx8882 Value Date: 16/04/2021"/>
        <s v="UBER* TRIP SYDNEY NS AUS Card xx8882 Value Date: 18/04/2021"/>
        <s v="UBER *TRIP Sydney AU AUS Card xx8882 Value Date: 17/04/2021"/>
        <s v="UBER *EATS Sydney AU AUS Card xx8882 Value Date: 17/04/2021"/>
        <s v="UBER *EATS Sydney AU AUS Card xx8882 Value Date: 16/04/2021"/>
        <s v="OXFORD WORLD SQUARE SYDNEY AU AUS Card xx8882 Value Date: 16/04/2021"/>
        <s v="geoff fridge"/>
        <s v="Coinspot Deposit 996194599870"/>
        <s v="PHOTOWN Alexandria NS AUS Card xx8882 Value Date: 15/04/2021"/>
        <s v="TRANSPORTFORNSW OPAL CHIPPENDALE AUS Card xx8882 Value Date: 15/04/2021"/>
        <s v="SHWARMAMA PTY LTD SURRY HILLS AU"/>
        <s v="Menulog Pty Ltd Sydney AU AUS Card xx8882 Value Date: 14/04/2021"/>
        <s v="BAR TOSCA SYDNEY NS AUS Card xx8882 Value Date: 14/04/2021"/>
        <s v="Salary SERVAUPAYROLL 20043P 85920286"/>
        <s v="UBER *EATS Sydney AU AUS Card xx8882 Value Date: 11/04/2021"/>
        <s v="UBER *EATS Sydney AU AUS Card xx8882 Value Date: 10/04/2021"/>
        <s v="COLES 0849 DRUMMOYNE AU AUS Tap and Pay xx2711 Value Date: 11/04/2021"/>
        <s v="UBER *EATS Sydney AU AUS Card xx8882 Value Date: 09/04/2021"/>
        <s v="RAMTEAN  foods"/>
        <s v="geoff wedges"/>
        <s v="H Roozbehani Gift"/>
        <s v="Coinspot Deposit 996194104530"/>
        <s v="MASOUMEH GHOLAMSHAHI To Rodean for business"/>
        <s v="MASOUMEH GHOLAMSHAHI the rest for investment business"/>
        <s v="MASOUMEH GHOLAMSHAHI CREDIT TO ACCOUNT"/>
        <s v="Coinspot Deposit 996194070673"/>
        <s v="Coinspot Deposit 996194069976"/>
        <s v="Jonathan K Oliver CommBank App iou"/>
        <s v="Coinspot Deposit 996194045018"/>
        <s v="BAR TOSCA SYDNEY NS AUS Card xx8882 Value Date: 07/04/2021"/>
        <s v="UBER *EATS Sydney AU AUS Card xx8882 Value Date: 05/04/2021"/>
        <s v="UBER *EATS Sydney AU AUS Card xx8882 Value Date: 04/04/2021"/>
        <s v="TENKOMORI SYDNEY AU Card xx8882"/>
        <s v="Return ETORO INTERNET AU AUS Card xx8882 Value Date: 05/04/2021"/>
        <s v="Microsoft*Microsoft 36 msbill.info AU AUS Card xx8882 Value Date: 06/04/2021"/>
        <s v="COLES 0849 DRUMMOYNE AU AUS Card xx8882 Value Date: 06/04/2021"/>
        <s v="UBER *EATS Sydney AU AUS Card xx8882 Value Date: 03/04/2021"/>
        <s v="Direct Credit 067596 OZFOREX LIMITED HELLOSTAKE.COM"/>
        <s v="Coinspot Deposit 996193760461"/>
        <s v="Jonathan K Oliver CommBank App food"/>
        <s v="RAMTEAN  CommBank App iou"/>
        <s v="RAMTEAN  CommBank App facebook ad spend"/>
        <s v="UBER *EATS Sydney AU AUS Card xx8882 Value Date: 29/03/2021"/>
        <s v="TRANSPORTFORNSW OPAL CHIPPENDALE AUS Card xx8882 Value Date: 31/03/2021"/>
        <s v="Direct Debit 245164 HCFHEALTHANDLIFE 057233969SMD0W3KGM"/>
        <s v="COLES 0849 DRUMMOYNE AU AUS Tap and Pay xx2711 Value Date: 29/03/2021"/>
        <s v="xx0814 CommBank app"/>
        <s v="UBER* EATS SYDNEY NS AUS Card xx8882 Value Date: 27/03/2021"/>
        <s v="UBER *EATS Sydney AU AUS Card xx8882 Value Date: 28/03/2021"/>
        <s v="Direct Debit 314011 SUMO PAYWAY2926416056"/>
        <s v="ETORO INTERNET AU AUS Card xx8882 Value Date: 26/03/2021"/>
        <s v="CENTENNIAL PLAZA PHR SYDNEY NS AUS Card xx8882 Value Date: 25/03/2021"/>
        <s v="BAR TOSCA SYDNEY NS AUS Card xx8882 Value Date: 26/03/2021"/>
        <s v="COLES 0849 DRUMMOYNE AU AUS Card xx8882 Value Date: 24/03/2021"/>
        <s v="WW METRO 1669 SURRY HILLS NS AUS Card xx8882 Value Date: 24/03/2021"/>
        <s v="SQ *SURRY HILLS DUMPLI Surry Hills AU"/>
        <s v="UBER *EATS Sydney AU AUS Card xx8882 Value Date: 21/03/2021"/>
        <s v="Return AIRBNB * HMKYJT9CSQ Surry Hills AU AUS Card xx8882 Value Date: 20/03/2021"/>
        <s v="geoff electricity p1"/>
        <s v="Telstra Direct Debit AUSTRALIA SA AUS Card xx8882 Value Date: 18/03/2021"/>
        <s v="ESEL Pty Ltd Lidcombe AU AUS Card xx8882 Value Date: 20/03/2021"/>
        <s v="AIRBNB * HMKYJT9CSQ Surry Hills AU AUS Card xx8882 Value Date: 18/03/2021"/>
        <s v="WW METRO 1669 SURRY HILLS NS AUS Card xx8882 Value Date: 18/03/2021"/>
        <s v="PHOTOWN Alexandria NS AUS Card xx8882 Value Date: 18/03/2021"/>
        <s v="NETFLIX.COM Melbourne AU AUS Card xx8882 Value Date: 18/03/2021"/>
        <s v="TRANSPORTFORNSW OPAL CHIPPENDALE AUS Card xx8882 Value Date: 18/03/2021"/>
        <s v="Salary SERVAUPAYROLL 19560P 85920286"/>
        <s v="Woolwich Pier Woolwich AU AUS Card xx8882 Value Date: 13/03/2021"/>
        <s v="UBER *EATS Sydney AU AUS Card xx8882 Value Date: 14/03/2021"/>
        <s v="COLES 0849 DRUMMOYNE AU AUS Card xx8882 Value Date: 15/03/2021"/>
        <s v="Unpaid Payment Fee Value Date: 15/03/2021"/>
        <s v="Return 15/03/21 Direct Debit 314011 SUMO PAYWAY2913696277 Value Date: 15/03/2021"/>
        <s v="Overdraw Fee For exceeding available funds on 15 Mar"/>
        <s v="Menulog Pty Ltd Sydney AU AUS Card xx8882 Value Date: 13/03/2021"/>
        <s v="CITY MART 525 PTY LT SYDNEY NS AUS Card xx8882 Value Date: 12/03/2021"/>
        <s v="BAR TOSCA SYDNEY NS AUS Card xx8882 Value Date: 12/03/2021"/>
        <s v="Direct Debit 314011 SUMO PAYWAY2913696277"/>
        <s v="PHOTOWN Alexandria NS AUS Tap and Pay xx2711 Value Date: 11/03/2021"/>
        <s v="WW METRO 1669 CENTRAL STATN NS AUS Card xx8882 Value Date: 10/03/2021"/>
        <s v="COLES 0849 DRUMMOYNE AU AUS Card xx8882 Value Date: 08/03/2021"/>
        <s v="7-ELEVEN 2048 DRUMMOYNE NS AUS Card xx8882 Value Date: 09/03/2021"/>
        <s v="Coinspot Deposit 996192019081"/>
        <s v="WW METRO 1669 CENTRAL STATN NS AUS Card xx8882 Value Date: 05/03/2021"/>
        <s v="UBER *TRIP Sydney AU AUS Card xx8882 Value Date: 04/03/2021"/>
        <s v="TRANSPORTFORNSW OPAL CHIPPENDALE AUS Card xx8882 Value Date: 05/03/2021"/>
        <s v="PHOTOWN Alexandria NS AUS Card xx8882 Value Date: 05/03/2021"/>
        <s v="Jonathan K Oliver CommBank App food iou"/>
        <s v="RELISH FOOD CO. PTY. L SURRY HILLS AU Card xx8882"/>
        <s v="UBER *EATS Sydney AU AUS Card xx8882 Value Date: 28/02/2021"/>
        <s v="WW METRO 1669 CENTRAL STATN NS AUS Card xx8882 Value Date: 26/02/2021"/>
        <s v="RAMTEAN  CommBank App food iou"/>
        <s v="Direct Debit 245164 HCFHEALTHANDLIFE 057233969SUJREZY8W"/>
        <s v="WW METRO 1669 CENTRAL STATN NS AUS Card xx8882 Value Date: 25/02/2021"/>
        <s v="PHOTOWN Alexandria NS AUS Card xx8882 Value Date: 25/02/2021"/>
        <s v="TRANSPORTFORNSW OPAL CHIPPENDALE AUS Card xx8882 Value Date: 25/02/2021"/>
        <s v="Direct Credit 012721 ATO ATO005000014206811"/>
        <s v="UBER* EATS SYDNEY NS AUS Card xx8882 Value Date: 21/02/2021"/>
        <s v="UBER *EATS Sydney AU AUS Card xx8882 Value Date: 20/02/2021"/>
        <s v="Oxford Hotel DRUMMOYNE AU AUS Card xx8882 Value Date: 21/02/2021"/>
        <s v="COLES 0849 DRUMMOYNE AU AUS Card xx8882 Value Date: 22/02/2021"/>
        <s v="7-ELEVEN 2048 DRUMMOYNE NS AUS Card xx8882 Value Date: 22/02/2021"/>
        <s v="WW METRO 1669 CENTRAL STATN NS AUS Card xx8882 Value Date: 19/02/2021"/>
        <s v="geoff dinner"/>
        <s v="WW METRO 1669 CENTRAL STATN NS AUS Card xx8882 Value Date: 17/02/2021"/>
        <s v="TRANSPORTFORNSW OPAL CHIPPENDALE AUS Card xx8882 Value Date: 18/02/2021"/>
        <s v="PHOTOWN Alexandria NS AUS Card xx8882 Value Date: 17/02/2021"/>
        <s v="UBER *EATS Sydney AU AUS Card xx8882 Value Date: 15/02/2021"/>
        <s v="Telstra Direct Debit AUSTRALIA SA AUS Card xx8882 Value Date: 16/02/2021"/>
        <s v="Salary SERVAUPAYROLL 20172P 85920286"/>
        <s v="UBER* EATS SYDNEY NS AUS Card xx8882 Value Date: 14/02/2021"/>
        <s v="WW METRO 1669 CENTRAL STATN NS AUS Card xx8882 Value Date: 12/02/2021"/>
        <s v="Dick's Hotel Balmain Balmain NS AUS Card xx8882 Value Date: 12/02/2021"/>
        <s v="xx0814 CommBank app stock"/>
        <s v="WW METRO 1669 CENTRAL STATN NS AUS Card xx8882 Value Date: 11/02/2021"/>
        <s v="Coinspot Deposit 135209500 815C8A09"/>
        <s v="WW METRO 1669 CENTRAL STATN NS AUS Card xx8882 Value Date: 10/02/2021"/>
        <s v="PHOTOWN Alexandria NS AUS Card xx8882 Value Date: 10/02/2021"/>
        <s v="TRANSPORTFORNSW OPAL CHIPPENDALE AUS Card xx8882 Value Date: 10/02/2021"/>
        <s v="Direct Debit 314011 SUMO PAYWAY2887933873"/>
        <s v="COLES 0849 DRUMMOYNE AU AUS Card xx8882 Value Date: 09/02/2021"/>
        <s v="UBER *EATS Sydney AU AUS Card xx8882 Value Date: 07/02/2021"/>
        <s v="WW METRO 1669 CENTRAL STATN NS AUS Card xx8882 Value Date: 05/02/2021"/>
        <s v="WW METRO 1669 CENTRAL STATN NS AUS Card xx8882 Value Date: 04/02/2021"/>
        <s v="SQ *THE TASTE OF BEES Drummoyne AU"/>
        <s v="PHOTOWN Alexandria NS AUS Card xx8882 Value Date: 04/02/2021"/>
        <s v="WW METRO 1669 CENTRAL STATN NS AUS Card xx8882 Value Date: 03/02/2021"/>
        <s v="Salary SERVAUPAYROLL 19331P 85920286"/>
        <s v="UBER* EATS SYDNEY NS AUS Card xx8882 Value Date: 31/01/2021"/>
        <s v="UBER *EATS Sydney AU AUS Card xx8882 Value Date: 31/01/2021"/>
        <s v="UBER *EATS Sydney AU AUS Card xx8882 Value Date: 30/01/2021"/>
        <s v="COLES 0849 DRUMMOYNE AU AUS Card xx8882 Value Date: 01/02/2021"/>
        <s v="BAR TOSCA SYDNEY NS AUS Card xx8882 Value Date: 29/01/2021"/>
        <s v="7-ELEVEN 2048 DRUMMOYNE NS AUS Card xx8882 Value Date: 29/01/2021"/>
        <s v="Direct Debit 245164 HCFHEALTHANDLIFE 057233969S4GPZVYTG"/>
        <s v="Coinspot Deposit 996189508621"/>
        <s v="Coinspot Deposit 996189508474"/>
        <s v="WW METRO 1669 CENTRAL STATN NS AUS Card xx8882 Value Date: 28/01/2021"/>
        <s v="WW METRO 1669 CENTRAL STATN NS AUS Card xx8882 Value Date: 27/01/2021"/>
        <s v="TRANSPORTFORNSW OPAL CHIPPENDALE AUS Card xx8882 Value Date: 28/01/2021"/>
        <s v="PHOTOWN Alexandria NS AUS Card xx8882 Value Date: 27/01/2021"/>
        <s v="POLITIX BIRKIN HEAD DRUMMOYNE NS AUS Card xx8882 Value Date: 23/01/2021"/>
        <s v="ME-AND-U 0290578500 NS AUS Card xx8882 Value Date: 25/01/2021"/>
        <s v="CONQUEST PTY LTD DRUMMOYNE NS AUS Card xx8882 Value Date: 24/01/2021"/>
        <s v="Bendooley Estate Berrima NS AUS Card xx8882 Value Date: 25/01/2021"/>
        <s v="WW METRO 1669 CENTRAL STATN NS AUS Card xx8882 Value Date: 22/01/2021"/>
        <s v="UBER *EATS Sydney AU AUS Card xx8882 Value Date: 21/01/2021"/>
        <s v="SUMO POWER SOUTH MELBOUR AUS Card xx8882 Value Date: 21/01/2021"/>
        <s v="SERVICE NSW 4007 HAYMARKET AUS Card xx8882 Value Date: 22/01/2021"/>
        <s v="Royal Hotel Bowral Bowral AU"/>
        <s v="Katrina Duncan PayID Phone from CommBank App iou"/>
        <s v="SOUTHERN HT 4872480 SYDNEY NSW AU"/>
        <s v="CENTENNIAL VINEYARDS BOWRAL AU Card xx8882"/>
        <s v="Camy's Chargrill SH Surry Hills NS AUS Tap and Pay xx2711 Value Date: 21/01/2021"/>
        <s v="WW METRO 1669 CENTRAL STATN NS AUS Card xx8882 Value Date: 20/01/2021"/>
        <s v="PHOTOWN Alexandria NS AUS Card xx8882 Value Date: 20/01/2021"/>
        <s v="TRANSPORTFORNSW OPAL CHIPPENDALE AUS Card xx8882 Value Date: 20/01/2021"/>
        <s v="TOP FRUIT MARKET DRUMMOYNE NS AUS Card xx8882 Value Date: 19/01/2021"/>
        <s v="Telstra Direct Debit AUSTRALIA SA AUS Card xx8882 Value Date: 18/01/2021"/>
        <s v="SUMO POWER SOUTH MELBOUR AUS Card xx8882 Value Date: 18/01/2021"/>
        <s v="Salary SERVAUPAYROLL 20092P 85920286"/>
        <s v="MASOUMEH GHOLAMSHAHI Dinner order"/>
        <s v="GM CABS PTY LTD MASCOT AUS Card xx8882 Value Date: 17/01/2021"/>
        <s v="LEGION CAB SY 131451 DARLINGHURST NS AUS Card xx8882 Value Date: 16/01/2021"/>
        <s v="HOLEY MOLEY AUSTRALI POTTS POINT NS AUS Card xx8882 Value Date: 16/01/2021"/>
        <s v="UBER* EATS SYDNEY NS AUS Card xx8882 Value Date: 15/01/2021"/>
        <s v="Withdrawal   ATMCAS POTTS POINT NSW NS AU"/>
        <s v="ROZELLE PHARMACY PTY ROZELLE AU Card xx8882"/>
        <s v="Potts Point Hotel Potts Point AU"/>
        <s v="COLES 0849 DRUMMOYNE AU AUS Card xx8882 Value Date: 11/01/2021"/>
        <s v="WW METRO 1669 CENTRAL STATN NS AUS Card xx8882 Value Date: 11/01/2021"/>
        <s v="UBER *EATS Sydney AU AUS Card xx8882 Value Date: 10/01/2021"/>
        <s v="UBER* EATS SYDNEY NS AUS Card xx8882 Value Date: 08/01/2021"/>
        <s v="MANNYS Alexandria NS AUS Card xx8882 Value Date: 09/01/2021 (Behringer Ultragain, Presonous USB interface for Grunt, HOSA Snake cable, Toslink cables, Coax cables, Akai Fire)"/>
        <s v="Direct Credit 398088 OPTUS BILLING 62103618682"/>
        <s v="RAMTEAN  music equipment"/>
        <s v="food iou"/>
        <s v="KHANS IGA GERRINGONG GERRINGONG AUS Card xx8882 Value Date: 06/01/2021"/>
        <s v="BLOOMS THE CHEMIST LEICHHARDT AU Card xx8882"/>
        <s v="Salary SERVAUPAYROLL 20103P 85920286"/>
        <s v="OVOLO WOOLOOMOOLOO WOOLLOOMOOLOO NS AUS Card xx8882 Value Date: 02/01/2021"/>
        <s v="UBER *TRIP Sydney AU AUS Card xx8882 Value Date: 02/01/2021"/>
        <s v="JB HI FI LEICHHARDT NS AUS Card xx8882 Value Date: 03/01/2021"/>
        <s v="Direct Debit 245164 HCFHEALTHANDLIFE 057233969SOIBTBIBY"/>
        <s v="Withdrawal   ATMETX DASH ATM FORBES ST SYDNEY AU"/>
        <s v="THE LORD NELSON BREW THE ROCKS NSWAU"/>
        <s v="GLENMORE ROOFTOP HOT THE ROCKS AU Card xx8882"/>
        <s v="UBER *EATS Sydney AU AUS Card xx8882 Value Date: 29/12/2020"/>
        <s v="TELSTRA PAYBYPHONE MELBOURNE VI AUS Card xx8882 Value Date: 30/12/2020"/>
        <s v="LIQUORLAND 3301 DRUMMOYNE AU AUS Card xx8882 Value Date: 30/12/2020"/>
        <s v="COLES 0849 DRUMMOYNE AU AUS Card xx8882 Value Date: 30/12/2020"/>
        <s v="UBER *EATS Sydney AU AUS Card xx8882 Value Date: 28/12/2020"/>
        <s v="JB HI FI LEICHHARDT NS AUS Card xx8882 Value Date: 26/12/2020 (Drone Accessories: SD Card + Propellors)"/>
        <s v="7-ELEVEN 2205 WEST PENNANT NS AUS Card xx8882 Value Date: 25/12/2020"/>
        <s v="Thendro Pty Ltd Melbourne AUS Card xx8882 Value Date: 23/12/2020"/>
        <s v="PRIME QUALITY MEATS LEICHHARDT NS AUS Card xx8882 Value Date: 23/12/2020"/>
        <s v="JB HI FI LEICHHARDT NS AUS Card xx8882 Value Date: 23/12/2020 (Drone + Propellors [$1491.15 EFTPOS + 600 paid in cash])"/>
        <s v="Dick Smith (CStand Bracket Monitor Mount Arm + Laptop Tray Holder Adapter LCD Screen Desktop) Q47NEXG7 Melbourne AU AUS Card xx8882 Value Date: 24/12/2020 "/>
        <s v="CATCH BENTLEIGH EAS VI AUS Card xx8882 Value Date: 24/12/2020 (DJI Mavic 2 Fly more Pack)"/>
        <s v="UBER* EATS SYDNEY NS AUS Card xx8882 Value Date: 23/12/2020"/>
        <s v="COLES 0846 LEICHHARDT AU AUS Card xx8882 Value Date: 23/12/2020"/>
        <s v="SDRO INFRNGMNT PAYME MAITLAND NS AUS Card xx8882 Value Date: 21/12/2020"/>
        <s v="Salary SERVAUPAYROLL 20204P 85920286"/>
        <s v="RevenueNSW Fine BPAY 36848 89460952529832 Revenue NSW"/>
        <s v="RAMTEAN  grunt fine"/>
        <s v="CLRK RUBER HABERFLD HABERFIELD AUS Card xx8882 Value Date: 20/12/2020 (Rubber for microphone repair)"/>
        <s v="CITYOFSYDNEY PARKING SYDNEY AUS Card xx8882 Value Date: 21/12/2020"/>
        <s v="UBER* EATS SYDNEY NS AUS Card xx8882 Value Date: 20/12/2020"/>
        <s v="UBER *EATS Sydney AU AUS Card xx8882 Value Date: 20/12/2020"/>
        <s v="HARRIS FARM MARKETS LEICHHARDT AU Card xx8882"/>
        <s v="BP CONNECT 9562 ROZELLE NS AUS Card xx8882 Value Date: 18/12/2020"/>
        <s v="Sanders Subramani CommBank App sherwins bucks rodean"/>
        <s v="LEICHHARDT MUNICIPAL C LEICHHARDT AU AUS Card xx8882 Value Date: 18/12/2020"/>
        <s v="Withdrawal   ATMETX COOGEE PAVILION 1 COOGEE AU"/>
        <s v="ST VIN DE PAUL SOC NSW GLEBE AU Card xx8882"/>
        <s v="IKEA PTY LTD TEMPE NS AUS Card xx8882 Value Date: 17/12/2020  - standup desk (mum)"/>
        <s v="ST VIN DE PAUL SOC NSW ROZELLE AU Card xx8882"/>
        <s v="MASOUMEH GHOLAMSHAHI Your BD present &amp; my chair"/>
        <s v="UBER* EATS SYDNEY NS AUS Card xx8882 Value Date: 13/12/2020"/>
        <s v="UBER* EATS SYDNEY NS AUS Card xx8882 Value Date: 08/12/2020"/>
        <s v="OXFORD OPERATIONS PTY MILSONS POINTAU Card xx8882"/>
        <s v="Salary SERVAUPAYROLL 19211P 85920286"/>
        <s v="Withdrawal   ATMCBA ATM ROZELLE B NSW 224302 AUS"/>
        <s v="UBER* EATS SYDNEY NS AUS Card xx8882 Value Date: 06/12/2020"/>
        <s v="Netbank to Complete Access Chair HrmnMiller Beyou"/>
        <s v="Direct Debit 494894 OPTUS BILLING 62103618682"/>
        <s v="COLES 0849 DRUMMOYNE AU AUS Card xx8882 Value Date: 05/12/2020"/>
        <s v="7-ELEVEN 2048 DRUMMOYNE NS AUS Card xx8882 Value Date: 03/12/2020"/>
        <s v="SUMO POWER SOUTH MELBOUR AUS Card xx8882 Value Date: 01/12/2020"/>
        <s v="RAMTEAN  mum dinner"/>
        <s v="UBER *EATS Sydney AU AUS Card xx8882 Value Date: 30/11/2020"/>
        <s v="THE MALAYA RESTAURANT SYDNEY AU"/>
        <s v="UBER* EATS SYDNEY NS AUS Card xx8882 Value Date: 28/11/2020"/>
        <s v="UBER *EATS Sydney AU AUS Card xx8882 Value Date: 28/11/2020"/>
        <s v="Menulog Pty Ltd Sydney AU AUS Card xx8882 Value Date: 30/11/2020"/>
        <s v="DOORDASH*GRINGOS FRESH MELBOURNE VI AUS Card xx8882 Value Date: 29/11/2020"/>
        <s v="UBER *EATS Sydney AU AUS Card xx8882 Value Date: 27/11/2020"/>
        <s v="MCDONALDS STANMORE STANMORE AUS Tap and Pay xx2711 Value Date: 25/11/2020"/>
        <s v="geoff electricity"/>
        <s v="Direct Debit 245164 HCFHEALTHANDLIFE 057233969SC3MXCA6R"/>
        <s v="geoff geoff Value Date: 30/11/2020"/>
        <s v="Direct Credit 012721 ATO ATO008000014141635"/>
        <s v="RAMTEAN  CommBank App server"/>
        <s v="IGA DRUMMOYNE QPS DRUMMOYNE AUS Tap and Pay xx2711 Value Date: 25/11/2020"/>
        <s v="Coinspot Deposit 996185680350"/>
        <s v="Salary SERVAUPAYROLL 19454P 85920286"/>
        <s v="General&amp;Co Lobby Bar Lilyfield NS AUS Tap and Pay xx2711 Value Date: 24/11/2020"/>
        <s v="COLES EXPRESS 1617 DRUMMOYNE AU AUS Tap and Pay xx2711 Value Date: 24/11/2020"/>
        <s v="Coinspot Deposit 996185613633"/>
        <s v="UBER* EATS SYDNEY NS AUS Card xx8882 Value Date: 23/11/2020"/>
        <s v="UBER* EATS SYDNEY NS AUS Card xx8882 Value Date: 22/11/2020"/>
        <s v="UBER *EATS Sydney AU AUS Card xx8882 Value Date: 21/11/2020"/>
        <s v="7-ELEVEN 2048 DRUMMOYNE NS AUS Tap and Pay xx2711 Value Date: 19/11/2020"/>
        <s v="Withdrawal   ATMCBA ATM DRUMMOYNE B NSW 215702 AUS"/>
        <s v="SDRO INFRNGMNT PAYME MAITLAND NS AUS Card xx8882 Value Date: 17/11/2020"/>
        <s v="GM CABS PTY LTD MASCOT AUS Card xx8882 Value Date: 15/11/2020"/>
        <s v="COLES EXPRESS 1588 STANMORE AU AUS Card xx8882 Value Date: 17/11/2020"/>
        <s v="COLES 0849 DRUMMOYNE AU AUS Card xx8882 Value Date: 17/11/2020"/>
        <s v="UBER* EATS SYDNEY NS AUS Card xx8882 Value Date: 16/11/2020"/>
        <s v="UBER *EATS Sydney AU AUS Card xx8882 Value Date: 15/11/2020"/>
        <s v="UBER *EATS Sydney AU AUS Card xx8882 Value Date: 14/11/2020"/>
        <s v="Withdrawal   ATMCAS STANMORE NSW NS AU"/>
        <s v="UBER *EATS Sydney AU AUS Card xx8882 Value Date: 13/11/2020"/>
        <s v="International Transaction Fee Value Date: 12/11/2020"/>
        <s v="ExpressVPN 13106018492 GI GIB Card xx8882 USD 99.95 Value Date: 12/11/2020"/>
        <s v="STEVES SELECT MEATS DRUMMOYNE AU Card xx8882"/>
        <s v="Withdrawal   ATMCAS 7-11 DRUMMOYNE DRUMMOYN NS AU"/>
        <s v="UBER* EATS SYDNEY NS AUS Card xx8882 Value Date: 11/11/2020"/>
        <s v="SUMO POWER South Melbour AUS Card xx8882 Value Date: 10/11/2020"/>
        <s v="UBER* EATS SYDNEY NS AUS Card xx8882 Value Date: 09/11/2020"/>
        <s v="UBER *EATS Sydney AU AUS Card xx8882 Value Date: 08/11/2020"/>
        <s v="RAMTEAN  CommBank app foods"/>
        <s v="UBER* EATS SYDNEY NS AUS Card xx8882 Value Date: 07/11/2020"/>
        <s v="UBER *EATS Sydney AU AUS Card xx8882 Value Date: 05/11/2020"/>
        <s v="Justin Bradley CommBank App iou thx"/>
        <s v="Reversal of transaction Louis Wayment Account closed"/>
        <s v="Louis Wayment CommBank App iou pizza"/>
        <s v="NETFLIX COM MELBOURNE AUS Card xx8882 Value Date: 04/11/2020"/>
        <s v="BEATPORT 720-974-9500 CO USA Card xx8882 AUD 1.86 Value Date: 05/11/2020"/>
        <s v="Menulog Pty Ltd Sydney AU AUS Card xx8882 Value Date: 01/11/2020"/>
        <s v="DESTROS PHARMACY DRUMMOYNE NS AUS Card xx8882 Value Date: 30/10/2020"/>
        <s v="Direct Debit 245164 HCFHEALTHANDLIFE 057233969S1VWI1HTS"/>
        <s v="Trattoria Casa Chiswick NS AUS Card xx8882 Value Date: 29/10/2020"/>
        <s v="COLES 0849 DRUMMOYNE AU AUS Card xx8882 Value Date: 28/10/2020"/>
        <s v="Salary SERVAUPAYROLL 20245P 85920286"/>
        <s v="UBER *EATS Sydney AU AUS Card xx8882 Value Date: 25/10/2020"/>
        <s v="UBER *EATS Sydney AU AUS Card xx8882 Value Date: 24/10/2020"/>
        <s v="DOORDASH*DOS SENORITAS MELBOURNE VI AUS Card xx8882 Value Date: 24/10/2020"/>
        <s v="UBER *EATS Sydney AU AUS Card xx8882 Value Date: 21/10/2020"/>
        <s v="geoff CommBank app Geoff"/>
        <s v="LINKT SYDNEY SYDNEY AUS Card xx8882 Value Date: 20/10/2020"/>
        <s v="UBER* EATS SYDNEY NS AUS Card xx8882 Value Date: 17/10/2020"/>
        <s v="Return CRAZYDOMAINSHOSTING 61290372826 SG SGP Card xx8882 AUD 20.12 Value Date: 15/10/2020"/>
        <s v="ALDI STORES - DRUMMOYN DRUMMOYNE AUS Tap and Pay xx2711 Value Date: 14/10/2020"/>
        <s v="RAMTEAN  CommBank App food"/>
        <s v="Coinspot Deposit tax return 17 18"/>
        <s v="Jonathan K Oliver CommBank App kfc"/>
        <s v="UBER *EATS Sydney AU AUS Card xx8882 Value Date: 10/10/2020"/>
        <s v="COLES 0849 DRUMMOYNE AU AUS Tap and Pay xx2711 Value Date: 14/10/2020"/>
        <s v="Salary SERVAUPAYROLL 19434P 85920286"/>
        <s v="UBER *EATS Sydney AU AUS Card xx8882 Value Date: 11/10/2020"/>
        <s v="CUPITT ULLADULLA NS AUS Card xx8882 Value Date: 08/10/2020"/>
        <s v="geoff CommBank app geoff rod"/>
        <s v="WOOLWORTHS 1136 ULLADULLA NS AUS Card xx8882 Value Date: 06/10/2020"/>
        <s v="WOOLWORTHS      1136 ULLADULLA NS AUS Card xx8882 Value Date: 06/10/2020"/>
        <s v="NETFLIX COM MELBOURNE AUS Card xx8882 Value Date: 04/10/2020"/>
        <s v="NETFLIX COM MELBOURNE  AUS Card xx8882 Value Date: 04/10/2020"/>
        <s v="UBER* EATS SYDNEY NS AUS Card xx8882 Value Date: 04/10/2020"/>
        <s v="UBER   *EATS Sydney AU AUS Card xx8882 Value Date: 03/10/2020"/>
        <s v="LIQUORLAND 3301 DRUMMOYNE AU AUS Card xx8882 Value Date: 05/10/2020"/>
        <s v="Kieran Krohn CommBank App iou"/>
        <s v="INSPORT DRUMMOYNE NS AUS Card xx8882 Value Date: 03/10/2020"/>
        <s v="AUTHENTICS FACTORY O DRUMMOYNE NS AUS Card xx8882 Value Date: 03/10/2020"/>
        <s v="UBER* EATS SYDNEY NS AUS Card xx8882 Value Date: 03/10/2020"/>
        <s v="TILLY &amp; MO               LAKE CONJOLA AU Card xx8882"/>
        <s v="SUMO POWER South Melbour  AUS Card xx8882 Value Date: 02/10/2020"/>
        <s v="LAKE CONJOLA LIQUOR      LAKE CONJOLA AU Card xx8882"/>
        <s v="MYRA NOOR PTY LTD        DRUMMOYNE    AU Card xx8882"/>
        <s v="METRO PETROLEUM PUNCHB   PUNCHBOWL    AU"/>
        <s v="Hungry Jacks             South Nowra  AU"/>
        <s v="CHARGRILL CHARLIES       Drummoyne    AU"/>
        <s v="ALDI STORES - DRUMMOYN   DRUMMOYNE    AU Card xx8882"/>
        <s v="Withdrawal   ATMCBA ATM  DRUMMOYNE B    NSW 215702   AUS"/>
        <s v="TOP FRUIT MARKET DRUMMOYNE NS AUS Card xx8882 Value Date: 01/10/2020"/>
        <s v="RALPH LAUREN AUSTRA DRUMMOYNE         AU"/>
        <s v="IGA DRUMMOYNE            DRUMMOYNE    AU Card xx8882"/>
        <s v="COLES 0849 DRUMMOYNE AU AUS Card xx8882 Value Date: 01/10/2020"/>
        <s v="UBER   *EATS Sydney AU AUS Card xx8882 Value Date: 28/09/2020"/>
        <s v="Salary SERVAUPAYROLL 19352P 85920286"/>
        <s v="NELSON HOTEL BONDI JUNCTIO NS AUS Card xx8882 Value Date: 26/09/2020"/>
        <s v="GM CABS PTY LTD MASCOT  AUS Card xx8882 Value Date: 26/09/2020"/>
        <s v="Direct Debit 245164 HCF 5723396980626A0000"/>
        <s v="UBER* TRIP SYDNEY NS AUS Card xx8882 Value Date: 26/09/2020"/>
        <s v="UBER   *EATS Sydney AU AUS Card xx8882 Value Date: 27/09/2020"/>
        <s v="UBER* EATS SYDNEY NS AUS Card xx8882 Value Date: 26/09/2020"/>
        <s v="7-ELEVEN 2048 DRUMMOYNE NS AUS Card xx8882 Value Date: 25/09/2020"/>
        <s v="Coinspot Deposit accomodation"/>
        <s v="UBER   *EATS Sydney AU AUS Card xx8882 Value Date: 20/09/2020"/>
        <s v="UBER   *EATS Sydney AU AUS Card xx8882 Value Date: 19/09/2020"/>
        <s v="UBER* EATS SYDNEY NS AUS Card xx8882 Value Date: 18/09/2020"/>
        <s v="Louis Wayment CommBank App food"/>
        <s v="COLES 0849 DRUMMOYNE AU AUS Card xx8882 Value Date: 16/09/2020"/>
        <s v="UBER* EATS SYDNEY NS AUS Card xx8882 Value Date: 15/09/2020"/>
        <s v="Salary SERVAUPAYROLL 19281P 85920286"/>
        <s v="UBER* EATS SYDNEY NS AUS Card xx8882 Value Date: 13/09/2020"/>
        <s v="UBER   *EATS Sydney AU AUS Card xx8882 Value Date: 12/09/2020"/>
        <s v="COLES 0849 DRUMMOYNE AU AUS Card xx8882 Value Date: 14/09/2020"/>
        <s v="SUMO POWER South Melbour  AUS Card xx8882 Value Date: 05/09/2020"/>
        <s v="UBER* EATS SYDNEY NS AUS Card xx8882 Value Date: 05/09/2020"/>
        <s v="DESTROS PHARMACY DRUMMOYNE NS AUS Card xx8882 Value Date: 07/09/2020"/>
        <s v="CommBank app iou"/>
        <s v="COLES 0849 DRUMMOYNE AU AUS Card xx8882 Value Date: 07/09/2020"/>
        <s v="COLES 0849 DRUMMOYNE AU AUS Card xx8882 Value Date: 06/09/2020"/>
        <s v="NETFLIX COM MELBOURNE  AUS Card xx8882 Value Date: 04/09/2020"/>
        <s v="MASOUMEH GHOLAMSHAHI Shoping for mum second time"/>
        <s v="CHISWICK CELLARS         CHISWICK     AU Card xx8882"/>
        <s v="Mr Louis Robert Reynolds W Pizza tip"/>
        <s v="CommBank app food iou"/>
        <s v="BART JR Redfern NS AUS Card xx8882 Value Date: 03/09/2020"/>
        <s v="7-ELEVEN 2048 DRUMMOYNE NS AUS Card xx8882 Value Date: 03/09/2020"/>
        <s v="CRAZYDOMAINSHOSTING 61290372826 SG SGP Card xx8882 AUD 21.95 Value Date: 01/09/2020"/>
        <s v="Salary SERVAUPAYROLL 19443P 85920286"/>
        <s v="UberUAE_EATS Sydney AU AUS Card xx8882 Value Date: 30/08/2020"/>
        <s v="UBER   *EATS Sydney AU AUS Card xx8882 Value Date: 29/08/2020"/>
        <s v="Direct Debit 245164 HCF 5723396980595A0000"/>
        <s v="COLES 0849 DRUMMOYNE AU AUS Card xx8882 Value Date: 25/08/2020"/>
        <s v="UBER   *EATS Sydney AU AUS Card xx8882 Value Date: 23/08/2020"/>
        <s v="MASOUMEH GHOLAMSHAHI Shoping for mum"/>
        <s v="7-ELEVEN 2048 DRUMMOYNE NS AUS Card xx8882 Value Date: 23/08/2020"/>
        <s v="BWS LIQUOR      1601 DRUMMOYNE NS AUS Card xx8882 Value Date: 22/08/2020"/>
        <s v="HARRIS FARM MARKETS      DRUMMOYNE    AU Card xx8882"/>
        <s v="UBER   *EATS Sydney AU AUS Card xx8882 Value Date: 15/08/2020"/>
        <s v="Menulog Pty Ltd Sydney AU AUS Card xx8882 Value Date: 16/08/2020"/>
        <s v="Menulog Pty Ltd Sydney AU AUS Card xx8882 Value Date: 15/08/2020"/>
        <s v="FISHHEADS AT BYRON BYRON BAY NS AUS Card xx8882 Value Date: 14/08/2020"/>
        <s v="COLES 0849 DRUMMOYNE AU AUS Card xx8882 Value Date: 17/08/2020"/>
        <s v="Menulog Pty Ltd Sydney AU AUS Card xx8882 Value Date: 14/08/2020"/>
        <s v="FISHHEADS AT BYRON BYRON BAY NS AUS Card xx8882 Value Date: 13/08/2020"/>
        <s v="THE HIDEOUT BYRON BAY BYRON BAY AU AUS Card xx8882 Value Date: 13/08/2020"/>
        <s v="OZAKMAN BROTHERS PL BYRON BAY NS AUS Card xx8882 Value Date: 12/08/2020"/>
        <s v="Northern Bar Byron Bay NS AUS Card xx8882 Value Date: 13/08/2020"/>
        <s v="KIERAN ROSS KROHN Dinner"/>
        <s v="BWS LIQUOR W1601         DRUMMOYNE    AU Card xx8882"/>
        <s v="MCDONALDS NAMBUCCA HD VALLA        NSWAU"/>
        <s v="Direct Credit 462125 APRA Limited AU Royalty"/>
        <s v="CELLAR BYRON PLAZA BYRON BAY NS AUS Card xx8882 Value Date: 11/08/2020"/>
        <s v="BP NAMBUCCA TRVL CT VALLA             AU"/>
        <s v="YAMBA YHA BACKPACKER YAMBA NS AUS Card xx8882 Value Date: 10/08/2020"/>
        <s v="BYRON BAY HOT BREAD      BYRON BAY    AU Card xx8882"/>
        <s v="SQ *THE TASTE OF BEES Drummoyne AU AUS Card xx8882 Value Date: 09/08/2020"/>
        <s v="KFC TAREE SERVICE CE GLENTHORNE NS AUS Card xx8882 Value Date: 09/08/2020"/>
        <s v="CENTRE COM SUNSHINE VI AUS Card xx8882 Value Date: 08/08/2020"/>
        <s v="WOOLWORTHS 2611 BYRON    BYRON BAY    AU Card xx8882"/>
        <s v="DOORDASH*DOS SENORITAS MELBOURNE VI AUS Card xx8882 Value Date: 06/08/2020"/>
        <s v="COLES 0849 DRUMMOYNE AU AUS Card xx8882 Value Date: 08/08/2020"/>
        <s v="YAMBA BOWLING AND RECR   YAMBA        AU Card xx8882"/>
        <s v="SLICE PIZZERIA           BYRON BAY    AU"/>
        <s v="YAMBA TAVERN PTY LTD     YAMBA        AU Card xx8882"/>
        <s v="MCDONALDS TAREE SOUTH GLENTHORNE   NSWAU"/>
        <s v="THE GUITAR FACTORY A     PARRAMATTA   AU Card xx8882 (Rack Mount)"/>
        <s v="MCDONALDS DRUMMOYNE   DRUMMOYNE    NSWAU"/>
        <s v="Jaycar                   Chippendale  AU"/>
        <s v="SUMO POWER South Melbour  AUS Card xx8882 Value Date: 03/08/2020"/>
        <s v="Salary SERVAUPAYROLL 21390P 85920286"/>
        <s v="NETFLIX.COM Melbourne AU AUS Card xx8882 Value Date: 03/08/2020"/>
        <s v="UBER   *TRIP Sydney AU AUS Card xx8882 Value Date: 01/08/2020"/>
        <s v="MANNYS                   Alexandria   AU - Furman Merit Series M Power Conditioner"/>
        <s v="Direct Debit 245164 HCF 5723396980565A0000"/>
        <s v="SYDNEY FINE FOOD&amp;WINE    WAVERTON     AU Card xx8882"/>
        <s v="Withdrawal   ATMETX IGA DRUMMOYNE      DRUMMOYNE      AU"/>
        <s v="GM CABS PTY LTD MASCOT  AUS Card xx8882 Value Date: 26/07/2020"/>
        <s v="GM CABS PTY LTD MASCOT  AUS Card xx8882 Value Date: 25/07/2020"/>
        <s v="COLES 0849 DRUMMOYNE AU AUS Card xx8882 Value Date: 28/07/2020"/>
        <s v="BOURBON OPERATIONS POTTS POINT  AUS Card xx8882 Value Date: 25/07/2020"/>
        <s v="Sue Maree Hamilton PayID Phone from CommBank App Thereses gift"/>
        <s v="Coinspot Deposit CommBank app food iou"/>
        <s v="Salary SERVAUPAYROLL 19322P 85920286"/>
        <s v="Menulog Pty Ltd Sydney AU AUS Card xx8882 Value Date: 18/07/2020"/>
        <s v="Kieran Krohn CommBank App kieran bday"/>
        <s v="DOORDASH*DOS SENORITAS MELBOURNE VI AUS Card xx8882 Value Date: 19/07/2020"/>
        <s v="COLES 0849 DRUMMOYNE AU AUS Card xx8882 Value Date: 20/07/2020"/>
        <s v="Louis Wayment iou Value Date: 20/07/2020 - return as account closed"/>
        <s v="BAHAR PERSIAN FOOD RYDE NS AUS Card xx8882 Value Date: 16/07/2020"/>
        <s v="Louis iou"/>
        <s v="PA RYDE ISE SUPERMARK RYDE NSW        AU"/>
        <s v="GM CABS PTY LTD MASCOT  AUS Card xx8882 Value Date: 11/07/2020"/>
        <s v="Jonny food"/>
        <s v="Micky's Cafe Paddington NS AUS Card xx8882 Value Date: 11/07/2020"/>
        <s v="DOORDASH*DOS SENORITAS MELBOURNE VI AUS Card xx8882 Value Date: 10/07/2020"/>
        <s v="STEPHEN DONOHOE CREDIT TO ACCOUNT - Mickys Café"/>
        <s v="KIERAN ROSS KROHN Dinner - Mickys Café"/>
        <s v="MANNYS                   Alexandria   AU"/>
        <s v="SUMO POWER South Melbour  AUS Card xx8882 Value Date: 04/07/2020"/>
        <s v="Salary SERVAUPAYROLL 19564P 85920286"/>
        <s v="LIV*THE CHIPPO HOTEL CHIPPENDALE  AUS Card xx8882 Value Date: 04/07/2020"/>
        <s v="UBER   *TRIP Sydney AU AUS Card xx8882 Value Date: 04/07/2020"/>
        <s v="COLES 0849 DRUMMOYNE AU AUS Card xx8882 Value Date: 06/07/2020"/>
        <s v="NETFLIX.COM Melbourne AU AUS Card xx8882 Value Date: 03/07/2020"/>
        <s v="HARRIS FARM MARKETS      DRUMMOYNE    AU"/>
        <s v="COLES 0849 DRUMMOYNE AU AUS Card xx8882 Value Date: 30/06/2020"/>
        <s v="Milkwood Bakery Berry NS AUS Card xx8882 Value Date: 28/06/2020"/>
        <s v="Direct Debit 245164 HCF 5723396980534A0000"/>
        <s v="iou - Dan Arnamnart"/>
        <s v="7-ELEVEN 2320 ALBION PARK R NS AUS Card xx8882 Value Date: 26/06/2020"/>
        <s v="STEVES SELECT MEATS      DRUMMOYNE    AU Card xx8882"/>
        <s v="RAMTEAN ROOZBEHA CommBank app berry nice"/>
        <s v="Ms Katrina T Duncan Kat"/>
        <s v="GREAT SOUTHERN HOTEL     BERRY        AU Card xx8882"/>
        <s v="BERRY IGA PLUS LIQUO     BERRY        AU Card xx8882"/>
        <s v="BWS LIQUOR W1735         ALBION PARK RAU Card xx8882"/>
        <s v="Salary SERVAUPAYROLL 19392P 85920286"/>
        <s v="Rodean food berry - Daniel Arnamnart"/>
        <s v="MANNYS Alexandria NS AUS Card xx8882 Value Date: 23/06/2020 - MPC Live"/>
        <s v="iou - Grunt"/>
        <s v="GM CABS PTY LTD MASCOT  AUS Card xx8882 Value Date: 21/06/2020"/>
        <s v="COLES 0849 DRUMMOYNE AU AUS Card xx8882 Value Date: 22/06/2020"/>
        <s v="SMP*Chiswick Cellars Chiswick AU AUS Card xx8882 Value Date: 18/06/2020"/>
        <s v="Withdrawal   ATMRed NP-Five Star Toba  Potts Poin     AU"/>
        <s v="iou - Kirkby IOU"/>
        <s v="COLES 0849 DRUMMOYNE AU AUS Card xx8882 Value Date: 16/06/2020"/>
        <s v="iou - Berry - Ashleigh Smith"/>
        <s v="DOORDASH*SAKURA ON WHE MELBOURNE VI AUS Card xx8882 Value Date: 12/06/2020"/>
        <s v="Louis Wayment Burger tip"/>
        <s v="Salary SERVAUPAYROLL 19210P 85920286"/>
        <s v="COLES 0849 DRUMMOYNE AU AUS Card xx8882 Value Date: 09/06/2020"/>
        <s v="7-ELEVEN 2048 DRUMMOYNE NS AUS Card xx8882 Value Date: 07/06/2020"/>
        <s v="NETFLIX COM MELBOURNE  AUS Card xx8882 Value Date: 04/06/2020"/>
        <s v="SUMO POWER South Melbour  AUS Card xx8882 Value Date: 02/06/2020"/>
        <s v="COLES 0849 DRUMMOYNE AU AUS Card xx8882 Value Date: 02/06/2020"/>
        <s v="JB HI FI LEICHHARDT NS AUS Card xx8882 Value Date: 30/05/2020"/>
        <s v="7-ELEVEN 2048 DRUMMOYNE NS AUS Tap and Pay xx2711 Value Date: 31/05/2020"/>
        <s v="COLES 0846 LEICHHARDT AU AUS Card xx8882 Value Date: 30/05/2020"/>
        <s v="Direct Debit 245164 HCF 5723396980502A0000"/>
        <s v="Salary SERVAUPAYROLL 19404P 85920286"/>
        <s v="SQ *THE TASTE OF BEES Drummoyne AU AUS Card xx8882 Value Date: 23/05/2020"/>
        <s v="COLES 0849 DRUMMOYNE AU AUS Card xx8882 Value Date: 25/05/2020"/>
        <s v="SERVICE NSW SYDNEY  AUS Card xx8882 Value Date: 22/05/2020"/>
        <s v="SDRO INFRNGMNT PAYME MAITLAND NS AUS Card xx8882 Value Date: 22/05/2020 - Parking ticket: Loading Zone"/>
        <s v="PAYPAL *CHINATERA EBAY 4029357733 AU AUS Card xx8882 Value Date: 16/05/2020 - USB Gender Converter for Keyboard to Synth"/>
        <s v="Menulog Pty Ltd Sydney AU AUS Card xx8882 Value Date: 17/05/2020"/>
        <s v="DOORDASH*JASMIN 1 MELBOURNE VI AUS Card xx8882 Value Date: 16/05/2020"/>
        <s v="COLES 0849 DRUMMOYNE AU AUS Card xx8882 Value Date: 18/05/2020"/>
        <s v="DOORDASH*DOS SENORITAS MELBOURNE VI AUS Card xx8882 Value Date: 15/05/2020"/>
        <s v="Salary SERVAUPAYROLL 20220P 85920286"/>
        <s v="Menulog Pty Ltd Sydney AU AUS Card xx8882 Value Date: 09/05/2020"/>
        <s v="COLES 0849 DRUMMOYNE AU AUS Card xx8882 Value Date: 11/05/2020"/>
        <s v="SUMO POWER South Melbour  AUS Card xx8882 Value Date: 05/05/2020"/>
        <s v="NETFLIX.COM Melbourne AU AUS Card xx8882 Value Date: 04/05/2020"/>
        <s v="MANNYS                   Alexandria   AU - MIDI Thru Box"/>
        <s v="Big Music Australia Crows Nest NS AUS Card xx8882 Value Date: 05/05/2020 - MIDI Cables"/>
        <s v="MANNYS                   Alexandria   AU - Headphone Splitter"/>
        <s v="Jaycar Electronics       Sydney       AU - Various adaptors and cables for studio setup"/>
        <s v="DHL Express AU Brisbane AU AUS Card xx8882 Value Date: 03/05/2020 - Import Duties for Squarp Pyramid"/>
        <s v="WOOLWORTHS 1318          CROWS NEST   AU Card xx8882"/>
        <s v="Direct Debit 245164 HCF 5723396980473A0000"/>
        <s v="Salary SERVAUPAYROLL 20503P 85920286"/>
        <s v="AMAZON MKTPLC AU SYDNEY SOUTH NS AUS Card xx8882 Value Date: 28/04/2020"/>
        <s v="SQUARP INSTRUMENTS PARIS FR FRA Card xx8882 EUR 619.00 Value Date: 25/04/2020"/>
        <s v="International Transaction Fee Value Date: 25/04/2020"/>
        <s v="COLES 0849 DRUMMOYNE AU AUS Card xx8882 Value Date: 27/04/2020"/>
        <s v="Katrina IOU - Grunt present"/>
        <s v="Elektron Machinedrum - PAYPAL *JOSHOLINI EBAY 4029357733 AU AUS Card xx8882 Value Date: 23/04/2020"/>
        <s v="Homayoun Roozbehani Roozbeh Gift from Homayoun"/>
        <s v="COLES 0849 DRUMMOYNE AU AUS Card xx8882 Value Date: 19/04/2020"/>
        <s v="7-ELEVEN 2048 DRUMMOYNE NS AUS Card xx8882 Value Date: 19/04/2020"/>
        <s v="IGA DRUMMOYNE      QPS DRUMMOYNE  AUS Tap and Pay xx2711 Value Date: 16/04/2020"/>
        <s v="7-ELEVEN 2048 DRUMMOYNE NS AUS Tap and Pay xx2711 Value Date: 17/04/2020"/>
        <s v="SUMO POWER South Melbour  AUS Card xx8882 Value Date: 15/04/2020"/>
        <s v="NRMA WEB SYDNEY NS AUS Card xx8882 Value Date: 15/04/2020"/>
        <s v="Salary SERVAUPAYROLL 19411P 85920286"/>
        <s v="SP * SOFTWARE.ORG.AU - SPRING FARM NS AUS Card xx8882 Value Date: 09/04/2020"/>
        <s v="Katrina Duncan iou + food"/>
        <s v="UberUAE_EATS Sydney AU AUS Card xx8882 Value Date: 04/04/2020"/>
        <s v="RAMTEAN ROOZBEHA CommBank app food"/>
        <s v="COLES 0849 DRUMMOYNE AU AUS Card xx8882 Value Date: 04/04/2020"/>
        <s v="7-ELEVEN 2048 DRUMMOYNE NS AUS Card xx8882 Value Date: 03/04/2020"/>
        <s v="SQ *THE TASTE OF BEES Drummoyne AU AUS Card xx8882 Value Date: 30/03/2020"/>
        <s v="Salary SERVAUPAYROLL 20221P 85920286"/>
        <s v="DOORDASH*PABLOS KITCHE MELBOURNE VI AUS Card xx8882 Value Date: 30/03/2020"/>
        <s v="COLES 0839 BROADWAY AU AUS Card xx8882 Value Date: 31/03/2020"/>
        <s v="ADVANCE OPEN TECHNOL BROADWAY NS AUS Card xx8882 Value Date: 31/03/2020"/>
        <s v="SQ *THE TASTE OF BEES Drummoyne AU AUS Card xx8882 Value Date: 29/03/2020"/>
        <s v="DOORDASH*JASMIN 1 MELBOURNE VI AUS Card xx8882 Value Date: 28/03/2020"/>
        <s v="Direct Debit 245164 HCF 5723396980443A0000"/>
        <s v="7-ELEVEN 2048 DRUMMOYNE NS AUS Tap and Pay xx2711 Value Date: 28/03/2020"/>
        <s v="OFFICEWORKS 0209 GLEBE AU AUS Card xx8882 Value Date: 27/03/2020"/>
        <s v="IKEA TEMPE TEMPE NS AUS Card xx8882 Value Date: 27/03/2020 - food"/>
        <s v="UberUAE_EATS Sydney AU AUS Card xx8882 Value Date: 25/03/2020"/>
        <s v="DOORDASH*DOS SENORITAS MELBOURNE VI AUS Card xx8882 Value Date: 26/03/2020"/>
        <s v="PHOTOWN Alexandria NS AUS Card xx8882 Value Date: 25/03/2020"/>
        <s v="NETFLIX COM MELBOURNE  AUS Card xx8882 Value Date: 24/03/2020"/>
        <s v="IKEA TEMPE               TEMPE        AU - standup desk"/>
        <s v="Return MY CHOICE SOFTWARE LLC 800-3181439 CA USA Card xx8882 USD 89.99 Value Date: 22/03/2020"/>
        <s v="MY CHOICE SOFTWARE LLC 800-3181439 CA USA Card xx8882 USD 89.99 Value Date: 21/03/2020"/>
        <s v="International Transaction Fee Value Date: 21/03/2020"/>
        <s v="UberUAE_EATS Sydney AU AUS Card xx8882 Value Date: 22/03/2020"/>
        <s v="UBER   *EATS Sydney AU AUS Card xx8882 Value Date: 21/03/2020"/>
        <s v="SOFTWARE MART AUS TRUGANINA VI AUS Card xx8882 Value Date: 21/03/2020"/>
        <s v="PHOTOWN Alexandria NS AUS Card xx8882 Value Date: 23/03/2020"/>
        <s v="DOORDASH*DOS SENORITAS MELBOURNE VI AUS Card xx8882 Value Date: 22/03/2020"/>
        <s v="7-ELEVEN 2048 DRUMMOYNE NS AUS Card xx8882 Value Date: 23/03/2020"/>
        <s v="WOOLWORTHS 1669          SURRY HILLS  AU Card xx8882"/>
        <s v="TRANSPORTFORNSW OPAL CHIPPENDALE  AUS Card xx8882 Value Date: 23/03/2020"/>
        <s v="PHOTOWN Alexandria NS AUS Card xx8882 Value Date: 20/03/2020"/>
        <s v="DOORDASH*DOS SENORITAS MELBOURNE VI AUS Card xx8882 Value Date: 20/03/2020"/>
        <s v="Camy's Chargrill SH      Surry Hills  AU"/>
        <s v="UBER   *EATS Sydney AU AUS Card xx8882 Value Date: 18/03/2020"/>
        <s v="ASH ADAMS SURRY HILL SURRY HILLS NS AUS Card xx8882 Value Date: 19/03/2020"/>
        <s v="Salary SERVAUPAYROLL 20072P 85920286"/>
        <s v="PHOTOWN Alexandria NS AUS Card xx8882 Value Date: 17/03/2020"/>
        <s v="UberUAE_EATS Sydney AU AUS Card xx8882 Value Date: 15/03/2020"/>
        <s v="UBER   *EATS Sydney AU AUS Card xx8882 Value Date: 15/03/2020"/>
        <s v="UBER   *EATS Sydney AU AUS Card xx8882 Value Date: 14/03/2020"/>
        <s v="TRANSPORTFORNSW OPAL CHIPPENDALE  AUS Card xx8882 Value Date: 17/03/2020"/>
        <s v="Camy's Chargrill SH Surry Hills NS AUS Tap and Pay xx2711 Value Date: 16/03/2020"/>
        <s v="PHOTOWN Alexandria NS AUS Card xx8882 Value Date: 13/03/2020"/>
        <s v="HudsonMeatsDrummoyne     Drummoyne    AU"/>
        <s v="GOLDEN PIDE SURRY HILLS NS AUS Card xx8882 Value Date: 11/03/2020"/>
        <s v="geoff food"/>
        <s v="SQ *THE HORDERN CON1 Moore Park AU AUS Card xx8882 Value Date: 11/03/2020"/>
        <s v="PLAYBILL MERCHNDS MOORE PARK NS AUS Card xx8882 Value Date: 11/03/2020"/>
        <s v="PHOTOWN Alexandria NS AUS Card xx8882 Value Date: 12/03/2020"/>
        <s v="ARCADIA LIQUORS REDFERN NS AUS Card xx8882 Value Date: 11/03/2020"/>
        <s v="UberUAE_EATS Sydney AU AUS Card xx8882 Value Date: 10/03/2020"/>
        <s v="UBER   *EATS Sydney AU AUS Card xx8882 Value Date: 10/03/2020"/>
        <s v="INGOGO LTD SYDNEY NS AUS Tap and Pay xx2711 Value Date: 07/03/2020"/>
        <s v="INGOGO LTD SYDNEY NS AUS Card xx8882 Value Date: 07/03/2020"/>
        <s v="GM CABS PTY LTD MASCOT  AUS Card xx8882 Value Date: 08/03/2020"/>
        <s v="UberUAE_EATS Sydney AU AUS Card xx8882 Value Date: 09/03/2020"/>
        <s v="UBER   *TRIP Sydney AU AUS Card xx8882 Value Date: 07/03/2020"/>
        <s v="UBER   *EATS Sydney AU AUS Card xx8882 Value Date: 08/03/2020"/>
        <s v="TRANSPORTFORNSW TAP SYDNEY  AUS Tap and Pay xx2711 Value Date: 07/03/2020"/>
        <s v="TRANSPORTFORNSW OPAL CHIPPENDALE  AUS Card xx8882 Value Date: 09/03/2020"/>
        <s v="TASTE OF SAIGON          SURRY HILLS  AU Card xx8882"/>
        <s v="GALLAGHERS GBS PTY LTD   MOORE PARK   AU Card xx8882"/>
        <s v="BRIDGE HOTEL ROZELLE ROZELLE NS AUS Card xx8882 Value Date: 08/03/2020"/>
        <s v="UberUAE_EATS Sydney AU AUS Card xx8882 Value Date: 07/03/2020"/>
        <s v="UBER   *EATS Sydney AU AUS Card xx8882 Value Date: 06/03/2020"/>
        <s v="TRANSPORTFORNSW TAP SYDNEY  AUS Tap and Pay xx2711 Value Date: 06/03/2020"/>
        <s v="SPOTTO NSW             Sydney         AU"/>
        <s v="SHWARMAMA PTY LTD SURRY HILLS NS AUS Tap and Pay xx2711 Value Date: 05/03/2020"/>
        <s v="PHOTOWN Alexandria NS AUS Tap and Pay xx2711 Value Date: 06/03/2020"/>
        <s v="HARRIS FARM MARKETSQPS DRUMMOYNE  AUS Tap and Pay xx2711 Value Date: 05/03/2020"/>
        <s v="CENTENNIAL PLAZA PHR SYDNEY NS AUS Tap and Pay xx2711 Value Date: 05/03/2020"/>
        <s v="BEATPORT 720-974-9500 CO USA Card xx8882 AUD 28.99 Value Date: 06/03/2020"/>
        <s v="THE TUDOR REDFERN        REDFERN      AU Card xx8882"/>
        <s v="Kat Duncan Food"/>
        <s v="CALTEX ROZELLE           ROZELLE      AU Card xx8882"/>
        <s v="Direct Debit 314011 SUMO PAYWAY2651387958"/>
        <s v="BAR TOSCA SYDNEY NS AUS Card xx8882 Value Date: 04/03/2020"/>
        <s v="Kieran Krohn CommBank App holiday bookings"/>
        <s v="ART GALLERY OF NSW SYDNEY NS AUS Card xx8882 Value Date: 29/02/2020"/>
        <s v="WILLIAM HOTEL EAST SYDNEY NS AUS Card xx8882 Value Date: 29/02/2020"/>
        <s v="UBER   *TRIP Sydney AU AUS Card xx8882 Value Date: 29/02/2020"/>
        <s v="UBER   *EATS Sydney AU AUS Card xx8882 Value Date: 01/03/2020"/>
        <s v="PHOTOWN Alexandria NS AUS Card xx8882 Value Date: 02/03/2020"/>
        <s v="ADOBE PR CREATIVE CLD 1800614863 IR IRL Card xx8882 AUD 29.99 Value Date: 28/02/2020"/>
        <s v="WW TOWN HALL  W1248      SYDNEY       AU Card xx8882"/>
        <s v="Tokyo Bird               Surry Hills  AU"/>
        <s v="Direct Debit 245164 HCF 5723396980411A0000"/>
        <s v="Withdrawal   ATMCBA ATM  DRUMMOYNE A    NSW 215701   AUS"/>
        <s v="SQ *BLOC145                   Redfern AU"/>
        <s v="TRANSPORTFORNSW OPAL CHIPPENDALE  AUS Card xx8882 Value Date: 27/02/2020"/>
        <s v="SPAR REDFERN             REDFERN      AU Card xx8882"/>
        <s v="PHOTOWN Alexandria NS AUS Card xx8882 Value Date: 27/02/2020"/>
        <s v="UBER   *EATS Sydney AU AUS Card xx8882 Value Date: 25/02/2020"/>
        <s v="Kieran Krohn CommBank App airbnb"/>
        <s v="ADDLY PTY LTD            SURRY HILLS  AU Card xx8882"/>
        <s v="PHOTOWN Alexandria NS AUS Tap and Pay xx2711 Value Date: 25/02/2020"/>
        <s v="NETFLIX COM MELBOURNE  AUS Card xx8882 Value Date: 24/02/2020"/>
        <s v="LAKIN J Josie"/>
        <s v="iou"/>
        <s v="GM CABS PTY LTD MASCOT  AUS Card xx8882 Value Date: 21/02/2020"/>
        <s v="CommBank app pari gift"/>
        <s v="UBER   *EATS Sydney AU AUS Card xx8882 Value Date: 23/02/2020"/>
        <s v="SQ *THE TASTE OF BEES Drummoyne AU AUS Card xx8882 Value Date: 22/02/2020"/>
        <s v="7-ELEVEN 2048 DRUMMOYNE NS AUS Card xx8882 Value Date: 22/02/2020"/>
        <s v="TRANSPORTFORNSW OPAL CHIPPENDALE  AUS Card xx8882 Value Date: 21/02/2020"/>
        <s v="Goros                    Surry Hills  AU"/>
        <s v="grunt uber"/>
        <s v="PHOTOWN Alexandria NS AUS Card xx8882 Value Date: 20/02/2020"/>
        <s v="DESTROS PHARMACY DRUMMOYNE NS AUS Card xx8882 Value Date: 20/02/2020"/>
        <s v="grunt armaforce"/>
        <s v="Direct Credit 463131 APRA NZ Limited NZ Royalty"/>
        <s v="AURORA HOTEL             Surry Hills  AU"/>
        <s v="Salary SERVAUPAYROLL 20393P 85920286"/>
        <s v="PHOTOWN Alexandria NS AUS Card xx8882 Value Date: 18/02/2020"/>
        <s v="INGOGO LTD SYDNEY NS AUS Card xx8882 Value Date: 16/02/2020"/>
        <s v="UBER TRIP HELP.UBER.CO 14518236738 AU AUS Card xx8882 Value Date: 15/02/2020"/>
        <s v="UBER   *EATS Sydney AU AUS Card xx8882 Value Date: 15/02/2020"/>
        <s v="SHWARMAMA PTY LTD        SURRY HILLS  AU"/>
        <s v="PHOTOWN Alexandria NS AUS Card xx8882 Value Date: 17/02/2020"/>
        <s v="TRANSPORTFORNSW OPAL CHIPPENDALE  AUS Card xx8882 Value Date: 17/02/2020"/>
        <s v="PHOTOWN Alexandria NS AUS Card xx8882 Value Date: 14/02/2020"/>
        <s v="CommBank app social budget"/>
        <s v="Entertainment and Rec - Transfer To Megan Cartwright IOU "/>
        <s v="Coinspot Deposit"/>
        <s v="Transfer To Kat Duncan IOU"/>
        <s v="Withdrawal   ATMWES ODEON PLZA O/S     DRUMMOYNENS    AU"/>
        <s v="TASTE BAKERY &amp; RESTAU SURRY HILLS  AUS Card xx8882 Value Date: 12/02/2020"/>
        <s v="REDFERN AND CO OPERATI   REDFERN      AU Card xx8882"/>
        <s v="JB HI FI STRAND ARCA SYDNEY NS AUS Card xx8882 Value Date: 11/02/2020"/>
        <s v="7-ELEVEN 2048 DRUMMOYNE NS AUS Card xx8882 Value Date: 12/02/2020"/>
        <s v="UBER   *EATS Sydney AU AUS Card xx8882 Value Date: 09/02/2020"/>
        <s v="Return UBER   *EATS Sydney AU AUS Card xx8882 Value Date: 10/02/2020"/>
        <s v="NewsLink SYD912 Sydney NS AUS Card xx8882 Value Date: 11/02/2020"/>
        <s v="ASH ADAMS SURRY HILL SURRY HILLS NS AUS Card xx8882 Value Date: 11/02/2020"/>
        <s v="TRANSPORTFORNSW OPAL CHIPPENDALE  AUS Card xx8882 Value Date: 11/02/2020"/>
        <s v="BAR TOSCA SYDNEY NS AUS Card xx8882 Value Date: 10/02/2020"/>
        <s v="UberUAE_EATS Sydney AU AUS Card xx8882 Value Date: 08/02/2020"/>
        <s v="TASTE BAKERY &amp; RESTAU SURRY HILLS  AUS Card xx8882 Value Date: 05/02/2020"/>
        <s v="SUMO POWER South Melbour  AUS Card xx8882 Value Date: 06/02/2020"/>
        <s v="Withdrawal   ATMCBA ATM  300ELIZABETH B NSW 203302   AUS"/>
        <s v="CommBank app food"/>
        <s v="TRANSPORTFORNSW OPAL CHIPPENDALE  AUS Card xx8882 Value Date: 05/02/2020"/>
        <s v="CENTENNIAL PLAZA PHR SYDNEY NS AUS Card xx8882 Value Date: 03/02/2020"/>
        <s v="UberUAE_EATS Sydney AU AUS Card xx8882 Value Date: 01/02/2020"/>
        <s v="UBER   *EATS Sydney AU AUS Card xx8882 Value Date: 02/02/2020"/>
        <s v="UBER   *EATS Sydney AU AUS Card xx8882 Value Date: 01/02/2020"/>
        <s v="Return No account or incorrect account no Megan Cartwright iou Value Date: 03/02/2020"/>
        <s v="BAR TOSCA SYDNEY NS AUS Card xx8882 Value Date: 31/01/2020"/>
        <s v="(T) DE Reject Return Fee"/>
        <s v="Direct Debit 245164 HCF 5723396980383A0000"/>
        <s v="TASTE BAKERY &amp; RESTAU SURRY HILLS  AUS Card xx8882 Value Date: 28/01/2020"/>
        <s v="MLEKO PTY LTD SURRY HILLS NS AUS Card xx8882 Value Date: 30/01/2020"/>
        <s v="ADOBE PR CREATIVE CLD 1800614863 IR IRL Card xx8882 AUD 29.99 Value Date: 30/01/2020"/>
        <s v="TRANSPORTFORNSW OPAL CHIPPENDALE  AUS Card xx8882 Value Date: 30/01/2020"/>
        <s v="GM CABS PTY LTD MASCOT  AUS Card xx8882 Value Date: 27/01/2020"/>
        <s v="UBER   *EATS Sydney AU AUS Card xx8882 Value Date: 27/01/2020"/>
        <s v="UberUAE_EATS Sydney AU AUS Card xx8882 Value Date: 26/01/2020"/>
        <s v="UBER   *TRIP Sydney AU AUS Card xx8882 Value Date: 26/01/2020"/>
        <s v="UBER   *TRIP Sydney AU AUS Card xx8882 Value Date: 25/01/2020"/>
        <s v="UBER   *EATS Sydney AU AUS Card xx8882 Value Date: 26/01/2020"/>
        <s v="NETFLIX COM MELBOURNE  AUS Card xx8882 Value Date: 24/01/2020"/>
        <s v="GM CABS PTY LTD MASCOT  AUS Tap and Pay xx6067 Value Date: 24/01/2020"/>
        <s v="BP CONNECT 0964     REDFERN           AU Value Date: 27/01/2020"/>
        <s v="Bank Hotel               Newtown      AU"/>
        <s v="RANA MEHDI HASSAN MINTO NS AUS Card xx8882 Value Date: 23/01/2020"/>
        <s v="LINKT SYDNEY SYDNEY  AUS Card xx8882 Value Date: 24/01/2020"/>
        <s v="TRANSPORTFORNSW OPAL CHIPPENDALE  AUS Card xx8882 Value Date: 23/01/2020"/>
        <s v="MLEKO PTY LTD SURRY HILLS NS AUS Card xx8882 Value Date: 22/01/2020"/>
        <s v="CommBank app "/>
        <s v="BMSH PTY LTD             SURRY HILLS  AU Card xx8882"/>
        <s v="SUMO POWER South Melbour  AUS Card xx8882 Value Date: 19/01/2020"/>
        <s v="Salary DHS PAYROLL 17340P 85920286"/>
        <s v="IGA EVERYDAY ENMORE PT   ENMORE       AU Cash Out $100.50"/>
        <s v="UberUAE_EATS Sydney AU AUS Card xx8882 Value Date: 19/01/2020"/>
        <s v="UBER   *EATS Sydney AU AUS Card xx8882 Value Date: 18/01/2020"/>
        <s v="ACTIVE8 POOL TABLES KIRRAWEE NS AUS Card xx8882 Value Date: 19/01/2020"/>
        <s v="TASTE BAKERY &amp; RESTAU SURRY HILLS  AUS Card xx8882 Value Date: 16/01/2020"/>
        <s v="TASTE BAKERY &amp; RESTAU SURRY HILLS  AUS Card xx8882 Value Date: 15/01/2020"/>
        <s v="media spend"/>
        <s v="ASH ADAMS SURRY HILL SURRY HILLS NS AUS Card xx8882 Value Date: 17/01/2020"/>
        <s v="OXFORD OPERATIONS PTY    MILSONS POINTAU Card xx8882"/>
        <s v="TRANSPORTFORNSW OPAL CHIPPENDALE  AUS Card xx8882 Value Date: 17/01/2020"/>
        <s v="UberUAE_EATS Sydney AU AUS Card xx8882 Value Date: 12/01/2020"/>
        <s v="UBER   *EATS Sydney AU AUS Card xx8882 Value Date: 11/01/2020"/>
        <s v="TRANSPORTFORNSW OPAL CHIPPENDALE  AUS Card xx8882 Value Date: 13/01/2020"/>
        <s v="UberUAE_EATS Sydney AU AUS Card xx8882 Value Date: 10/01/2020"/>
        <s v="UBER   *TRIP Sydney AU AUS Card xx8882 Value Date: 09/01/2020"/>
        <s v="UBER   *EATS Sydney AU AUS Card xx8882 Value Date: 09/01/2020"/>
        <s v="SUNPAC LTD PORT VILA  VUT Card xx8882 VUV 4140 Value Date: 09/01/2020"/>
        <s v="SUNPAC LTD PORT VILA  VUT Card xx8882 VUV 3960 Value Date: 09/01/2020"/>
        <s v="POPPY'S ON THE LAGOO PORT VILA VU VUT Card xx8882 VUV 3622 Value Date: 09/01/2020"/>
        <s v="POPPY'S ON THE LAGOO PORT VILA VU VUT Card xx8882 VUV 14335 Value Date: 09/01/2020"/>
        <s v="International Transaction Fee Value Date: 09/01/2020"/>
        <s v="grunt food"/>
        <s v="Salary DHS PAYROLL 19404P 85920286"/>
        <s v="grunt iou"/>
        <s v="Withdrawal   ATMTROPICAL MARKET        PORT VILA      VU VUV12800"/>
        <s v="Heinemann Duty Free Mascot NS AUS Card xx8882 Value Date: 03/01/2020"/>
        <s v="UBER   *TRIP Sydney AU AUS Card xx8882 Value Date: 31/12/2019"/>
        <s v="TK MAXX TOP RYDE RYDE  AUS Card xx8882 Value Date: 30/12/2019"/>
        <s v="Guzman y Gomez Crows Nest NS AUS Card xx8882 Value Date: 31/12/2019"/>
        <s v="BOOST JUICE PTY LTD      MASCOT       AU Card xx8882"/>
        <s v="AIRPORT RETAIL ENTERPR   MASCOT       AU"/>
        <s v="Direct Debit 245164 HCF 5723396980352A0000"/>
        <s v="UberUAE_EATS Sydney AU AUS Card xx8882 Value Date: 29/12/2019"/>
        <s v="HAPS HOTELS PTY LTD GLADESVILLE NS AUS Card xx8882 Value Date: 27/12/2019"/>
        <s v="ACTIVE8 POOL TABLES KIRRAWEE NS AUS Tap and Pay xx6067 Value Date: 29/12/2019"/>
        <s v="ACTIVE8 POOL TABLES KIRRAWEE NS AUS Card xx8882 Value Date: 29/12/2019"/>
        <s v="UberUAE_EATS Sydney AU AUS Card xx8882 Value Date: 27/12/2019"/>
        <s v="UberUAE_EATS Sydney AU AUS Card xx8882 Value Date: 26/12/2019"/>
        <s v="UBER   *TRIP Sydney AU AUS Card xx8882 Value Date: 27/12/2019"/>
        <s v="JB HI FI LEICHHARDT NS AUS Card xx8882 Value Date: 24/12/2019"/>
        <s v="EB GAMES DRUMMOYNE  AUS Card xx8882 Value Date: 27/12/2019"/>
        <s v="TAROCASH PTY LTD 154     RYDE         AU Card xx8882"/>
        <s v="OXFORD SHOP PTY LTD      RYDE         AU Card xx8882"/>
        <s v="boat ticket - Dosem Airway boatcruise"/>
        <s v="Withdrawal   ATMCAS THE OXFORD DRUMMOYNDRUM     NS    AU"/>
        <s v="POST LEICHHARDT POSTLE LEICHHARDT WA AUS Card xx8882 Value Date: 24/12/2019"/>
        <s v="NETFLIX COM MELBOURNE  AUS Card xx8882 Value Date: 24/12/2019"/>
        <s v="INGOGO LTD SYDNEY NS AUS Card xx8882 Value Date: 23/12/2019"/>
        <s v="HAIR CO 96 PTY LTD BROADWAY NS AUS Card xx8882 Value Date: 23/12/2019"/>
        <s v="ROSE TURKISH GOZLEME H   DRUMMOYNE    AU Card xx8882"/>
        <s v="UberUAE_EATS Sydney AU AUS Card xx8882 Value Date: 22/12/2019"/>
        <s v="UBER   *TRIP Sydney AU AUS Card xx8882 Value Date: 21/12/2019"/>
        <s v="UBER   *TRIP Sydney AU AUS Card xx8882 Value Date: 20/12/2019"/>
        <s v="UBER   *EATS Sydney AU AUS Card xx8882 Value Date: 22/12/2019"/>
        <s v="AUTHENTICS FACTORY O DRUMMOYNE NS AUS Card xx8882 Value Date: 21/12/2019"/>
        <s v="TASTE BAKERY &amp; RESTAU SURRY HILLS  AUS Card xx8882 Value Date: 18/12/2019"/>
        <s v="Salary DHS PAYROLL 16590P 85920286"/>
        <s v="grunt xmas shopping"/>
        <s v="food"/>
        <s v="BALMAIN HTL PROPERTY BALMAIN AU AUS Card xx8882 Value Date: 20/12/2019"/>
        <s v="HYPEDC BIRKENHEAD   DRUMMOYNE         AU"/>
        <s v="CONNOR CLOTHING PTY      DRUMMOYNE    AU Card xx8882"/>
        <s v="WOLLONGONG NIGHTSPOT     WOLLONGONG   AU Card xx8882"/>
        <s v="PLINE PH TOWN HALL SYDNEY  AUS Card xx8882 Value Date: 14/12/2019"/>
        <s v="MCDONALDS SYD AIR GAT MASCOT       NSWAU"/>
        <s v="BOURBON OPERATIONS POTTS POINT  AUS Card xx8882 Value Date: 14/12/2019"/>
        <s v="UBER   *TRIP Sydney AU AUS Card xx8882 Value Date: 14/12/2019"/>
        <s v="TRANSPORTFORNSW OPAL CHIPPENDALE  AUS Card xx8882 Value Date: 17/12/2019"/>
        <s v="TAXI COMBINED 133300 ALEXANDRIA NS AUS Card xx8882 Value Date: 14/12/2019"/>
        <s v="UberUAE_EATS Sydney AU AUS Card xx8882 Value Date: 14/12/2019"/>
        <s v="SUMO POWER South Melbour  AUS Card xx8882 Value Date: 11/12/2019"/>
        <s v="Homayoun Roozbehani Christmas gift"/>
        <s v="SYDNEY CONSTELLATION C   KOGARAH BAY  AU Card xx8882"/>
        <s v="MILITARY ROAD 23 PTY L   POTTS POINT  AU Card xx8882"/>
        <s v="UBER   *EATS Sydney AU AUS Card xx8882 Value Date: 09/12/2019"/>
        <s v="TRANSPORTFORNSW OPAL CHIPPENDALE  AUS Card xx8882 Value Date: 11/12/2019"/>
        <s v="THE DRUMM BRKNHD HTL DRUMMOYNE NS AUS Card xx8882 Value Date: 08/12/2019"/>
        <s v="Salary DHS PAYROLL 20210P 85920286"/>
        <s v="DHS - Lianna Going Away Gift"/>
        <s v="UBER   *EATS Sydney AU AUS Card xx8882 Value Date: 07/12/2019"/>
        <s v="mum present"/>
        <s v="Domain Registration To Grunt"/>
        <s v="BIRKENHEAD GRILL DRUMMOYNE NS AUS Card xx8882 Value Date: 08/12/2019"/>
        <s v="UNIVERSAL AUDIO 8314401176 CA USA Card xx8882 USD 274.00 Value Date: 05/12/2019"/>
        <s v="UberUAE_EATS Sydney AU AUS Card xx8882 Value Date: 07/12/2019"/>
        <s v="UberUAE_EATS Sydney AU AUS Card xx8882 Value Date: 06/12/2019"/>
        <s v="International Transaction Fee Value Date: 05/12/2019"/>
        <s v="CALTEX DRUMMOYNE         DRUMMOYNE    AU Card xx8882"/>
        <s v="MASOUMEH GHOLAMSHAHI the rest of ur BD present"/>
        <s v="TRANSPORTFORNSW OPAL CHIPPENDALE  AUS Card xx8882 Value Date: 04/12/2019"/>
        <s v="Homayoun Roozbehani Happy Birthday Rodean"/>
        <s v="TASTE BAKERY &amp; RESTAU SURRY HILLS  AUS Card xx8882 Value Date: 28/11/2019"/>
        <s v="Sneaky Burger            Wollongong   AU"/>
        <s v="MASOUMEH GHOLAMSHAHI Paying back ur money"/>
        <s v="Direct Debit 245164 HCF 5723396980320A0000"/>
        <s v="TRANSPORTFORNSW OPAL CHIPPENDALE  AUS Card xx8882 Value Date: 27/11/2019"/>
        <s v="Salary DHS PAYROLL 20195P 85920286"/>
        <s v="UberUAE_EATS Sydney AU AUS Card xx8882 Value Date: 24/11/2019"/>
        <s v="UBER   *EATS Sydney AU AUS Card xx8882 Value Date: 23/11/2019"/>
        <s v="NETFLIX.COM Melbourne AU AUS Card xx8882 Value Date: 24/11/2019"/>
        <s v="COLES EXPRESS 1617 DRUMMOYNE AU AUS Card xx8882 Value Date: 25/11/2019"/>
        <s v="COLES 4788 FIVE DOCK AU AUS Card xx8882 Value Date: 25/11/2019"/>
        <s v="TASTE BAKERY &amp; RESTAU SURRY HILLS  AUS Card xx8882 Value Date: 21/11/2019"/>
        <s v="TRANSPORTFORNSW OPAL CHIPPENDALE  AUS Card xx8882 Value Date: 21/11/2019"/>
        <s v="CommBank app elec bill"/>
        <s v="UberUAE_EATS Sydney AU AUS Card xx8882 Value Date: 17/11/2019"/>
        <s v="TASTE BAKERY &amp; RESTAU SURRY HILLS  AUS Card xx8882 Value Date: 14/11/2019"/>
        <s v="KEG  BREW HOTEL SURRY HILLS NS AUS Card xx8882 Value Date: 15/11/2019"/>
        <s v="BAR TOSCA SYDNEY NS AUS Card xx8882 Value Date: 15/11/2019"/>
        <s v="Direct Credit 245127 HCF 57233969DC-DRCR"/>
        <s v="TASTE BAKERY &amp; RESTAU SURRY HILLS  AUS Card xx8882 Value Date: 12/11/2019"/>
        <s v="TRANSPORTFORNSW OPAL CHIPPENDALE  AUS Card xx8882 Value Date: 14/11/2019"/>
        <s v="BAR TOSCA SYDNEY NS AUS Card xx8882 Value Date: 13/11/2019"/>
        <s v="UberUAE_EATS Sydney AU AUS Card xx8882 Value Date: 12/11/2019"/>
        <s v="Salary DHS PAYROLL 19235P 85920286"/>
        <s v="UberUAE_EATS Sydney AU AUS Card xx8882 Value Date: 10/11/2019"/>
        <s v="UberUAE_EATS Sydney AU AUS Card xx8882 Value Date: 09/11/2019"/>
        <s v="PAYPAL *MENTALNUTRI 4029357733 AU AUS Card xx8882 Value Date: 08/11/2019"/>
        <s v="IYASHI REMEDIES CO P/L DRUMMOYNE NS AUS Card xx8882 Value Date: 08/11/2019"/>
        <s v="UNIVERSAL AUDIO 8314401176 CA USA Card xx8882 USD 249.00 Value Date: 06/11/2019"/>
        <s v="TRANSPORTFORNSW OPAL CHIPPENDALE  AUS Card xx8882 Value Date: 08/11/2019"/>
        <s v="SMP*Ze Pickle Surry Hills AU AUS Card xx8882 Value Date: 05/11/2019"/>
        <s v="International Transaction Fee Value Date: 06/11/2019"/>
        <s v="CDKEYS.COM CDK2156  GBR Card xx8882 AUD 34.19 Value Date: 06/11/2019"/>
        <s v="TASTE BAKERY &amp; RESTAU SURRY HILLS  AUS Card xx8882 Value Date: 04/11/2019"/>
        <s v="Shift Eatery             Surry Hills  AU"/>
        <s v="GM CABS PTY LTD MASCOT  AUS Card xx8882 Value Date: 05/11/2019"/>
        <s v="UNIVERSAL HOTELS DARLINGHURST  AUS Card xx8882 Value Date: 02/11/2019"/>
        <s v="INGOGO LTD SYDNEY NS AUS Card xx8882 Value Date: 02/11/2019"/>
        <s v="UBER   *EATS Sydney AU AUS Card xx8882 Value Date: 03/11/2019"/>
        <s v="TRANSPORTFORNSW OPAL CHIPPENDALE  AUS Card xx8882 Value Date: 04/11/2019"/>
        <s v="KADMUS ON THE GO P/L DRUMMOYNE NS AUS Card xx8882 Value Date: 31/10/2019"/>
        <s v="GM CABS PTY LTD MASCOT  AUS Card xx8882 Value Date: 01/11/2019"/>
        <s v="jono food"/>
        <s v="TASTE BAKERY &amp; RESTAU SURRY HILLS  AUS Card xx8882 Value Date: 29/10/2019"/>
        <s v="Withdrawal   ATMCUS EZYMART OXFORD     DARLINGHUNS    AU Value Date: 02/11/2019"/>
        <s v="The Forresters           Surry Hills  AU"/>
        <s v="Non CBA ATM Withdrawal Fee Value Date: 02/11/2019"/>
        <s v="El Loco Excelsior Surry Hills NS AUS Card xx8882 Value Date: 30/10/2019"/>
        <s v="Direct Debit 245164 HCF 5723396980291A0000"/>
        <s v="Salary DHS PAYROLL 20035P 85920286"/>
        <s v="UBER   *EATS Sydney AU AUS Card xx8882 Value Date: 26/10/2019"/>
        <s v="TRANSPORTFORNSW TAP SYDNEY  AUS Tap and Pay xx6067 Value Date: 26/10/2019"/>
        <s v="TRANSPORTFORNSW TAP SYDNEY  AUS Tap and Pay xx6067 Value Date: 25/10/2019"/>
        <s v="TRANSPORTFORNSW OPAL CHIPPENDALE  AUS Card xx8882 Value Date: 28/10/2019"/>
        <s v="SMP*Chiswick Cellars Chiswick AU AUS Card xx8882 Value Date: 24/10/2019"/>
        <s v="Cash Dep Branch 300 ELIZABETH ST SYDNEY"/>
        <s v="Camy's Chargrill SH Surry Hills NS AUS Tap and Pay xx6067 Value Date: 24/10/2019"/>
        <s v="Vanuatu Hotel Payment to mum (Return Account Closed Soheyla Gholamshahi hotel Value Date: 24/10/2019)"/>
        <s v="TASTE BAKERY &amp; RESTAU SURRY HILLS  AUS Card xx8882 Value Date: 21/10/2019"/>
        <s v="TASTE BAKERY &amp; RESTAU SURRY HILLS  AUS Card xx8882 Value Date: 18/10/2019"/>
        <s v="Vanuatu Hotel Payment to mum"/>
        <s v="UBER   *EATS Sydney AU AUS Card xx8882 Value Date: 19/10/2019"/>
        <s v="NETFLIX.COM Melbourne AU AUS Card xx8882 Value Date: 20/10/2019"/>
        <s v="7-ELEVEN 2048 DRUMMOYNE NS AUS Card xx8882 Value Date: 19/10/2019"/>
        <s v="TRANSPORTFORNSW OPAL CHIPPENDALE  AUS Card xx8882 Value Date: 21/10/2019"/>
        <s v="BMSH PTY LTD SURRY HILLS  AUS Tap and Pay xx6067 Value Date: 17/10/2019"/>
        <s v="TASTE BAKERY &amp; RESTAU SURRY HILLS  AUS Card xx8882 Value Date: 15/10/2019"/>
        <s v="UBER   *EATS Sydney AU AUS Card xx8882 Value Date: 15/10/2019"/>
        <s v="SQUARESPACE INC. 6465803456 NY USA Card xx8882 USD 17.60 Value Date: 15/10/2019"/>
        <s v="International Transaction Fee Value Date: 15/10/2019"/>
        <s v="Salary DHS PAYROLL 19281P 85920286"/>
        <s v="UBER   *EATS Sydney AU AUS Card xx8882 Value Date: 13/10/2019"/>
        <s v="TRANSPORTFORNSW OPAL CHIPPENDALE  AUS Card xx8882 Value Date: 15/10/2019"/>
        <s v="JB HI FI LEICHHARDT NS AUS Card xx8882 Value Date: 12/10/2019"/>
        <s v="7-ELEVEN 2048 DRUMMOYNE NS AUS Card xx8882 Value Date: 13/10/2019"/>
        <s v="TASTE BAKERY &amp; RESTAU SURRY HILLS  AUS Card xx8882 Value Date: 10/10/2019"/>
        <s v="UBER   *EATS Sydney AU AUS Card xx8882 Value Date: 09/10/2019"/>
        <s v="grunt blueprint gig money"/>
        <s v="TRANSPORTFORNSW OPAL CHIPPENDALE  AUS Card xx8882 Value Date: 09/10/2019"/>
        <s v="TASTE BAKERY &amp; RESTAU SURRY HILLS  AUS Card xx8882 Value Date: 08/10/2019"/>
        <s v="UNIVERSAL CIVIC PTY SYDNEY  AUS Card xx8882 Value Date: 06/10/2019"/>
        <s v="UberUAE_EATS Sydney AU AUS Card xx8882 Value Date: 07/10/2019"/>
        <s v="UberUAE_EATS Sydney AU AUS Card xx8882 Value Date: 05/10/2019"/>
        <s v="Gozleme King Darling Sydney NS AUS Card xx8882 Value Date: 06/10/2019"/>
        <s v="CITY MART RANDWICK SYDNEY NS AUS Card xx8882 Value Date: 07/10/2019"/>
        <s v="Cafe Del Mar Sydney NS AUS Card xx8882 Value Date: 06/10/2019"/>
        <s v="UBER   *EATS Sydney AU AUS Card xx8882 Value Date: 04/10/2019"/>
        <s v="UBER   *EATS Sydney AU AUS Card xx8882 Value Date: 03/10/2019"/>
        <s v="TASTE BAKERY &amp; RESTAU SURRY HILLS  AUS Card xx8882 Value Date: 02/10/2019"/>
        <s v="Withdrawal   ATMANZ THE STAR SYDNEY 235PYRMONT        AU"/>
        <s v="SPORTS 24 7 THE STAR     PYRMONT      AU Card xx8882"/>
        <s v="JACKS HAIRDRESSING SYDNEY NS AUS Card xx8882 Value Date: 02/10/2019"/>
        <s v="UberUAE_EATS Sydney AU AUS Card xx8882 Value Date: 01/10/2019"/>
        <s v="TASTE BAKERY &amp; RESTAU SURRY HILLS  AUS Card xx8882 Value Date: 30/09/2019"/>
        <s v="Salary HAYSPERS 676442"/>
        <s v="RYDGES SYDNEY CENTRAL    SURRY HILLS  AU Card xx8882"/>
        <s v="TRANSPORTFORNSW OPAL CHIPPENDALE  AUS Card xx8882 Value Date: 02/10/2019"/>
        <s v="GORO'S                   SURRY HILLS  AU Card xx8882"/>
        <s v="UBER   *EATS Sydney AU AUS Card xx8882 Value Date: 29/09/2019"/>
        <s v="UBER   *EATS Sydney AU AUS Card xx8882 Value Date: 28/09/2019"/>
        <s v="UberUAE_EATS Sydney AU AUS Card xx8882 Value Date: 28/09/2019"/>
        <s v="UBER   *EATS Sydney AU AUS Card xx8882 Value Date: 27/09/2019"/>
        <s v="TASTE BAKERY &amp; RESTAU SURRY HILLS  AUS Card xx8882 Value Date: 26/09/2019"/>
        <s v="Direct Debit 245164 HCF 5723396980259A0000"/>
        <s v="TRANSPORTFORNSW OPAL CHIPPENDALE  AUS Card xx8882 Value Date: 25/09/2019"/>
        <s v="GM CABS PTY LTD MASCOT  AUS Card xx8882 Value Date: 21/09/2019"/>
        <s v="UberUAE_EATS Sydney AU AUS Card xx8882 Value Date: 22/09/2019"/>
        <s v="BALMAIN HTL PROPERTY BALMAIN AU AUS Card xx8882 Value Date: 21/09/2019"/>
        <s v="Withdrawal   ATMCBA ATM  300ELIZABETH C NSW 203303   AUS"/>
        <s v="WW METRO        1669 CENTRAL STAT NSW AU"/>
        <s v="TRANSPORTFORNSW OPAL CHIPPENDALE  AUS Card xx8882 Value Date: 18/09/2019"/>
        <s v="TASTE BAKERY &amp; RESTAU SURRY HILLS  AUS Card xx8882 Value Date: 16/09/2019"/>
        <s v="THE ORCHARD TAVERN CHATSWOOD  AUS Card xx8882 Value Date: 14/09/2019"/>
        <s v="UBER   *EATS SYDNEY NS AUS Card xx8882 Value Date: 15/09/2019"/>
        <s v="STRIKE AUSTRALIA PTY CHATSWOOD NS AUS Card xx8882 Value Date: 14/09/2019"/>
        <s v="SMP*Makanai Chatwsood Chatswood AU AUS Card xx8882 Value Date: 14/09/2019"/>
        <s v="PLAYTIME CHATSWOOD CHATSWOOD NS AUS Card xx8882 Value Date: 14/09/2019"/>
        <s v="SILVER SPOON BISTRO SURRY HILLS NS AUS Card xx8882 Value Date: 12/09/2019"/>
        <s v="UBER   *EATS SYDNEY NS AUS Card xx8882 Value Date: 11/09/2019"/>
        <s v="TASTE BAKERY &amp; RESTAU SURRY HILLS  AUS Card xx8882 Value Date: 10/09/2019"/>
        <s v="Withdrawal   ATMCAS 7-11 DRUMMOYNE     DRUMMOYN NS    AU"/>
        <s v="TRANSPORTFORNSW OPAL CHIPPENDALE  AUS Card xx8882 Value Date: 12/09/2019"/>
        <s v="Direct Credit 333732 INDESIGN PUB INDE FRONT DJ"/>
        <s v="UberUAE_EATS Sydney AU AUS Card xx8882 Value Date: 08/09/2019"/>
        <s v="UberUAE_EATS Sydney AU AUS Card xx8882 Value Date: 07/09/2019"/>
        <s v="850 RMS NCC1 NEWCASTLE  AUS Card xx8882 Value Date: 06/09/2019"/>
        <s v="geoff pay"/>
        <s v="Untied                   Millers PointAU"/>
        <s v="TRANSPORTFORNSW OPAL CHIPPENDALE  AUS Card xx8882 Value Date: 05/09/2019"/>
        <s v="TASTE BAKERY &amp; RESTAU SURRY HILLS  AUS Card xx8882 Value Date: 03/09/2019"/>
        <s v="Store Dj Invoice - 635671 - Behringer Ultrapatch"/>
        <s v="Return HYPEDC PITT ST MALL SYDNEY NS AUS Card xx8882 Value Date: 04/09/2019"/>
        <s v="GFM*GOFUNDME AUSTRALIA Sydney AU AUS Card xx8882 Value Date: 04/09/2019"/>
        <s v="CRAZYDOMAINSHOSTING 61290372826 SG SGP Card xx8882 AUD 21.95 Value Date: 03/09/2019"/>
        <s v="KADMUS PTY LTD           DRUMMOYNE    AU Card xx8882"/>
        <s v="UBER   *EATS SYDNEY NS AUS Card xx8882 Value Date: 01/09/2019"/>
        <s v="UberUAE_EATS Sydney AU AUS Card xx8882 Value Date: 31/08/2019"/>
        <s v="UberUAE_EATS Sydney AU AUS Card xx8882 Value Date: 30/08/2019"/>
        <s v="International Transaction Fee Value Date: 30/08/2019"/>
        <s v="GM CABS PTY LTD MASCOT  AUS Card xx8882 Value Date: 30/08/2019"/>
        <s v="BANDCAMP LATE NIGHT TA BANDCAMP.CO CA USA Card xx8882 GBP 8.99 Value Date: 30/08/2019"/>
        <s v="BANDCAMP KHRUANGBIN BANDCAMP.CO CA USA Card xx8882 GBP 8.99 Value Date: 30/08/2019"/>
        <s v="Direct Debit 245164 HCF 5723396980229A0000"/>
        <s v="TRANSPORTFORNSW OPAL CHIPPENDALE  AUS Card xx8882 Value Date: 30/08/2019"/>
        <s v="MCDONALDS LIVERPOOL S LIVERPOOL SOU  AUS Tap and Pay xx6067 Value Date: 27/08/2019"/>
        <s v="El Loco @ Slip Inn Sydney NS AUS Card xx8882 Value Date: 29/08/2019"/>
        <s v="GM CABS PTY LTD MASCOT  AUS Tap and Pay xx6067 Value Date: 27/08/2019"/>
        <s v="WOOLWORTHS 1669 SURRY HILLS NS AUS Tap and Pay xx6067 Value Date: 27/08/2019"/>
        <s v="UBER   *EATS SYDNEY NS AUS Card xx8882 Value Date: 26/08/2019"/>
        <s v="TASTE BAKERY &amp; RESTAU SURRY HILLS  AUS Card xx8882 Value Date: 23/08/2019"/>
        <s v="GM CABS PTY LTD MASCOT  AUS Tap and Pay xx6067 Value Date: 25/08/2019"/>
        <s v="GM CABS PTY LTD MASCOT  AUS Card xx8882 Value Date: 23/08/2019"/>
        <s v="Direct Debit 342190 FITNESS PLAY SH 172011202"/>
        <s v="7-ELEVEN 2048 DRUMMOYNE NS AUS Tap and Pay xx6067 Value Date: 27/08/2019"/>
        <s v="UBER   *EATS SYDNEY NS AUS Card xx8882 Value Date: 25/08/2019"/>
        <s v="7-ELEVEN 2048 DRUMMOYNE NS AUS Card xx8882 Value Date: 24/08/2019"/>
        <s v="UBER   *TRIP SYDNEY NS AUS Card xx8882 Value Date: 23/08/2019"/>
        <s v="LIV*THE WILD ROVER SURRY HILLS  AUS Card xx8882 Value Date: 22/08/2019"/>
        <s v="A BASAULA AND S SHAHI NEWTOWN AU AUS Card xx8882 Value Date: 23/08/2019"/>
        <s v="iou food"/>
        <s v="MYER  SYDNEY CITY SYDNEY NS AUS Card xx8882 Value Date: 22/08/2019"/>
        <s v="HYPEDC PITT ST MALL SYDNEY NS AUS Card xx8882 Value Date: 22/08/2019"/>
        <s v="LAS VEGAS GAMING INT     NEWTOWN      AU Card xx8882"/>
        <s v="JACKS HAIRDRESSING SYDNEY NS AUS Card xx8882 Value Date: 19/08/2019"/>
        <s v="UBER   *EATS SYDNEY NS AUS Card xx8882 Value Date: 18/08/2019"/>
        <s v="TRANSPORTFORNSW OPAL CHIPPENDALE  AUS Card xx8882 Value Date: 20/08/2019"/>
        <s v="UberUAE_EATS Sydney AU AUS Card xx8882 Value Date: 16/08/2019"/>
        <s v="TASTE BAKERY &amp; RESTAU SURRY HILLS  AUS Card xx8882 Value Date: 14/08/2019"/>
        <s v="Elec Bill"/>
        <s v="TAXI COMBINED 133300 ALEXANDRIA NS AUS Card xx8882 Value Date: 12/08/2019"/>
        <s v="TASTE BAKERY &amp; RESTAU SURRY HILLS  AUS Card xx8882 Value Date: 09/08/2019"/>
        <s v="RIBS AND BURGERS DRUMM   DRUMMOYNE    AU Card xx8882"/>
        <s v="GM CABS PTY LTD MASCOT  AUS Card xx8882 Value Date: 11/08/2019"/>
        <s v="Direct Debit 342190 FITNESS PLAY SH 169500209"/>
        <s v="UBER   *TRIP SYDNEY NS AUS Card xx8882 Value Date: 11/08/2019"/>
        <s v="UBER   *EATS SYDNEY NS AUS Card xx8882 Value Date: 11/08/2019"/>
        <s v="TRANSPORTFORNSW OPAL CHIPPENDALE  AUS Card xx8882 Value Date: 13/08/2019"/>
        <s v="Menulog Pty Ltd Sydney AU AUS Card xx8882 Value Date: 10/08/2019"/>
        <s v="El Loco Excelsior Surry Hills NS AUS Card xx8882 Value Date: 12/08/2019"/>
        <s v="7-ELEVEN 2048 DRUMMOYNE NS AUS Card xx8882 Value Date: 11/08/2019"/>
        <s v="UberUAE_EATS Sydney AU AUS Card xx8882 Value Date: 10/08/2019"/>
        <s v="Thaifood"/>
        <s v="TASTE BAKERY &amp; RESTAU SURRY HILLS  AUS Card xx8882 Value Date: 07/08/2019"/>
        <s v="International Transaction Fee Value Date: 08/08/2019"/>
        <s v="BEATPORT 720-974-9500 CO USA Card xx8882 AUD 7.44 Value Date: 10/08/2019"/>
        <s v="2334271OntarioLtd 855-2348273 ON CAN Card xx8882 USD 327.69 Value Date: 08/08/2019 (Zeus Arc)"/>
        <s v="ZEUS SURRY HILLS PTY L   SURRY HILLS  AU Card xx8882"/>
        <s v="KOUKLA GROUP PTY LTD     SURRY HILLS  AU Card xx8882"/>
        <s v="sunday lunch order"/>
        <s v="Withdrawal   ATMRed CEXP DRUMMOYNE NT  Drummoyne      AU"/>
        <s v="TASTE BAKERY &amp; RESTAU SURRY HILLS  AUS Card xx8882 Value Date: 06/08/2019"/>
        <s v="UberUAE_EATS Sydney AU AUS Card xx8882 Value Date: 05/08/2019"/>
        <s v="TRANSPORTFORNSW OPAL CHIPPENDALE  AUS Card xx8882 Value Date: 07/08/2019"/>
        <s v="UberUAE_EATS Sydney AU AUS Card xx8882 Value Date: 02/08/2019"/>
        <s v="TASTE BAKERY &amp; RESTAU SURRY HILLS  AUS Card xx8882 Value Date: 01/08/2019"/>
        <s v="TASTE BAKERY &amp; RESTAU SURRY HILLS  AUS Card xx8882 Value Date: 30/07/2019"/>
        <s v="TRANSPORTFORNSW OPAL CHIPPENDALE  AUS Card xx8882 Value Date: 01/08/2019"/>
        <s v="SALT MEATS CHEESE DRUMMOYNE NS AUS Card xx8882 Value Date: 29/07/2019"/>
        <s v="GM CABS PTY LTD MASCOT  AUS Card xx8882 Value Date: 28/07/2019"/>
        <s v="Direct Debit 342190 FITNESS PLAY SH 167079573"/>
        <s v="Direct Debit 245164 HCF 5723396980199A0000"/>
        <s v="BIG D S DINER NEWTOW NEWTOWN  AUS Card xx8882 Value Date: 26/07/2019"/>
        <s v="UBER   *TRIP SYDNEY NS AUS Card xx8882 Value Date: 28/07/2019"/>
        <s v="Town Hall Hotel Newtown NS AUS Card xx8882 Value Date: 26/07/2019"/>
        <s v="The Strand Hotel Darlinghurst NS AUS Card xx8882 Value Date: 27/07/2019"/>
        <s v="TASTE BAKERY &amp; RESTAU SURRY HILLS  AUS Card xx8882 Value Date: 25/07/2019"/>
        <s v="Louisa"/>
        <s v="A HANKIN COMPANY WICKHAM NS AUS Card xx8882 Value Date: 26/07/2019"/>
        <s v="77 CONVENIENCE STOR DARLINGHURST      AU Cash Out $76.95"/>
        <s v="TASTE BAKERY &amp; RESTAU SURRY HILLS  AUS Card xx8882 Value Date: 23/07/2019"/>
        <s v="STANLEYS BAR PTY LTD     DARLINGHURST AU Card xx8882"/>
        <s v="CENTENNIAL PLAZA PHR SYDNEY NS AUS Card xx8882 Value Date: 24/07/2019"/>
        <s v="TRANSPORTFORNSW OPAL CHIPPENDALE  AUS Card xx8882 Value Date: 25/07/2019"/>
        <s v="TASTE BAKERY &amp; RESTAU SURRY HILLS  AUS Card xx8882 Value Date: 22/07/2019"/>
        <s v="LIME APPLE 132227      SYDNEY    NSW  AU"/>
        <s v="GM CABS PTY LTD MASCOT  AUS Card xx8882 Value Date: 20/07/2019"/>
        <s v="UBER TRIP HELP.UBER.CO 14518236738 AU AUS Card xx8882 Value Date: 21/07/2019"/>
        <s v="UBER TRIP HELP.UBER.CO 14518236738 AU AUS Card xx8882 Value Date: 20/07/2019"/>
        <s v="UBER   *TRIP SYDNEY NS AUS Card xx8882 Value Date: 21/07/2019"/>
        <s v="UBER TRIP HELP.UBER.CO 14518236738 AU AUS Card xx8882 Value Date: 18/07/2019"/>
        <s v="TASTE BAKERY &amp; RESTAU SURRY HILLS  AUS Card xx8882 Value Date: 17/07/2019"/>
        <s v="Internet Share 2 months"/>
        <s v="East Village Sydney Darlinghurst NS AUS Card xx8882 Value Date: 20/07/2019"/>
        <s v="SILVER SERVIC 13310    Sydney         AU"/>
        <s v="BP PLANNING PTY LTD      BALMAIN      AU Card xx8882"/>
        <s v="TRANSPORTFORNSW OPAL CHIPPENDALE  AUS Card xx8882 Value Date: 18/07/2019"/>
        <s v="LINKT SYDNEY SYDNEY  AUS Card xx8882 Value Date: 18/07/2019"/>
        <s v="Direct Debit 165969 FITNESS PLAY SH 20198238122"/>
        <s v="UberUAE_EATS Sydney AU AUS Card xx8882 Value Date: 14/07/2019"/>
        <s v="UBER   *EATS SYDNEY NS AUS Card xx8882 Value Date: 12/07/2019"/>
        <s v="SALT MEATS CHEESE DRUMMOYNE NS AUS Card xx8882 Value Date: 13/07/2019"/>
        <s v="IYASHI REMEDIES CO P/L DRUMMOYNE NS AUS Card xx8882 Value Date: 13/07/2019"/>
        <s v="7-ELEVEN 2048 DRUMMOYNE NS AUS Card xx8882 Value Date: 13/07/2019"/>
        <s v="SMP*Bar Tosca Surry Hills AU AUS Card xx8882 Value Date: 11/07/2019"/>
        <s v="TRANSPORTFORNSW OPAL CHIPPENDALE  AUS Card xx8882 Value Date: 12/07/2019"/>
        <s v="SMP*Bar Tosca Surry Hills AU AUS Card xx8882 Value Date: 10/07/2019"/>
        <s v="DUMPLING HUT AUS PL SURRY HILLS NS AUS Card xx8882 Value Date: 09/07/2019"/>
        <s v="Withdrawal   ATMANZ GOROS              SURRY HIL      AU"/>
        <s v="UBER   *EATS SYDNEY NS AUS Card xx8882 Value Date: 07/07/2019"/>
        <s v="TRANSPORTFORNSW OPAL CHIPPENDALE  AUS Card xx8882 Value Date: 08/07/2019"/>
        <s v="TASTE BAKERY &amp; RESTAU SURRY HILLS  AUS Card xx8882 Value Date: 05/07/2019"/>
        <s v="TASTE BAKERY &amp; RESTAU SURRY HILLS  AUS Card xx8882 Value Date: 04/07/2019"/>
        <s v="UBER   *EATS SYDNEY NS AUS Card xx8882 Value Date: 03/07/2019"/>
        <s v="maccas 06/07/2019"/>
        <s v="GM CABS PTY LTD MASCOT  AUS Card xx8882 Value Date: 29/06/2019"/>
        <s v="Direct Debit 165969 FITNESS PLAY SH 20197729127"/>
        <s v="UNI OF SYDNEY UNIO UNIVERSITY OF NS AUS Card xx8882 Value Date: 29/06/2019"/>
        <s v="UBER TRIP HELP.UBER.CO 14518236738 AU AUS Card xx8882 Value Date: 28/06/2019"/>
        <s v="TRANSPORTFORNSW OPAL CHIPPENDALE  AUS Card xx8882 Value Date: 01/07/2019"/>
        <s v="TASTE BAKERY &amp; RESTAU SURRY HILLS  AUS Card xx8882 Value Date: 27/06/2019"/>
        <s v="POWERDIRECT PTY LTD NORTH SYDNEY  AUS Card xx8882 Value Date: 27/06/2019"/>
        <s v="AGL SALES P/L 0308 MELBOURNE  AUS Card xx8882 Value Date: 27/06/2019"/>
        <s v="Direct Debit 245164 HCF 5723396980166A0000"/>
        <s v="DUMPLING HUT AUS PL SURRY HILLS NS AUS Card xx8882 Value Date: 25/06/2019"/>
        <s v="Withdrawal   ATMBOQ NEWTOWN            NEWTOWN  NS    AU Value Date: 29/06/2019"/>
        <s v="MELANIE AND ANNIE PT     HAYMARKET    AU Card xx8882"/>
        <s v="DUMPLING HUT AUS PL SURRY HILLS NS AUS Card xx8882 Value Date: 24/06/2019"/>
        <s v="UNIVERSAL HOTELS PTY DARLINGHURST  AUS Card xx8882 Value Date: 22/06/2019"/>
        <s v="TRANSPORTFORNSW OPAL CHIPPENDALE  AUS Card xx8882 Value Date: 26/06/2019"/>
        <s v="GM CABS PTY LTD MASCOT  AUS Card xx8882 Value Date: 22/06/2019"/>
        <s v="CASH DEPOSIT CBA ATM  300ELIZABETH A NSW 203301   AUS"/>
        <s v="Goodbar Paddington NS AUS Card xx8882 Value Date: 23/06/2019"/>
        <s v="SKYBUS COACH SERVICE     MELBOURNE AIRAU Card xx8882"/>
        <s v="NJ GROUP PTY LTD         MELBOURNE AIRAU Card xx8882"/>
        <s v="Camy's Chargrill SH Surry Hills NS AUS Card xx8882 Value Date: 20/06/2019"/>
        <s v="Camy's Chargrill SH Surry Hills NS AUS Card xx8882 Value Date: 19/06/2019"/>
        <s v="7-ELEVEN 2048 DRUMMOYNE NS AUS Card xx8882 Value Date: 19/06/2019"/>
        <s v="TRANSPORTFORNSW OPAL     CHIPPENDALE  AU Card xx8882"/>
        <s v="DUMPLING HUT AUS PL SURRY HILLS NS AUS Card xx8882 Value Date: 17/06/2019"/>
        <s v="Direct Debit 165969 FITNESS PLAY SH 20197196210"/>
        <s v="Camy's Chargrill SH Surry Hills NS AUS Card xx8882 Value Date: 18/06/2019"/>
        <s v="RAMTEAN ROOZBEHA CommBank app rabies vaccine"/>
        <s v="Direct Credit 371474 RENTALBONDBOARD S162210-X 1 / 9"/>
        <s v="BKNG SNSTN BKRY CF DRUMMOYNE NS AUS Card xx8882 Value Date: 15/06/2019"/>
        <s v="DUMPLING HUT AUS PL SURRY HILLS NS AUS Card xx8882 Value Date: 13/06/2019"/>
        <s v="Camy's Chargrill SH Surry Hills NS AUS Card xx8882 Value Date: 14/06/2019"/>
        <s v="Refund of Disputes Fees and or interest"/>
        <s v="Sunday food"/>
        <s v="TWG AT JOAN SUTHERLAND SYDNEY  AUS Tap and Pay xx6067 Value Date: 10/06/2019"/>
        <s v="Camy's Chargrill SH Surry Hills NS AUS Card xx8882 Value Date: 12/06/2019"/>
        <s v="MENYA CHINATOWN HAYMARKET NS AUS Card xx8882 Value Date: 10/06/2019"/>
        <s v="Camy's Chargrill SH Surry Hills NS AUS Card xx8882 Value Date: 11/06/2019"/>
        <s v="Annandale Hotel          Annandale    AU"/>
        <s v="TFNSW RAIL OPAL          HAYMARKET    AU Card xx8882"/>
        <s v="Cash Dep Branch 300ElizabethSt Syd"/>
        <s v="Camy's Chargrill SH Surry Hills NS AUS Card xx8882 Value Date: 07/06/2019"/>
        <s v="TWG AT JOAN SUTHERLAND   SYDNEY       AU Card xx8882"/>
        <s v="Opera Bar                Sydney       AU"/>
        <s v="WW METRO 1360            BORONIA PARK AU Card xx8882"/>
        <s v="SUTTONS MOTORS ARNCL ARNCLIFFE NS AUS Card xx8882 Value Date: 05/06/2019"/>
        <s v="HFM BORONIA PARK         BORONIA PARK AU Card xx8882"/>
        <s v="Camy's Chargrill SH Surry Hills NS AUS Card xx8882 Value Date: 06/06/2019"/>
        <s v="DUMPLING HUT AUS PL SURRY HILLS NS AUS Tap and Pay xx6067 Value Date: 04/06/2019"/>
        <s v="Camy's Chargrill SH Surry Hills NS AUS Card xx8882 Value Date: 05/06/2019"/>
        <s v="RMSTOLLNOTICEPH13186 PARRAMATTA  AUS Card xx8882 Value Date: 31/05/2019"/>
        <s v="MCDONALDS DRUMMOYNE DRUMMOYNE  AUS Card xx8882 Value Date: 01/06/2019"/>
        <s v="Direct Debit 165969 FITNESS PLAY SH 20196685299"/>
        <s v="UBER   *EATS SYDNEY NS AUS Card xx8882 Value Date: 01/06/2019"/>
        <s v="SQ *THE TASTE OF BEES Drummoyne AU AUS Card xx8882 Value Date: 02/06/2019"/>
        <s v="Return UBER   *EATS SYDNEY NS AUS Card xx8882 Value Date: 02/06/2019"/>
        <s v="GREAT LIGHTING AUSTR LEICHHARDT NS AUS Card xx8882 Value Date: 03/06/2019"/>
        <s v="COLES 4788 FIVE DOCK AU AUS Card xx8882 Value Date: 03/06/2019"/>
        <s v="Camy's Chargrill SH Surry Hills NS AUS Card xx8882 Value Date: 03/06/2019"/>
        <s v="7-ELEVEN 2048 DRUMMOYNE NS AUS Card xx8882 Value Date: 31/05/2019"/>
        <s v="PRIME QUALITY MEATS LEICHHARDT NS AUS Card xx8882 Value Date: 29/05/2019"/>
        <s v="DUMPLING HUT AUS PL SURRY HILLS NS AUS Card xx8882 Value Date: 31/05/2019"/>
        <s v="BOND CLEANING IN YOUR ASHMORE AU AUS Card xx8882 Value Date: 01/06/2019"/>
        <s v="Direct Debit 245164 HCF 5723396980138A0000"/>
        <s v="BUNNINGS 595000          ASHFIELD     AU Card xx8882 - home supplies"/>
        <s v="Withdrawal   ATMCBA ATM  PETERSHAM A    NSW 222701   AUS"/>
        <s v="ref340 96a Audley"/>
        <s v="PRIME QUALITY MEATS LEICHHARDT NS AUS Card xx8882 Value Date: 28/05/2019"/>
        <s v="PETERSHAM PHARMACY       PETERSHAM    AU Card xx8882"/>
        <s v="CommBank app"/>
        <s v="Camy's Chargrill SH Surry Hills NS AUS Card xx8882 Value Date: 30/05/2019"/>
        <s v="CENTENNIAL PLAZA PHR SYDNEY NS AUS Card xx8882 Value Date: 28/05/2019"/>
        <s v="SILVER SPOON BISTRO SURRY HILLS NS AUS Card xx8882 Value Date: 24/05/2019"/>
        <s v="DMD FUELS PTY LTD        PETERSHAM    AU Card xx8882"/>
        <s v="COLES 0846 LEICHHARDT AU AUS Card xx8882 Value Date: 28/05/2019"/>
        <s v="CIVIC HOTEL SYDNEY  AUS Tap and Pay xx6067 Value Date: 25/05/2019"/>
        <s v="CIVIC HOTEL SYDNEY  AUS Card xx8882 Value Date: 25/05/2019"/>
        <s v="CIVIC HOTEL SYDNEY  AUS Card xx8882 Value Date: 24/05/2019"/>
        <s v="UBER EATS HELP.UBER.CO 14518236738 AU AUS Card xx8882 Value Date: 26/05/2019"/>
        <s v="UBER   *TRIP SYDNEY NS AUS Card xx8882 Value Date: 26/05/2019"/>
        <s v="UBER   *EATS SYDNEY NS AUS Card xx8882 Value Date: 26/05/2019"/>
        <s v="TAXI4UR SERVICE PTYLTD CROYDON PARK NS AUS Card xx8882 Value Date: 25/05/2019"/>
        <s v="TAXI COMBINED 133300 ALEXANDRIA NS AUS Card xx8882 Value Date: 25/05/2019"/>
        <s v="MED CAFE PETERSHAM NS AUS Card xx8882 Value Date: 25/05/2019"/>
        <s v="KENNARDS SELF STORAGE    PETERSHAM    AU Card xx8882"/>
        <s v="CULTIVATE (T1) PTY L DARLINGHURST NS AUS Card xx8882 Value Date: 26/05/2019"/>
        <s v="CULTIVATE (T1) PTY L DARLINGHURST NS AUS Card xx8882 Value Date: 25/05/2019"/>
        <s v="Camy's Chargrill SH Surry Hills NS AUS Card xx8882 Value Date: 27/05/2019"/>
        <s v="LEGION CAB SY 131451 DARLINGHURST NS AUS Card xx8882 Value Date: 24/05/2019"/>
        <s v="THE FAT CHOOK LEICHHAR   LEICHHARDT   AU Card xx8882"/>
        <s v="MR CRACKLES              DARLINGHURST AU Card xx8882"/>
        <s v="YULIA ANGESTI &amp; MICH LEICHHARDT NS AUS Card xx8882 Value Date: 22/05/2019 (Norton Seafoods)"/>
        <s v="Withdrawal   ATMWES RAILWAY SQ O/S     RAILWAY SNS    AU"/>
        <s v="The Winery               Surry Hills  AU"/>
        <s v="Camy's Chargrill SH Surry Hills NS AUS Card xx8882 Value Date: 23/05/2019"/>
        <s v="7-ELEVEN 2153 PETERSHAM NS AUS Card xx8882 Value Date: 23/05/2019"/>
        <s v="Withdrawal   ATMWES CIVIC HOTEL        SYDNEY         AU"/>
        <s v="COLES 0846 LEICHHARDT AU AUS Card xx8882 Value Date: 21/05/2019"/>
        <s v="PRIME QUALITY MEATS LEICHHARDT NS AUS Card xx8882 Value Date: 19/05/2019"/>
        <s v="MASSAGE LINK BROADWA ULTIMO NS AUS Card xx8882 Value Date: 18/05/2019"/>
        <s v="Direct Debit 165969 FITNESS PLAY SH 20196177772"/>
        <s v="Camy's Chargrill SH Surry Hills NS AUS Card xx8882 Value Date: 21/05/2019"/>
        <s v="NETFLIX.COM Melbourne AU AUS Card xx8882 Value Date: 19/05/2019"/>
        <s v="HARRIS FARM MARKETS      LEICHHARDT   AU Card xx8882"/>
        <s v="H&amp;M AUSTRALIA 0011 SYDNEY NS AUS Card xx8882 Value Date: 18/05/2019"/>
        <s v="Camy's Chargrill SH Surry Hills NS AUS Card xx8882 Value Date: 20/05/2019"/>
        <s v="PRIME QUALITY MEATS LEICHHARDT NS AUS Card xx8882 Value Date: 15/05/2019"/>
        <s v="COLES 0846 LEICHHARDT AU AUS Card xx8882 Value Date: 17/05/2019"/>
        <s v="CITYOFSYDNEY PARKING SYDNEY  AUS Card xx8882 Value Date: 16/05/2019"/>
        <s v="Camy's Chargrill SH Surry Hills NS AUS Card xx8882 Value Date: 17/05/2019"/>
        <s v="LINKT SYDNEY SYDNEY  AUS Card xx8882 Value Date: 17/05/2019"/>
        <s v="JUST CUTS BROADWAY BROADWAY NSW       AU"/>
        <s v="JOJOS VENTURE PTY LT     PETERSHAM    AU Card xx8882"/>
        <s v="CAFE SYDNEY NSW Sydney NS AUS Card xx8882 Value Date: 16/05/2019"/>
        <s v="TASTE BAKERY &amp; RESTAU SURRY HILLS  AUS Card xx8882 Value Date: 14/05/2019"/>
        <s v="PRIME QUALITY MEATS LEICHHARDT NS AUS Card xx8882 Value Date: 13/05/2019"/>
        <s v="COLES 0846 LEICHHARDT AU AUS Card xx8882 Value Date: 15/05/2019"/>
        <s v="Camy's Chargrill SH Surry Hills NS AUS Card xx8882 Value Date: 15/05/2019"/>
        <s v="YULIA ANGESTI &amp; MICH LEICHHARDT NS AUS Card xx8882 Value Date: 13/05/2019 (Norton Seafoods)"/>
        <s v="TASTE BAKERY &amp; RESTAU SURRY HILLS  AUS Card xx8882 Value Date: 13/05/2019"/>
        <s v="Homayoun Roozbehani Dads Present"/>
        <s v="UBER EATS HELP.UBER.CO 14518236738 AU AUS Card xx8882 Value Date: 12/05/2019"/>
        <s v="UBER EATS HELP.UBER.CO 14518236738 AU AUS Card xx8882 Value Date: 11/05/2019"/>
        <s v="UBER   *EATS SYDNEY NS AUS Card xx8882 Value Date: 11/05/2019"/>
        <s v="COLES 0846 LEICHHARDT AU AUS Card xx8882 Value Date: 13/05/2019"/>
        <s v="TASTE BAKERY &amp; RESTAU SURRY HILLS  AUS Card xx8882 Value Date: 10/05/2019"/>
        <s v="POWERDIRECT PTY LTD NORTH SYDNEY  AUS Card xx8882 Value Date: 09/05/2019"/>
        <s v="SCORPION TECH       MACQUARIE PAR     AU - Nvidia P2000 Graphics Card"/>
        <s v="SCORPION TECH       MACQUARIE PAR     AU"/>
        <s v="PRIME QUALITY MEATS LEICHHARDT NS AUS Card xx8882 Value Date: 07/05/2019"/>
        <s v="PHOTO SHOP STUDIO ASHFIELD NS AUS Card xx8882 Value Date: 09/05/2019"/>
        <s v="LEICHHARDT DSCNT CHE LEICHHARDT NS AUS Card xx8882 Value Date: 07/05/2019"/>
        <s v="BOND CLEANING IN YOUR ASHMORE AU AUS Card xx8882 Value Date: 09/05/2019"/>
        <s v="7-ELEVEN 2153 PETERSHAM NS AUS Card xx8882 Value Date: 09/05/2019"/>
        <s v="Withdrawal   ATMWES MADISON HOTEL      SURRY H        AU"/>
        <s v="TASTE BAKERY &amp; RESTAU SURRY HILLS  AUS Card xx8882 Value Date: 06/05/2019"/>
        <s v="PLINE PH LEICHHARDT LEICHHARDT  AUS Card xx8882 Value Date: 06/05/2019"/>
        <s v="ONE TONG PTY LTD    SYDNEY            AU"/>
        <s v="MADISON HOTEL            SURRY HILLS  AU Card xx8882"/>
        <s v="EVENING STAR OPERATI     SURRY HILLS  AU Card xx8882"/>
        <s v="CENTENNIAL PLAZA PHR SYDNEY NS AUS Card xx8882 Value Date: 07/05/2019"/>
        <s v="YULIA ANGESTI &amp; MICH LEICHHARDT NS AUS Card xx8882 Value Date: 06/05/2019 (Norton Seafoods)"/>
        <s v="MCDONALDS DRUMMOYNE DRUMMOYNE  AUS Card xx8882 Value Date: 05/05/2019"/>
        <s v="Direct Debit 165969 FITNESS PLAY SH 20195621644"/>
        <s v="COLES 0846 LEICHHARDT AU AUS Card xx8882 Value Date: 07/05/2019"/>
        <s v="Camy's Chargrill SH Surry Hills NS AUS Card xx8882 Value Date: 07/05/2019"/>
        <s v="COLES 0846 LEICHHARDT AU AUS Card xx8882 Value Date: 06/05/2019"/>
        <s v="TASTE BAKERY &amp; RESTAU SURRY HILLS  AUS Card xx8882 Value Date: 02/05/2019"/>
        <s v="PRIME QUALITY MEATS LEICHHARDT NS AUS Card xx8882 Value Date: 01/05/2019"/>
        <s v="LEICHHARDT CHEMIST LEICHHARDT NS AUS Card xx8882 Value Date: 03/05/2019"/>
        <s v="COLES 0846 LEICHHARDT AU AUS Card xx8882 Value Date: 03/05/2019"/>
        <s v="TASTE BAKERY &amp; RESTAU SURRY HILLS  AUS Card xx8882 Value Date: 29/04/2019"/>
        <s v="Belong * Service PADDINGTON NS AUS Card xx8882 Value Date: 01/05/2019"/>
        <s v="WARWICK L EVERINGHAM LEICHHARDT  AUS Tap and Pay xx6067 Value Date: 27/04/2019"/>
        <s v="SUSHI OTAKU SURRY HILLS NS AUS Card xx8882 Value Date: 30/04/2019"/>
        <s v="AUTO TCH CR &amp; TRCK R PETERSHAM NOR NS AUS Card xx8882 Value Date: 26/04/2019"/>
        <s v="LEICHHARDT CHEMIST LEICHHARDT NS AUS Tap and Pay xx6067 Value Date: 27/04/2019"/>
        <s v="Direct Debit 245164 HCF 5723396980107A0000"/>
        <s v="COLES 0846 LEICHHARDT AU AUS Card xx8882 Value Date: 29/04/2019"/>
        <s v="TASTE BAKERY &amp; RESTAU SURRY HILLS  AUS Card xx8882 Value Date: 24/04/2019"/>
        <s v="SERVICE NSW SYDNEY  AUS Card xx8882 Value Date: 26/04/2019 - Car Registration"/>
        <s v="NRMA WEB SYDNEY NS AUS Card xx8882 Value Date: 26/04/2019"/>
        <s v="COLES 0846 LEICHHARDT AU AUS Tap and Pay xx6067 Value Date: 27/04/2019"/>
        <s v="Camy's Chargrill SH Surry Hills NS AUS Card xx8882 Value Date: 26/04/2019"/>
        <s v="SYDNEY OPERA HOUSE TRU SYDNEY NS AUS Card xx8882 Value Date: 24/04/2019"/>
        <s v="Sushi Hub Balmain Balmain NS AUS Card xx8882 Value Date: 25/04/2019"/>
        <s v="REVENUE NSWFINE MAITLAND  AUS Card xx8882 Value Date: 23/04/2019"/>
        <s v="RELISH FOODS LEICHHARDT NS AUS Card xx8882 Value Date: 23/04/2019"/>
        <s v="PRIME QUALITY MEATS LEICHHARDT NS AUS Card xx8882 Value Date: 23/04/2019"/>
        <s v="Dick's Hotel Balmain Balmain NS AUS Card xx8882 Value Date: 25/04/2019"/>
        <s v="CIVIC HOTEL SYDNEY  AUS Card xx8882 Value Date: 21/04/2019"/>
        <s v="CIVIC HOTEL SYDNEY  AUS Card xx8882 Value Date: 20/04/2019"/>
        <s v="Netbank to Complete Access "/>
        <s v="Direct Debit 165969 FITNESS PLAY SH 20195072088"/>
        <s v="WWW.INGOGO SYDNEY NS AUS Card xx8882 Value Date: 21/04/2019"/>
        <s v="Withdrawal   ATMCBA ATM  BALMAIN D      NSW 211004   AUS"/>
        <s v="MENYA CHINATOWN HAYMARKET NS AUS Card xx8882 Value Date: 18/04/2019"/>
        <s v="ACT HOLDINGS PTY LTD     ROZELLE      AU Card xx8882"/>
        <s v="7-ELEVEN 2153 PETERSHAM NS AUS Card xx8882 Value Date: 18/04/2019"/>
        <s v="7-ELEVEN 2048 DRUMMOYNE NS AUS Card xx8882 Value Date: 21/04/2019"/>
        <s v="White Cockatoo Hotel Petersham NS AUS Card xx8882 Value Date: 20/04/2019"/>
        <s v="UBER EATS HELP.UBER.CO 14518236738 AU AUS Card xx8882 Value Date: 21/04/2019"/>
        <s v="UBER EATS HELP.UBER.CO 14518236738 AU AUS Card xx8882 Value Date: 19/04/2019"/>
        <s v="UBER   *EATS SYDNEY NS AUS Card xx8882 Value Date: 22/04/2019"/>
        <s v="Republic Bar, Taylors Sydney NS AUS Card xx8882 Value Date: 20/04/2019"/>
        <s v="PRIME QUALITY MEATS LEICHHARDT NS AUS Card xx8882 Value Date: 17/04/2019"/>
        <s v="REVENUE NSWFINE MAITLAND  AUS Card xx8882 Value Date: 16/04/2019"/>
        <s v="Withdrawal   ATMANZ NEWTOWN RAILWAY STANEWTOWN        AU"/>
        <s v="TFNSW RAIL OPAL          PETERSHAM    AU Card xx8882"/>
        <s v="SOFTWARE PRO WORLD LONDON LN GBR Card xx8882 USD 47.49 Value Date: 14/04/2019"/>
        <s v="International Transaction Fee Value Date: 14/04/2019"/>
        <s v="COLES 0846 LEICHHARDT AU AUS Card xx8882 Value Date: 15/04/2019"/>
        <s v="TASTE BAKERY &amp; RESTAU SURRY HILLS  AUS Card xx8882 Value Date: 11/04/2019"/>
        <s v="RESIDENT ADVISOR TICKE LONDON GB GBR Card xx8882 AUD 27.10 Value Date: 12/04/2019"/>
        <s v="COLES 0846 LEICHHARDT AU AUS Card xx8882 Value Date: 12/04/2019"/>
        <s v="Camy's Chargrill SH Surry Hills NS AUS Card xx8882 Value Date: 12/04/2019"/>
        <s v="H Roozbehani Present from Dad"/>
        <s v="Camy's Chargrill SH Surry Hills NS AUS Card xx8882 Value Date: 10/04/2019"/>
        <s v="YULIA ANGESTI &amp; MICH LEICHHARDT NS AUS Card xx8882 Value Date: 07/04/2019 (Norton Seafoods)"/>
        <s v="EAST SUSHI PTY LTD LEICHHARDT NS AUS Card xx8882 Value Date: 07/04/2019"/>
        <s v="Direct Debit 165969 FITNESS PLAY SH 20194503683"/>
        <s v="COLES 0846 LEICHHARDT AU AUS Card xx8882 Value Date: 09/04/2019"/>
        <s v="UBER EATS HELP.UBER.CO 14518236738 AU AUS Card xx8882 Value Date: 06/04/2019"/>
        <s v="PRIME QUALITY MEATS LEICHHARDT NS AUS Card xx8882 Value Date: 03/04/2019"/>
        <s v="Newslink SYD903 Sydney NS AUS Card xx8882 Value Date: 05/04/2019"/>
        <s v="NEIGHBORHOOD MASSAGE     LEICHHARDT   AU Card xx8882"/>
        <s v="Camy's Chargrill SH Surry Hills NS AUS Card xx8882 Value Date: 05/04/2019"/>
        <s v="ALDI STORES - LEICHHAR   LEICHHARDT   AU Card xx8882"/>
        <s v="Camy's Chargrill SH Surry Hills NS AUS Card xx8882 Value Date: 04/04/2019"/>
        <s v="TRANSPORT FOR NSW        CHIPPENDALE  AU Card xx8882"/>
        <s v="STRAWBERY HILLS HOTEL SURRY HILLS  AUS Card xx8882 Value Date: 31/03/2019"/>
        <s v="KABUTO PTY LTD           BALMAIN      AU Card xx8882"/>
        <s v="GM CABS PTY LTD MASCOT  AUS Card xx8882 Value Date: 31/03/2019"/>
        <s v="COLES 0846 LEICHHARDT AU AUS Card xx8882 Value Date: 01/04/2019"/>
        <s v="UBER   *EATS SYDNEY NS AUS Card xx8882 Value Date: 31/03/2019"/>
        <s v="UBER   *EATS SYDNEY NS AUS Card xx8882 Value Date: 29/03/2019"/>
        <s v="Camy's Chargrill SH Surry Hills NS AUS Card xx8882 Value Date: 01/04/2019"/>
        <s v="Belong * Service PADDINGTON NS AUS Card xx8882 Value Date: 01/04/2019"/>
        <s v="7-ELEVEN 2127 SURRY HILLS NS AUS Card xx8882 Value Date: 31/03/2019"/>
        <s v="Soheyla petrol Value Date: 01/04/2019"/>
        <s v="Clock Hotel Surry Hills NS AUS Card xx8882 Value Date: 30/03/2019"/>
        <s v="Direct Debit 245164 HCF 5723396980075A0000"/>
        <s v="BP LANE COVE 2212   LANE COVE         AU"/>
        <s v="COLES 0846 LEICHHARDT AU AUS Card xx8882 Value Date: 27/03/2019"/>
        <s v="Clock Hotel              Surry Hills  AU"/>
        <s v="Camy's Chargrill SH Surry Hills NS AUS Card xx8882 Value Date: 28/03/2019"/>
        <s v="UBER   *EATS SYDNEY NS AUS Card xx8882 Value Date: 26/03/2019"/>
        <s v="petrol"/>
        <s v="P AND J WADE CHEMISTS LANE COVE NSW   AU"/>
        <s v="Camy's Chargrill SH Surry Hills NS AUS Card xx8882 Value Date: 27/03/2019"/>
        <s v="PRIME QUALITY MEATS LEICHHARDT NS AUS Card xx8882 Value Date: 23/03/2019"/>
        <s v="Direct Debit 165969 FITNESS PLAY SH 20193946527"/>
        <s v="UBER   *EATS SYDNEY NS AUS Card xx8882 Value Date: 24/03/2019"/>
        <s v="KEG &amp; BREW HOTEL SURRY HILLS NS AUS Card xx8882 Value Date: 22/03/2019"/>
        <s v="CRAZYDOMAINSHOSTING 61290372826 SG SGP Card xx8882 AUD 31.88 Value Date: 24/03/2019"/>
        <s v="7-ELEVEN 2105 LEICHHARDT NS AUS Card xx8882 Value Date: 23/03/2019"/>
        <s v="KEG &amp; BREW HOTEL SURRY HILLS NS AUS Card xx8882 Value Date: 18/03/2019"/>
        <s v="UBER   *EATS SYDNEY NS AUS Card xx8882 Value Date: 15/03/2019"/>
        <s v="Camy's Chargrill SH Surry Hills NS AUS Card xx8882 Value Date: 15/03/2019"/>
        <s v="NRMA LTD SYDNEY OLYMPI NS AUS Card xx8882 Value Date: 13/03/2019"/>
        <s v="Homayoun Roozbehani Present from Dad"/>
        <s v="Direct Debit 165969 FITNESS PLAY SH 20193379091"/>
        <s v="COLES 0846 LEICHHARDT AU AUS Card xx8882 Value Date: 11/03/2019"/>
        <s v="UBER EATS HELP.UBER.CO 14518236738 AU AUS Card xx8882 Value Date: 09/03/2019"/>
        <s v="UBER   *EATS SYDNEY NS AUS Card xx8882 Value Date: 10/03/2019"/>
        <s v="Camy's Chargrill SH Surry Hills NS AUS Card xx8882 Value Date: 11/03/2019"/>
        <s v="COLES 0846 LEICHHARDT AU AUS Card xx8882 Value Date: 06/03/2019"/>
        <s v="SNEAKY BURGER CO         ALBION PARK  AU Card xx8882"/>
        <s v="MCDONALDS F3 NORTHBOU JILLIBY  AUS Card xx8882 Value Date: 01/03/2019"/>
        <s v="GM CABS PTY LTD MASCOT  AUS Card xx8882 Value Date: 03/03/2019"/>
        <s v="COLES 0846 LEICHHARDT AU AUS Card xx8882 Value Date: 04/03/2019"/>
        <s v="Withdrawal   ATMCBA ATM  GLEBE B        NSW 217202   AUS"/>
        <s v="JACKS HAIRDRESSING SYDNEY NS AUS Card xx8882 Value Date: 01/03/2019"/>
        <s v="TFNSW RAIL               HAYMARKET    AU"/>
        <s v="Direct Credit 481128 Tax Today (Parra PAR1903030744346"/>
        <s v="Camy's Chargrill SH Surry Hills NS AUS Card xx8882 Value Date: 28/02/2019"/>
        <s v="Belong * Service PADDINGTON NS AUS Card xx8882 Value Date: 28/02/2019"/>
        <s v="Direct Debit 245164 HCF 5723396980047A0000"/>
        <s v="COLES 0846 LEICHHARDT AU AUS Card xx8882 Value Date: 26/02/2019"/>
        <s v="NV PETERS INMNT PL BROADWAY NS AUS Card xx8882 Value Date: 23/02/2019"/>
        <s v="Direct Debit 165969 FITNESS PLAY SH 20192763390"/>
        <s v="7-ELEVEN 2048 DRUMMOYNE NS AUS Card xx8882 Value Date: 25/02/2019"/>
        <s v="REBEL BROADWAY BROADWAY NS AUS Card xx8882 Value Date: 23/02/2019"/>
        <s v="SUSHI OTAKU SURRY HILLS NS AUS Card xx8882 Value Date: 22/02/2019"/>
        <s v="COLES 0839 BROADWAY AU AUS Card xx8882 Value Date: 23/02/2019"/>
        <s v="MCDONALDS DRUMMOYNE DRUMMOYNE  AUS Card xx8882 Value Date: 19/02/2019"/>
        <s v="COLES 0846 LEICHHARDT AU AUS Card xx8882 Value Date: 20/02/2019"/>
        <s v="CHARLIES DELI            PETERSHAM    AU Card xx8882"/>
        <s v="Return UBER   *EATS SYDNEY NS AUS Card xx8882 Value Date: 20/02/2019"/>
        <s v="NORTONS ON NORTON LEICHHARDT NS AUS Card xx8882 Value Date: 18/02/2019"/>
        <s v="EAST SUSHI PTY LTD LEICHHARDT NS AUS Card xx8882 Value Date: 18/02/2019"/>
        <s v="YULIA ANGESTI &amp; MICH LEICHHARDT NS AUS Card xx8882 Value Date: 16/02/2019 (Norton Seafoods)"/>
        <s v="UBER   *EATS SYDNEY NS AUS Card xx8882 Value Date: 19/02/2019"/>
        <s v="PRIME QUALITY MEATS LEICHHARDT NS AUS Card xx8882 Value Date: 16/02/2019"/>
        <s v="The Grounds Alexandria NS AUS Card xx8882 Value Date: 16/02/2019"/>
        <s v="COLES 0846 LEICHHARDT AU AUS Card xx8882 Value Date: 16/02/2019"/>
        <s v="Direct Debit 165969 FITNESS PLAY SH 20192110090"/>
        <s v="COLES 0846 LEICHHARDT AU AUS Card xx8882 Value Date: 11/02/2019"/>
        <s v="Belong * Service PADDINGTON NS AUS Card xx8882 Value Date: 12/02/2019"/>
        <s v="UBER   *TRIP 4ECZJ SYDNEY NS AUS Card xx8882 Value Date: 09/02/2019"/>
        <s v="THE GRUMPY BAKER NEW NEWTOWN NS AUS Card xx8882 Value Date: 09/02/2019"/>
        <s v="FOODWORKS PETERSHAM      PETERSHAM    AU Card xx8882"/>
        <s v="7-ELEVEN 2118 CAMPERDOWN NS AUS Card xx8882 Value Date: 10/02/2019"/>
        <s v="Withdrawal   ATMCUS AB HOTEL           GLEBE    NS    AU"/>
        <s v="Withdrawal   ATMCAS 7-11 CAMPERDOWN    CAMPERD  NS    AU"/>
        <s v="PETERSHAM LIQUOR MART    PETERSHAM    AU Card xx8882"/>
        <s v="Camy's Chargrill SH Surry Hills NS AUS Card xx8882 Value Date: 07/02/2019"/>
        <s v="Camy's Chargrill SH Surry Hills NS AUS Card xx8882 Value Date: 06/02/2019"/>
        <s v="YULIA ANGESTI &amp; MICH LEICHHARDT NS AUS Card xx8882 Value Date: 02/02/2019 (Norton Seafoods)"/>
        <s v="EAST SUSHI PTY LTD LEICHHARDT NS AUS Card xx8882 Value Date: 02/02/2019"/>
        <s v="COLES 0846 LEICHHARDT AU AUS Card xx8882 Value Date: 04/02/2019"/>
        <s v="UBER EATS HELP.UBER.CO 14518236738 AU AUS Card xx8882 Value Date: 03/02/2019"/>
        <s v="JB HI FI LEICHHARDT NS AUS Card xx8882 Value Date: 02/02/2019"/>
        <s v="UBER   *EATS SYDNEY NS AUS Card xx8882 Value Date: 01/02/2019"/>
        <s v="PRIME QUALITY MEATS LEICHHARDT NS AUS Card xx8882 Value Date: 31/01/2019"/>
        <s v="COLES 0846 LEICHHARDT AU AUS Card xx8882 Value Date: 31/01/2019"/>
        <s v="Direct Debit 245164 HCF 5723396980018A0000"/>
        <s v="Camy's Chargrill SH Surry Hills NS AUS Card xx8882 Value Date: 30/01/2019"/>
        <s v="WWW.INGOGO SYDNEY NS AUS Card xx8882 Value Date: 28/01/2019"/>
        <s v="UBER   *EATS SYDNEY NS AUS Card xx8882 Value Date: 28/01/2019"/>
        <s v="TRANSPORT FOR NSW CHIPPENDALE  AUS Tap and Pay xx4622 Value Date: 25/01/2019"/>
        <s v="HAPPY KITCHEN 4 U SURRY HILLS  AUS Tap and Pay xx4622 Value Date: 25/01/2019"/>
        <s v="H&amp;M AUSTRALIA 0011 SYDNEY NS AUS Card xx8882 Value Date: 27/01/2019"/>
        <s v="Direct Debit 165969 FITNESS PLAY SH 20191449235"/>
        <s v="BMSH PTY LTD SURRY HILLS  AUS Tap and Pay xx4622 Value Date: 24/01/2019"/>
        <s v="WOOLWORTHS 1669 SURRY HILLS NS AUS Tap and Pay xx4622 Value Date: 24/01/2019"/>
        <s v="UBER   *EATS SYDNEY NS AUS Card xx8882 Value Date: 26/01/2019"/>
        <s v="Different Drummer Glebe NS AUS Card xx8882 Value Date: 27/01/2019"/>
        <s v="BMSH PTY LTD SURRY HILLS  AUS Tap and Pay xx4622 Value Date: 23/01/2019"/>
        <s v="RSL CABS 9581 1111     SYDNEY    NSW  AU"/>
        <s v="AGINCOURT HOTEL          SYDNEY       AU Card xx8882"/>
        <s v="Toxteth Hotel            Glebe        AU"/>
        <s v="RIVERSDALE PUB CO NO     BALMAIN      AU Card xx8882"/>
        <s v="GUZMAN Y GOMEZ BROADWA   BROADWAY     AU Card xx8882"/>
        <s v="AGINCOURT HOTEL          SYDNEY       AU Card xx8882 Value Date: 28/01/2019"/>
        <s v="JOJOS VENTURE PTY LT     PETERSHAM    AU"/>
        <s v="WOOLWORTHS 1669 SURRY HILLS NS AUS Tap and Pay xx4622 Value Date: 23/01/2019"/>
        <s v="DMD FUELS PTY LTD  QPS PETERSHAM  AUS Tap and Pay xx4622 Value Date: 22/01/2019"/>
        <s v="COLES 0846 LEICHHARDT AU AUS Tap and Pay xx4622 Value Date: 22/01/2019"/>
        <s v="WOOLWORTHS 1669 SURRY HILLS NS AUS Tap and Pay xx4622 Value Date: 22/01/2019"/>
        <s v="COLES 0846 LEICHHARDT AU AUS Tap and Pay xx4622 Value Date: 21/01/2019"/>
        <s v="Camy's Chargrill SH Surry Hills NS AUS Tap and Pay xx4622 Value Date: 22/01/2019"/>
        <s v="BMSH PTY LTD SURRY HILLS  AUS Tap and Pay xx4622 Value Date: 21/01/2019"/>
        <s v="WOOLWORTHS 1669 SURRY HILLS NS AUS Tap and Pay xx4622 Value Date: 21/01/2019"/>
        <s v="UBER   *EATS SYDNEY NS AUS Card xx0052 Value Date: 20/01/2019"/>
        <s v="SONY AUSTRALIA CASTLE HILL NS AUS Tap and Pay xx4622 Value Date: 19/01/2019"/>
        <s v="NETFLIX.COM Melbourne AU AUS Card xx0052 Value Date: 20/01/2019"/>
        <s v="7-ELEVEN 2048 DRUMMOYNE NS AUS Tap and Pay xx4622 Value Date: 19/01/2019"/>
        <s v="WOOLWORTHS 1669 SURRY HILLS NS AUS Tap and Pay xx4622 Value Date: 18/01/2019"/>
        <s v="TRANSPORT FOR NSW CHIPPENDALE  AUS Tap and Pay xx4622 Value Date: 17/01/2019"/>
        <s v="Camy's Chargrill SH Surry Hills NS AUS Tap and Pay xx4622 Value Date: 18/01/2019"/>
        <s v="BMSH PTY LTD SURRY HILLS  AUS Tap and Pay xx4622 Value Date: 17/01/2019"/>
        <s v="Store DJ Invoice - 889096 - Cables"/>
        <s v="BMSH PTY LTD SURRY HILLS  AUS Tap and Pay xx4622 Value Date: 16/01/2019"/>
        <s v="WOOLWORTHS 1669 SURRY HILLS NS AUS Tap and Pay xx4622 Value Date: 16/01/2019"/>
        <s v="YULIA ANGESTI &amp; MICH LEICHHARDT NS AUS Tap and Pay xx4622 Value Date: 12/01/2019"/>
        <s v="WOOLWORTHS 1669 SURRY HILLS NS AUS Tap and Pay xx4622 Value Date: 15/01/2019"/>
        <s v="UBER   *EATS SYDNEY NS AUS Card xx0052 Value Date: 15/01/2019"/>
        <s v="NORTON PLAZA LEICHHARDT NS AUS Tap and Pay xx4622 Value Date: 14/01/2019"/>
        <s v="Direct Debit 165969 FITNESS PLAY SH 2019814730"/>
        <s v="COLES 0846 LEICHHARDT AU AUS Tap and Pay xx4622 Value Date: 14/01/2019"/>
        <s v="Camy's Chargrill SH Surry Hills NS AUS Tap and Pay xx4622 Value Date: 15/01/2019"/>
        <s v="WOOLWORTHS 1669 SURRY HILLS NS AUS Tap and Pay xx4622 Value Date: 14/01/2019"/>
        <s v="YOUI - PREMIUM SIPPY DOWNS  AUS Card xx0052 Value Date: 14/01/2019"/>
        <s v="WOOLWORTHS 1669 SURRY HILLS NS AUS Tap and Pay xx4622 Value Date: 11/01/2019"/>
        <s v="WOOLWORTHS 1669 SURRY HILLS NS AUS Tap and Pay xx4622 Value Date: 10/01/2019"/>
        <s v="UBER   *EATS SYDNEY NS AUS Card xx0052 Value Date: 10/01/2019"/>
        <s v="TRANSPORT FOR NSW CHIPPENDALE  AUS Tap and Pay xx4622 Value Date: 09/01/2019"/>
        <s v="JACKS HAIRDRESSING SYDNEY NS AUS Tap and Pay xx4622 Value Date: 10/01/2019"/>
        <s v="HAPPY KITCHEN 4 U SURRY HILLS  AUS Tap and Pay xx4622 Value Date: 11/01/2019"/>
        <s v="COLES 0846 LEICHHARDT AU AUS Tap and Pay xx4622 Value Date: 12/01/2019"/>
        <s v="Sando Bar Surry Hills NS AUS Tap and Pay xx4622 Value Date: 10/01/2019"/>
        <s v="BMSH PTY LTD SURRY HILLS  AUS Tap and Pay xx4622 Value Date: 09/01/2019"/>
        <s v="NEW MILLENNIUM 2 PTY L SURRY HILLS  AUS Tap and Pay xx4622 Value Date: 08/01/2019 (Camys Chicken)"/>
        <s v="GRILLD LEICHHARDT LEICHHARDT  AUS Tap and Pay xx4622 Value Date: 07/01/2019"/>
        <s v="WOOLWORTHS 1669 SURRY HILLS NS AUS Tap and Pay xx4622 Value Date: 08/01/2019"/>
        <s v="HARRIS FARM MARKETSQPS LEICHHARDT  AUS Tap and Pay xx4622 Value Date: 07/01/2019"/>
        <s v="BMSH PTY LTD SURRY HILLS  AUS Tap and Pay xx4622 Value Date: 07/01/2019"/>
        <s v="WOOLWORTHS 1669 SURRY HILLS NS AUS Tap and Pay xx4622 Value Date: 07/01/2019"/>
        <s v="POWERDIRECT P/L      BPAY 254714 70563072709406088924 elec bill"/>
        <s v="EAST SUSHI PTY LTD LEICHHARDT NS AUS Tap and Pay xx4622 Value Date: 02/01/2019"/>
        <s v="COLES 0846 LEICHHARDT AU AUS Tap and Pay xx4622 Value Date: 04/01/2019"/>
        <s v="COLES 0846               LEICHHARDT   AU"/>
        <s v="CHISWICK CELLARS CHISWICK NS AUS Tap and Pay xx4622 Value Date: 03/01/2019"/>
        <s v="PRIME QUALITY MEATS LEICHHARDT NS AUS Tap and Pay xx4622 Value Date: 31/12/2018"/>
        <s v="HARRIS FARM MARKETSQPS LEICHHARDT  AUS Tap and Pay xx4622 Value Date: 02/01/2019"/>
        <s v="YULIA ANGESTI &amp; MICH LEICHHARDT NS AUS Tap and Pay xx4622 Value Date: 31/12/2018"/>
        <s v="UBER   *EATS SYDNEY NS AUS Card xx0052 Value Date: 30/12/2018"/>
        <s v="Return UBER   *EATS SYDNEY NS AUS Card xx0052 Value Date: 30/12/2018"/>
        <s v="EAST SUSHI PTY LTD LEICHHARDT NS AUS Tap and Pay xx4622 Value Date: 28/12/2018"/>
        <s v="Direct Debit 165969 FITNESS PLAY SH 2019175306"/>
        <s v="COLES 0846 LEICHHARDT AU AUS Tap and Pay xx4622 Value Date: 30/12/2018"/>
        <s v="Belong * Service PADDINGTON NS AUS Card xx0052 Value Date: 01/01/2019"/>
        <s v="Direct Debit 245164 HCF 5723396979986A0000"/>
        <s v="UBER   *EATS SYDNEY NS AUS Card xx0052 Value Date: 28/12/2018"/>
        <s v="UBER EATS HELP.UBER.CO 14518236738 AU AUS Card xx0052 Value Date: 26/12/2018"/>
        <s v="JB HI FI LEICHHARDT NS AUS Tap and Pay xx4622 Value Date: 24/12/2018"/>
        <s v="7-ELEVEN 2153            PETERSHAM    AU"/>
        <s v="UBER   *TRIP MHC7G SYDNEY NS AUS Card xx0052 Value Date: 22/12/2018"/>
        <s v="PETERSHAM LIQUOR MART PETERSHAM  AUS Tap and Pay xx4622 Value Date: 22/12/2018"/>
        <s v="OUTPUT INC 8186726902 CA USA Card xx0052 USD 10.00 Value Date: 25/12/2018"/>
        <s v="NEXTRA NORTON PLAZA LEICHHARDT NS AUS Tap and Pay xx4622 Value Date: 24/12/2018"/>
        <s v="International Transaction Fee Value Date: 25/12/2018"/>
        <s v="EAST SUSHI PTY LTD LEICHHARDT NS AUS Tap and Pay xx4622 Value Date: 23/12/2018"/>
        <s v="COLES 0846 LEICHHARDT AU AUS Tap and Pay xx4622 Value Date: 23/12/2018"/>
        <s v="TRANSPORT FOR NSW CHIPPENDALE  AUS Tap and Pay xx4622 Value Date: 20/12/2018"/>
        <s v="present"/>
        <s v="NEW MILLENNIUM 2 PTY L SURRY HILLS  AUS Tap and Pay xx4622 Value Date: 21/12/2018 (Camys Chicken)"/>
        <s v="NEW MILLENNIUM 2 PTY L SURRY HILLS  AUS Tap and Pay xx4622 Value Date: 20/12/2018 (Camys Chicken)"/>
        <s v="Homayoun Roozbehani Merry x-mass and happy new year"/>
        <s v="FOODWORKS PETERSHAM PETERSHAM  AUS Tap and Pay xx4622 Value Date: 21/12/2018"/>
        <s v="WWW.INGOGO               SYDNEY       AU"/>
        <s v="7-ELEVEN 2048            DRUMMOYNE    AU"/>
        <s v="UBER EATS HELP.UBER.CO 14518236738 AU AUS Card xx0052 Value Date: 19/12/2018"/>
        <s v="PRIME QUALITY MEATS LEICHHARDT NS AUS Tap and Pay xx4622 Value Date: 18/12/2018"/>
        <s v="NEW MILLENNIUM 2 PTY L SURRY HILLS  AUS Tap and Pay xx4622 Value Date: 19/12/2018 (Camys Chicken)"/>
        <s v="AGL SALES PTY LTD SYDNEY  AUS Card xx0052 Value Date: 19/12/2018"/>
        <s v="YULIA ANGESTI &amp; MICH LEICHHARDT NS AUS Tap and Pay xx4622 Value Date: 18/12/2018"/>
        <s v="HAPPY KITCHEN 4 U SURRY HILLS  AUS Tap and Pay xx4622 Value Date: 18/12/2018"/>
        <s v="WARWICK L EVERINGHAM LEICHHARDT  AUS Tap and Pay xx4622 Value Date: 16/12/2018"/>
        <s v="PRIME QUALITY MEATS LEICHHARDT NS AUS Tap and Pay xx4622 Value Date: 16/12/2018"/>
        <s v="NEW MILLENNIUM 2 PTY L SURRY HILLS  AUS Tap and Pay xx4622 Value Date: 17/12/2018 (Camys Chicken)"/>
        <s v="Direct Debit 165969 FITNESS PLAY SH 201822938643"/>
        <s v="FOSAUX PTY LTD SURRY HILLS  AUS Tap and Pay xx4622 Value Date: 14/12/2018"/>
        <s v="COLES 0846 LEICHHARDT AU AUS Tap and Pay xx4622 Value Date: 16/12/2018"/>
        <s v="UBER EATS HELP.UBER.CO 14518236738 AU AUS Card xx0052 Value Date: 15/12/2018"/>
        <s v="NEW MILLENNIUM 2 PTY L SURRY HILLS  AUS Tap and Pay xx4622 Value Date: 13/12/2018 (Camys Chicken)"/>
        <s v="MASSAGE LINK BROADWA ULTIMO NS AUS Tap and Pay xx4622 Value Date: 13/12/2018"/>
        <s v="COLES 0846 LEICHHARDT AU AUS Tap and Pay xx4622 Value Date: 14/12/2018"/>
        <s v="YOUI - PREMIUM SIPPY DOWNS  AUS Card xx0052 Value Date: 14/12/2018"/>
        <s v="HAPPY KITCHEN 4 U SURRY HILLS  AUS Tap and Pay xx4622 Value Date: 12/12/2018"/>
        <s v="TFNSW RAIL HAYMARKET  AUS Tap and Pay xx4622 Value Date: 10/12/2018"/>
        <s v="NEW MILLENNIUM 2 PTY L SURRY HILLS  AUS Tap and Pay xx4622 Value Date: 10/12/2018 (Camys Chicken)"/>
        <s v="BMSH PTY LTD SURRY HILLS  AUS Tap and Pay xx4622 Value Date: 11/12/2018"/>
        <s v="PRIME QUALITY MEATS LEICHHARDT NS AUS Tap and Pay xx4622 Value Date: 08/12/2018"/>
        <s v="EAST SUSHI PTY LTD LEICHHARDT NS AUS Tap and Pay xx4622 Value Date: 08/12/2018"/>
        <s v="COLES 0846 LEICHHARDT AU AUS Tap and Pay xx4622 Value Date: 10/12/2018"/>
        <s v="OXFORD TAVERN PETERSHAM NS AUS Tap and Pay xx4622 Value Date: 09/12/2018"/>
        <s v="UBER   *EATS Q3PBY SYDNEY NS AUS Card xx0052 Value Date: 07/12/2018"/>
        <s v="HAPPY KITCHEN 4 U SURRY HILLS  AUS Tap and Pay xx4622 Value Date: 07/12/2018"/>
        <s v="HAPPY KITCHEN 4 U SURRY HILLS  AUS Tap and Pay xx4622 Value Date: 06/12/2018"/>
        <s v="GM CABS PTY LTD MASCOT  AUS Tap and Pay xx4622 Value Date: 06/12/2018"/>
        <s v="COLES 0846 LEICHHARDT AU AUS Tap and Pay xx4622 Value Date: 08/12/2018"/>
        <s v="Redfern Surf Club Alexandria NS AUS Tap and Pay xx4622 Value Date: 06/12/2018"/>
        <s v="Redfern Surf Club Alexandria NS AUS Card xx0052 Value Date: 06/12/2018"/>
        <s v="HAPPY KITCHEN 4 U SURRY HILLS  AUS Tap and Pay xx4622 Value Date: 05/12/2018"/>
        <s v="Withdrawal   ATMCBA ATM  PETERSHAM B    NSW 222702   AUS"/>
        <s v="NEW MILLENNIUM 2 PTY L SURRY HILLS  AUS Tap and Pay xx4622 Value Date: 04/12/2018 (Camys Chicken)"/>
        <s v="DELISH TRAN CAFE         SURRY HILLS  AU"/>
        <s v="COLES 0846 LEICHHARDT AU AUS Tap and Pay xx4622 Value Date: 04/12/2018"/>
        <s v="YULIA ANGESTI &amp; MICH LEICHHARDT NS AUS Tap and Pay xx4622 Value Date: 01/12/2018"/>
        <s v="WOOLWORTHS 1669 SURRY HILLS NS AUS Tap and Pay xx4622 Value Date: 04/12/2018"/>
        <s v="Redfern Surf Club        Alexandria   AU"/>
        <s v="PRIME QUALITY MEATS LEICHHARDT NS AUS Tap and Pay xx4622 Value Date: 01/12/2018"/>
        <s v="Homayoun Roozbehani Happy Birthday"/>
        <s v="Direct Debit 165969 FITNESS PLAY SH 201822262502"/>
        <s v="UBER   *EATS SC3TL SYDNEY NS AUS Card xx0052 Value Date: 02/12/2018"/>
        <s v="JB HI FI BROADWAY BROADWAY NS AUS Tap and Pay xx4622 Value Date: 02/12/2018"/>
        <s v="Belong * Service PADDINGTON NS AUS Card xx0052 Value Date: 01/12/2018"/>
        <s v="APPLE STORE R523 BROADWAY AU AUS Tap and Pay xx4622 Value Date: 02/12/2018"/>
        <s v="7-ELEVEN 2153 PETERSHAM NS AUS Tap and Pay xx4622 Value Date: 02/12/2018"/>
        <s v="TRANSPORT FOR NSW CHIPPENDALE  AUS Tap and Pay xx4622 Value Date: 29/11/2018"/>
        <s v="PRIME QUALITY MEATS LEICHHARDT NS AUS Tap and Pay xx4622 Value Date: 28/11/2018"/>
        <s v="COLES 0846 LEICHHARDT AU AUS Tap and Pay xx4622 Value Date: 01/12/2018"/>
        <s v="BMSH PTY LTD SURRY HILLS  AUS Tap and Pay xx4622 Value Date: 30/11/2018"/>
        <s v="Direct Debit 245164 HCF 5723396979956A0000"/>
        <s v="WOOLWORTHS 1669 SURRY HILLS NS AUS Tap and Pay xx4622 Value Date: 29/11/2018"/>
        <s v="NETFLIX.COM Melbourne AU AUS Card xx0052 Value Date: 28/11/2018"/>
        <s v="COLES 0846 LEICHHARDT AU AUS Tap and Pay xx4622 Value Date: 28/11/2018"/>
        <s v="BMSH PTY LTD SURRY HILLS  AUS Tap and Pay xx4622 Value Date: 27/11/2018"/>
        <s v="YULIA ANGESTI &amp; MICH LEICHHARDT NS AUS Tap and Pay xx4622 Value Date: 25/11/2018"/>
        <s v="PRIME QUALITY MEATS LEICHHARDT NS AUS Tap and Pay xx4622 Value Date: 23/11/2018"/>
        <s v="JEEVES AU PTY LTD LEICHHARDT NS AUS Tap and Pay xx4622 Value Date: 25/11/2018"/>
        <s v="FOODWORKS PETERSHAM PETERSHAM  AUS Tap and Pay xx4622 Value Date: 26/11/2018"/>
        <s v="EAST SUSHI PTY LTD LEICHHARDT NS AUS Tap and Pay xx4622 Value Date: 25/11/2018"/>
        <s v="COLES 0846 LEICHHARDT AU AUS Tap and Pay xx4622 Value Date: 25/11/2018"/>
        <s v="YULIA ANGESTI &amp; MICH LEICHHARDT NS AUS Tap and Pay xx4622 Value Date: 23/11/2018"/>
        <s v="WOOLWORTHS 1669 SURRY HILLS NS AUS Tap and Pay xx4622 Value Date: 23/11/2018"/>
        <s v="MLEKO BAR ESSPRESSO SYDNEY NS AUS Tap and Pay xx4622 Value Date: 23/11/2018"/>
        <s v="IN T MD FOR THAI S H SURRY HILLS NS AUS Tap and Pay xx4622 Value Date: 22/11/2018"/>
        <s v="COLES 0846 LEICHHARDT AU AUS Tap and Pay xx4622 Value Date: 23/11/2018"/>
        <s v="WOOLWORTHS 1669 SURRY HILLS NS AUS Tap and Pay xx4622 Value Date: 21/11/2018"/>
        <s v="WARWICK L EVERINGHAM LEICHHARDT  AUS Tap and Pay xx4622 Value Date: 19/11/2018"/>
        <s v="TRANSPORT FOR NSW CHIPPENDALE  AUS Tap and Pay xx4622 Value Date: 19/11/2018"/>
        <s v="PRIME QUALITY MEATS LEICHHARDT NS AUS Tap and Pay xx4622 Value Date: 19/11/2018"/>
        <s v="BMSH PTY LTD SURRY HILLS  AUS Tap and Pay xx4622 Value Date: 20/11/2018"/>
        <s v="YULIA ANGESTI &amp; MICH LEICHHARDT NS AUS Tap and Pay xx4622 Value Date: 19/11/2018"/>
        <s v="WOOLWORTHS 1669 SURRY HILLS NS AUS Tap and Pay xx4622 Value Date: 20/11/2018"/>
        <s v="Direct Debit 165969 FITNESS PLAY SH 201821547887"/>
        <s v="BMSH PTY LTD SURRY HILLS  AUS Tap and Pay xx4622 Value Date: 19/11/2018"/>
        <s v="UNI OF SYD UNION THE UNI OF SY NS AUS Tap and Pay xx4622 Value Date: 18/11/2018"/>
        <s v="UNI OF SYD UNION THE UNI OF SY NS AUS Tap and Pay xx4622 Value Date: 17/11/2018"/>
        <s v="UBER EATS RX7MV HELP.U 14518236738 AU AUS Card xx0052 Value Date: 18/11/2018"/>
        <s v="TFNSW RAIL HAYMARKET  AUS Tap and Pay xx4622 Value Date: 16/11/2018"/>
        <s v="COLES 0846 LEICHHARDT AU AUS Tap and Pay xx4622 Value Date: 19/11/2018"/>
        <s v="UBER   *EATS R6UJV SYDNEY NS AUS Card xx0052 Value Date: 15/11/2018"/>
        <s v="KEG &amp; BREW HOTEL SURRY HILLS NS AUS Tap and Pay xx4622 Value Date: 16/11/2018"/>
        <s v="BMSH PTY LTD SURRY HILLS  AUS Tap and Pay xx4622 Value Date: 15/11/2018"/>
        <s v="BAR TOSCA SYDNEY NS AUS Tap and Pay xx4622 Value Date: 16/11/2018"/>
        <s v="UNI OF SYDNEY UNIN  UNI OF SYDNEY     AU"/>
        <s v="UNI OF SYD UNION    THE UNI OF SY     AU"/>
        <s v="The Lansdowne Hotel      Chippendale  AU"/>
        <s v="Direct Credit 002962 CITIGROUP PTYLTD MEZZE BLAY"/>
        <s v="BMSH PTY LTD SURRY HILLS  AUS Tap and Pay xx4622 Value Date: 13/11/2018"/>
        <s v="YOUI - PREMIUM SIPPY DOWNS  AUS Card xx0052 Value Date: 14/11/2018"/>
        <s v="NEW MILLENNIUM 2 PTY L SURRY HILLS  AUS Tap and Pay xx4622 Value Date: 12/11/2018 (Camys Chicken)"/>
        <s v="UBER EATS ECHB3 HELP.U 14518236738 AU AUS Card xx0052 Value Date: 10/11/2018"/>
        <s v="UBER   *EATS QKUOT SYDNEY NS AUS Card xx0052 Value Date: 11/11/2018"/>
        <s v="COLES 0846 LEICHHARDT AU AUS Tap and Pay xx4622 Value Date: 12/11/2018"/>
        <s v="YULIA ANGESTI &amp; MICH LEICHHARDT NS AUS Tap and Pay xx4622 Value Date: 08/11/2018"/>
        <s v="WOOLWORTHS 1669 SURRY HILLS NS AUS Tap and Pay xx4622 Value Date: 09/11/2018"/>
        <s v="TRANSPORT FOR NSW CHIPPENDALE  AUS Tap and Pay xx4622 Value Date: 07/11/2018"/>
        <s v="PRIME QUALITY MEATS LEICHHARDT NS AUS Tap and Pay xx4622 Value Date: 08/11/2018"/>
        <s v="Frankies Pizza Sydney NS AUS Tap and Pay xx4622 Value Date: 09/11/2018"/>
        <s v="WOOLWORTHS 1669 SURRY HILLS NS AUS Tap and Pay xx4622 Value Date: 08/11/2018"/>
        <s v="WOOLWORTHS 1669 SURRY HILLS NS AUS Tap and Pay xx4622 Value Date: 07/11/2018"/>
        <s v="Spotify P0825393E5 Sydney AU AUS Card xx0052 Value Date: 07/11/2018"/>
        <s v="CIGNALL PETERSHAM PETERSHAM NSW       AU"/>
        <s v="Sando Bar Surry Hills NS AUS Tap and Pay xx4622 Value Date: 06/11/2018"/>
        <s v="NEW MILLENNIUM 2 PTY L SURRY HILLS  AUS Tap and Pay xx4622 Value Date: 05/11/2018 (Camys Chicken)"/>
        <s v="Direct Debit 165969 FITNESS PLAY SH 201820745487"/>
        <s v="COLES 0846 LEICHHARDT AU AUS Tap and Pay xx4622 Value Date: 05/11/2018"/>
        <s v="UBER   *EATS TCM5N SYDNEY NS AUS Card xx0052 Value Date: 04/11/2018"/>
        <s v="Menulog Pty Ltd Sydney AU AUS Card xx0052 Value Date: 04/11/2018"/>
        <s v="Direct Credit 002962 CITIGROUP PTYLTD CHOCOLATE SUNDAY"/>
        <s v="Withdrawal   ATMANZ ERSKINVILLE HOTEL  ERSKINVIL      AU"/>
        <s v="Sando Bar Surry Hills NS AUS Tap and Pay xx4622 Value Date: 01/11/2018"/>
        <s v="ERSKO PTY LIMITED        ERSKINEVILLE AU"/>
        <s v="Belong * Service PADDINGTON NS AUS Card xx0052 Value Date: 01/11/2018"/>
        <s v="TRANSPORT FOR NSW CHIPPENDALE  AUS Tap and Pay xx4622 Value Date: 29/10/2018"/>
        <s v="KEG &amp; BREW HOTEL    SURRY HILLS       AU"/>
        <s v="BMSH PTY LTD SURRY HILLS  AUS Tap and Pay xx4622 Value Date: 30/10/2018"/>
        <s v="YULIA ANGESTI &amp; MICH LEICHHARDT NS AUS Tap and Pay xx4622 Value Date: 27/10/2018"/>
        <s v="UBER EATS MM2HS HELP.U 14518236738 AU AUS Card xx0052 Value Date: 30/10/2018"/>
        <s v="PRIME QUALITY MEATS LEICHHARDT NS AUS Tap and Pay xx4622 Value Date: 27/10/2018"/>
        <s v="NEW MILLENNIUM 2 PTY L SURRY HILLS  AUS Tap and Pay xx4622 Value Date: 29/10/2018 (Camys Chicken)"/>
        <s v="MASSAGE LINK BROADWA  ULTIMO       NSWAU"/>
        <s v="Direct Debit 245164 HCF 5723396979926A0000"/>
        <s v="COLES 0839               BROADWAY     AU"/>
        <s v="White Horse Hotel Surry Hills NS AUS Tap and Pay xx4622 Value Date: 28/10/2018"/>
        <s v="NEW MILLENNIUM 2 PTY L   SURRY HILLS  AU (Camys Chicken)"/>
        <s v="NETFLIX.COM Melbourne AU AUS Card xx0052 Value Date: 28/10/2018"/>
        <s v="CENTENNIAL PLAZA PHR  SYDNEY       NSWAU"/>
        <s v="SURRYHILLS NEWSAGENT SURRY HILLS NS AUS Tap and Pay xx4622 Value Date: 25/10/2018"/>
        <s v="Return -THE-ICONIC-*787000000 SURRY HILLS NS AUS Card xx0052 Value Date: 26/10/2018"/>
        <s v="NEW MILLENNIUM 2 PTY L SURRY HILLS  AUS Tap and Pay xx4622 Value Date: 26/10/2018 (Camys Chicken)"/>
        <s v="COLES 0846 LEICHHARDT AU AUS Tap and Pay xx4622 Value Date: 27/10/2018"/>
        <s v="White Horse Hotel        Surry Hills  AU"/>
        <s v="ERCIYES TURKISH R PL  SURRY HILLS  NSWAU"/>
        <s v="PRIME QUALITY MEATS LEICHHARDT NS AUS Tap and Pay xx4622 Value Date: 23/10/2018"/>
        <s v="NEW MILLENNIUM 2 PTY L SURRY HILLS  AUS Tap and Pay xx4622 Value Date: 24/10/2018 (Camys Chicken)"/>
        <s v="MCDONALDS DRUMMOYNE DRUMMOYNE  AUS Tap and Pay xx4622 Value Date: 24/10/2018"/>
        <s v="EAST SUSHI PTY LTD    LEICHHARDT   NSWAU"/>
        <s v="WOOLWORTHS 1669 SURRY HILLS NS AUS Tap and Pay xx4622 Value Date: 24/10/2018"/>
        <s v="POST HAYMARKET-RET  SY SYDNEY WA AUS Tap and Pay xx4622 Value Date: 23/10/2018"/>
        <s v="WOOLWORTHS 1669 SURRY HILLS NS AUS Tap and Pay xx4622 Value Date: 23/10/2018"/>
        <s v="Sando Bar                Surry Hills  AU"/>
        <s v="Direct Debit 165969 FITNESS PLAY SH 201819932431"/>
        <s v="COLES 0846 LEICHHARDT AU AUS Tap and Pay xx4622 Value Date: 23/10/2018"/>
        <s v="BMSH PTY LTD SURRY HILLS  AUS Tap and Pay xx4622 Value Date: 22/10/2018"/>
        <s v="Menulog Pty Ltd Sydney AU AUS Card xx0052 Value Date: 21/10/2018"/>
        <s v="geoff iou"/>
        <s v="BMSH PTY LTD SURRY HILLS  AUS Tap and Pay xx4622 Value Date: 19/10/2018"/>
        <s v="International Transaction Fee Value Date: 16/10/2018"/>
        <s v="DRI iZotope orderfind com  IRL Card xx0052 USD 108.90 Value Date: 16/10/2018"/>
        <s v="HARRIS FARM MARKETS      LEICHHARDT   AU"/>
        <s v="-THE-ICONIC-*787000000 SURRY HILLS NS AUS Card xx0052 Value Date: 16/10/2018"/>
        <s v="JACKS HAIRDRESSING SYDNEY NS AUS Tap and Pay xx4622 Value Date: 15/10/2018"/>
        <s v="COLES 0846 LEICHHARDT AU AUS Tap and Pay xx4622 Value Date: 15/10/2018"/>
        <s v="AGL SALES PTY LTD SYDNEY  AUS Card xx0052 Value Date: 14/10/2018"/>
        <s v="Sando Bar Surry Hills NS AUS Tap and Pay xx4622 Value Date: 15/10/2018"/>
        <s v="DOS SENORITAS GLADESVILLE NSW         AU"/>
        <s v="YOUI - PREMIUM SIPPY DOWNS  AUS Card xx0052 Value Date: 15/10/2018"/>
        <s v="TRANSPORT FOR NSW        CHIPPENDALE  AU"/>
        <s v="Withdrawal   ATMRed NP-City Convenien  Sydney         AU"/>
        <s v="PETERSHAM LIQUOR MART    PETERSHAM    AU"/>
        <s v="KING ST BREWHOUSE PT     SYDNEY       AU"/>
        <s v="BRISTOL ARMS OPERATING   BRIGHTON-LE-SAU"/>
        <s v="BLACK AND BRONZE      SYDNEY       NSWAU"/>
        <s v="FOODWORKS PETERSHAM      PETERSHAM    AU"/>
        <s v="Direct Debit 165969 FITNESS PLAY SH 201819124955"/>
        <s v="Spotify P07BE6E1C3 Sydney AU AUS Card xx0052 Value Date: 07/10/2018"/>
        <s v="Menulog Pty Ltd Sydney AU AUS Card xx0052 Value Date: 06/10/2018"/>
        <s v="NEW MILLENNIUM 2 PTY L SURRY HILLS  AUS Tap and Pay xx4622 Value Date: 04/10/2018 (Camys Chicken)"/>
        <s v="boat"/>
        <s v="TFNSW RAIL               PETERSHAM    AU"/>
        <s v="NETFLIX COM MELBOURNE  AUS Card xx0052 Value Date: 29/09/2018"/>
        <s v="Menulog Pty Ltd Sydney AU AUS Card xx0052 Value Date: 29/09/2018"/>
        <s v="Belong * Service PADDINGTON NS AUS Card xx0052 Value Date: 01/10/2018"/>
        <s v="ROYAL FLYING DOC SES BROKEN HILL  AUS Card xx0052 Value Date: 28/09/2018"/>
        <s v="Direct Debit 245164 HCF 5723396979893A0000"/>
        <s v="BMSH PTY LTD             SURRY HILLS  AU"/>
        <s v="Direct Credit 518032 OPEN DOOR PUB CO AUS VENUE CO"/>
        <s v="Menulog Pty Ltd Sydney AU AUS Card xx0052 Value Date: 25/09/2018"/>
        <s v="Direct Debit 165969 FITNESS PLAY SH 201818304768"/>
        <s v="Menulog Pty Ltd Sydney AU AUS Card xx0052 Value Date: 23/09/2018"/>
        <s v="BMSH PTY LTD SURRY HILLS  AUS Tap and Pay xx4622 Value Date: 18/09/2018"/>
        <s v="6 MARY STREET         NEWTOWN      NSWAU"/>
        <s v="COLES 0846 LEICHHARDT AU AUS Tap and Pay xx4622 Value Date: 18/09/2018"/>
        <s v="DMD FUELS PTY LTD        PETERSHAM    AU"/>
        <s v="Direct Credit 364581 69188 Maxxia00069188"/>
        <s v="Direct Credit 141000 Homayoun Roozbehani For Rodean"/>
        <s v="RSJG PTY LTD             DARLINGHURST AU"/>
        <s v="GM CABS PTY LTD       MASCOT       NSWAU"/>
        <s v="BURDEKIN HOTEL GROUP P   DARLINGHURST AU"/>
        <s v="YOUI - PREMIUM SIPPY DOWNS  AUS Card xx0052 Value Date: 14/09/2018"/>
        <s v="LA SUERTE PTY LTD        NEWTOWN      AU"/>
        <s v="EARLS JUKE JOINT      NEWTOWN      NSWAU"/>
        <s v="BURDEKIN HOTEL GROUP P   DARLINGHURST AU Value Date: 16/09/2018"/>
        <s v="BANK HOTEL NEWTOWN       NEWTOWN      AU"/>
        <s v="YULIA ANGESTI &amp; MICH LEICHHARDT NS AUS Tap and Pay xx4622 Value Date: 11/09/2018"/>
        <s v="TASTE BAKERY &amp; RESTAU SURRY HILLS  NSWAU"/>
        <s v="SUSHI OTAKU              SURRY HILLS  AU"/>
        <s v="MCDONALDS STANMORE STANMORE  AUS Card xx0052 Value Date: 08/09/2018"/>
        <s v="KEG &amp; BREW HOTEL SURRY HILLS NS AUS Card xx0052 Value Date: 10/09/2018"/>
        <s v="EXPEC PTY LIMITED SYDNEY  AUS Card xx0052 Value Date: 08/09/2018"/>
        <s v="Direct Debit 165969 FITNESS PLAY SH 201817457871"/>
        <s v="RSL CABS 9581 1111 ALEXANDRIA NS AUS Card xx0052 Value Date: 08/09/2018"/>
        <s v="Menulog Pty Ltd Sydney AU AUS Card xx0052 Value Date: 09/09/2018"/>
        <s v="BAIA THE ITALIAN SYDNEY NS AUS Card xx0052 Value Date: 08/09/2018"/>
        <s v="PRIME QUALITY MEATS LEICHHARDT NS AUS Card xx0052 Value Date: 05/09/2018"/>
        <s v="PRIME QUALITY MEATS   LEICHHARDT   NSWAU"/>
        <s v="Menulog Pty Ltd Sydney AU AUS Card xx0052 Value Date: 07/09/2018"/>
        <s v="CHISWICK CELLARS CHISWICK NS AUS Card xx0052 Value Date: 06/09/2018"/>
        <s v="Withdrawal   ATMCBA ATM  DARLING QUARTERNSW 270597   AUS"/>
        <s v="MALONEYS HOTEL           SYDNEY       AU"/>
        <s v="COLES 0846 LEICHHARDT AU AUS Card xx0052 Value Date: 05/09/2018"/>
        <s v="YULIA ANGESTI &amp; MICH LEICHHARDT NS AUS Card xx0052 Value Date: 03/09/2018 (Norton Seafoods)"/>
        <s v="TRANSPORT FOR NSW CHIPPENDALE  AUS Card xx0052 Value Date: 04/09/2018"/>
        <s v="PRIME QUALITY MEATS LEICHHARDT NS AUS Card xx0052 Value Date: 01/09/2018"/>
        <s v="LEICHHARDT ESPRES LEICHHARDT NS AUS Card xx0052 Value Date: 01/09/2018"/>
        <s v="COLES 0846 LEICHHARDT AU AUS Card xx0052 Value Date: 03/09/2018"/>
        <s v="COLES 0839 BROADWAY AU AUS Card xx0052 Value Date: 02/09/2018"/>
        <s v="BMSH PTY LTD SURRY HILLS  AUS Card xx0052 Value Date: 04/09/2018"/>
        <s v="Belong * Service PADDINGTON NS AUS Card xx0052 Value Date: 01/09/2018"/>
        <s v="SURRYHILLS NEWSAGENT SURRY HILLS NS AUS Card xx0052 Value Date: 31/08/2018"/>
        <s v="Sando Bar Surry Hills NS AUS Card xx0052 Value Date: 31/08/2018"/>
        <s v="COLES 0846 LEICHHARDT AU AUS Card xx0052 Value Date: 01/09/2018"/>
        <s v="NEW MILLENNIUM 2 PTY L   SURRY HILLS  AU Card xx0052 (Camys Chicken)"/>
        <s v="Direct Debit 245164 HCF 5723396979866A0000"/>
        <s v="Direct Debit 165969 FITNESS PLAY SH 201816794158"/>
        <s v="Direct Debit 165969 FITNESS PLAY SH 201816794157"/>
        <s v="PRIME QUALITY MEATS LEICHHARDT NS AUS Card xx0052 Value Date: 28/08/2018"/>
        <s v="NETFLIX COM MELBOURNE  AUS Card xx0052 Value Date: 29/08/2018"/>
        <s v="YULIA ANGESTI &amp; MICH LEICHHARDT NS AUS Card xx0052 Value Date: 28/08/2018 (Norton Seafoods)"/>
        <s v="MADISON HOTEL            SURRY HILLS  AU Card xx0052"/>
        <s v="COLES 0846 LEICHHARDT AU AUS Card xx0052 Value Date: 29/08/2018"/>
        <s v="YULIA ANGESTI &amp; MICH LEICHHARDT NS AUS Card xx0052 Value Date: 25/08/2018 (Norton Seafoods)"/>
        <s v="PRIME QUALITY MEATS LEICHHARDT NS AUS Card xx0052 Value Date: 25/08/2018"/>
        <s v="MCDONALDS STANMORE STANMORE  AUS Card xx0052 Value Date: 24/08/2018"/>
        <s v="COLES 0846 LEICHHARDT AU AUS Card xx0052 Value Date: 28/08/2018"/>
        <s v="WOOLWORTHS 1669          SURRY HILLS  AU Card xx0052"/>
        <s v="WILSON PARKING AUSTRAL SYDNEY NS AUS Card xx0052 Value Date: 25/08/2018"/>
        <s v="Sando Bar Surry Hills NS AUS Card xx0052 Value Date: 24/08/2018"/>
        <s v="MCDONALDS SUTTON FRST SUTTON FOREST  AUS Card xx0052 Value Date: 22/08/2018"/>
        <s v="FOODWORKS PETERSHAM PETERSHAM  AUS Card xx0052 Value Date: 26/08/2018"/>
        <s v="COLES 0846 LEICHHARDT AU AUS Card xx0052 Value Date: 25/08/2018"/>
        <s v="BMSH PTY LTD             SURRY HILLS  AU Card xx0052"/>
        <s v="TRANSPORT FOR NSW CHIPPENDALE  AUS Card xx0052 Value Date: 23/08/2018"/>
        <s v="Sando Bar Surry Hills NS AUS Card xx0052 Value Date: 23/08/2018"/>
        <s v="International Transaction Fee Value Date: 22/08/2018"/>
        <s v="GOSPELMUSICIANS 8882241511 TX USA Card xx0052 USD 199.99 Value Date: 22/08/2018"/>
        <s v="D LISH CAFE BITES GREENWAY AC AUS Card xx0052 Value Date: 22/08/2018"/>
        <s v="7-ELEVEN 2153 PETERSHAM NS AUS Card xx0052 Value Date: 23/08/2018"/>
        <s v="LITTLE ISTANBUL GREENWAY AC AUS Card xx0052 Value Date: 21/08/2018"/>
        <s v="D LISH CAFE BITES GREENWAY AC AUS Card xx0052 Value Date: 21/08/2018"/>
        <s v="YULIA ANGESTI &amp; MICH LEICHHARDT NS AUS Card xx0052 Value Date: 19/08/2018 (Norton Seafoods)"/>
        <s v="PRIME QUALITY MEATS LEICHHARDT NS AUS Card xx0052 Value Date: 19/08/2018"/>
        <s v="MCDONALDS CREMORNE CREMORNE  AUS Card xx0052 Value Date: 17/08/2018"/>
        <s v="GM CABS PTY LTD MASCOT  AUS Card xx0052 Value Date: 18/08/2018"/>
        <s v="EAST SUSHI PTY LTD LEICHHARDT NS AUS Card xx0052 Value Date: 19/08/2018"/>
        <s v="CANBERRA SOUTHERN CR TUGGERANONG D AC AUS Card xx0052 Value Date: 21/08/2018"/>
        <s v="CANBERRA SOUTHERN CR TUGGERANONG D AC AUS Card xx0052 Value Date: 20/08/2018"/>
        <s v="WWW.INGOGO SYDNEY NS AUS Card xx0052 Value Date: 17/08/2018"/>
        <s v="SPOTTO NSW EAST SYDNEY NS AUS Card xx0052 Value Date: 19/08/2018"/>
        <s v="LADY HAMPSHIRE CAMPERDOWN NS AUS Card xx0052 Value Date: 19/08/2018"/>
        <s v="Direct Credit 364581 67858 Maxxia00067858"/>
        <s v="WOOLWORTHS W1198 TUGGERANONG D  AUS Card xx0052 Value Date: 20/08/2018"/>
        <s v="WOOLWORTHS LIQ W1198 TUGGERANONG D  AUS Card xx0052 Value Date: 20/08/2018"/>
        <s v="stan.com.au Sydney AU AUS Card xx0052 Value Date: 17/08/2018"/>
        <s v="ST VIN DE PAUL SOC NSW SURRY HILLS  AUS Card xx0052 Value Date: 18/08/2018"/>
        <s v="RETRO A GO GO PETERSHAM  AUS Card xx0052 Value Date: 18/08/2018"/>
        <s v="MEMET  ARSLAN MANLY  AUS Card xx0052 Value Date: 17/08/2018"/>
        <s v="JOJOS VENTURE PTY LQPS PETERSHAM  AUS Card xx0052 Value Date: 18/08/2018"/>
        <s v="DEE WHY RSL CLUB LTD DEE WHY  AUS Card xx0052 Value Date: 17/08/2018"/>
        <s v="CHISWICK CELLARS CHISWICK NS AUS Card xx0052 Value Date: 16/08/2018"/>
        <s v="Camperdown Cellars       Camperdown   AU"/>
        <s v="BMSH PTY LTD SURRY HILLS  AUS Card xx0052 Value Date: 17/08/2018"/>
        <s v="PRIME QUALITY MEATS LEICHHARDT NS AUS Card xx0052 Value Date: 13/08/2018"/>
        <s v="BMSH PTY LTD SURRY HILLS  AUS Card xx0052 Value Date: 16/08/2018"/>
        <s v="ZEUS STREET GREEK - SU SURRY HILLS  AUS Card xx0052 Value Date: 15/08/2018"/>
        <s v="YULIA ANGESTI &amp; MICH LEICHHARDT NS AUS Card xx0052 Value Date: 13/08/2018 (Norton Seafoods)"/>
        <s v="SURRYHILLS NEWSAGENT SURRY HILLS NS AUS Card xx0052 Value Date: 13/08/2018"/>
        <s v="MCDONALDS STANMORE STANMORE  AUS Card xx0052 Value Date: 10/08/2018"/>
        <s v="YOUI - PREMIUM SIPPY DOWNS  AUS Card xx0052 Value Date: 14/08/2018"/>
        <s v="WOOLWORTHS 1669 SURRY HILLS  AUS Card xx0052 Value Date: 14/08/2018"/>
        <s v="WILSON PARKING AUSTRAL SYDNEY NS AUS Card xx0052 Value Date: 11/08/2018"/>
        <s v="NEW MILLENNIUM 2 PTY L SURRY HILLS  AUS Card xx0052 Value Date: 14/08/2018 (Camys Chicken)"/>
        <s v="Menulog Pty Ltd Sydney AU AUS Card xx0052 Value Date: 12/08/2018"/>
        <s v="COLES 0846 LEICHHARDT AU AUS Card xx0052 Value Date: 13/08/2018"/>
        <s v="SURRYHILLS NEWSAGENT SURRY HILLS NS AUS Card xx0052 Value Date: 09/08/2018"/>
        <s v="Sando Bar Surry Hills NS AUS Card xx0052 Value Date: 10/08/2018"/>
        <s v="Return JB HI FI BROADWAY BROADWAY NS AUS Card xx0052 Value Date: 09/08/2018"/>
        <s v="NV PETERS INMNT PL BROADWAY NS AUS Card xx0052 Value Date: 09/08/2018"/>
        <s v="JB HI FI BROADWAY BROADWAY NS AUS Card xx0052 Value Date: 09/08/2018"/>
        <s v="International Transaction Fee Value Date: 10/08/2018"/>
        <s v="COLES 0846 LEICHHARDT AU AUS Card xx0052 Value Date: 11/08/2018"/>
        <s v="BMSH PTY LTD SURRY HILLS  AUS Card xx0052 Value Date: 13/08/2018"/>
        <s v="BANDCAMP KON 4029357733 CA USA Card xx0052 USD 3.00 Value Date: 10/08/2018"/>
        <s v="Menulog Pty Ltd Sydney AU AUS Card xx0052 Value Date: 08/08/2018"/>
        <s v="KMART 1155 BROADWAY AU AUS Card xx0052 Value Date: 09/08/2018"/>
        <s v="BING LEE HAYMARKET HAYMARKET NS AUS Card xx0052 Value Date: 09/08/2018"/>
        <s v="TRANSPORT FOR NSW CHIPPENDALE  AUS Card xx0052 Value Date: 08/08/2018"/>
        <s v="NEW MILLENNIUM 2 PTY L SURRY HILLS  AUS Card xx0052 Value Date: 09/08/2018 (Camys Chicken)"/>
        <s v="JACKS HAIRDRESSING SYDNEY NS AUS Card xx0052 Value Date: 07/08/2018"/>
        <s v="Sando Bar Surry Hills NS AUS Card xx0052 Value Date: 07/08/2018"/>
        <s v="NEW MILLENNIUM 2 PTY L SURRY HILLS  AUS Card xx0052 Value Date: 08/08/2018 (Camys Chicken)"/>
        <s v="COLES 0846 LEICHHARDT AU AUS Card xx0052 Value Date: 06/08/2018"/>
        <s v="OXFORD TAVERN PETERSHAM NS AUS Card xx0052 Value Date: 05/08/2018"/>
        <s v="KEG  BREW HOTEL SURRY HILLS NS AUS Card xx0052 Value Date: 03/08/2018"/>
        <s v="V/CELLARS 3673 LEICHHARDT AU AUS Card xx0052 Value Date: 04/08/2018"/>
        <s v="LINKT TN PAYT SYDNEY  AUS Card xx0052 Value Date: 04/08/2018"/>
        <s v="COLES 0846 LEICHHARDT AU AUS Card xx0052 Value Date: 04/08/2018"/>
        <s v="CHISWICK CELLARS CHISWICK NS AUS Card xx0052 Value Date: 02/08/2018"/>
        <s v="BMSH PTY LTD SURRY HILLS  AUS Card xx0052 Value Date: 06/08/2018"/>
        <s v="SURRYHILLS NEWSAGENT SURRY HILLS NS AUS Card xx0052 Value Date: 01/08/2018"/>
        <s v="Menulog Pty Ltd Sydney AU AUS Card xx0052 Value Date: 01/08/2018"/>
        <s v="LINKT TN PAYT SYDNEY  AUS Card xx0052 Value Date: 03/08/2018"/>
        <s v="Sando Bar Surry Hills NS AUS Card xx0052 Value Date: 01/08/2018"/>
        <s v="PRIME QUALITY MEATS LEICHHARDT NS AUS Card xx0052 Value Date: 30/07/2018"/>
        <s v="BMSH PTY LTD SURRY HILLS  AUS Card xx0052 Value Date: 02/08/2018"/>
        <s v="Belong * Service PADDINGTON NS AUS Card xx0052 Value Date: 01/08/2018"/>
        <s v="YULIA ANGESTI &amp; MICH LEICHHARDT NS AUS Card xx0052 Value Date: 30/07/2018 (Norton Seafoods)"/>
        <s v="WOOLWORTHS 1669 SURRY HILLS  AUS Card xx0052 Value Date: 01/08/2018"/>
        <s v="NETFLIX COM MELBOURNE  AUS Card xx0052 Value Date: 29/07/2018"/>
        <s v="CITYOFSYDNEY PARKING SYDNEY  AUS Card xx0052 Value Date: 29/07/2018"/>
        <s v="WOOLWORTHS 1669 SURRY HILLS  AUS Card xx0052 Value Date: 31/07/2018"/>
        <s v="WILSON PARKING AUSTRAL SYDNEY NS AUS Card xx0052 Value Date: 29/07/2018"/>
        <s v="Store DJ Invoice - 790563 - Keyboard Stand"/>
        <s v="Direct Debit 245164 HCF 5723396979834A0000"/>
        <s v="COLES 0846 LEICHHARDT AU AUS Card xx0052 Value Date: 30/07/2018"/>
        <s v="BP CONNECT 2292 CAMPERDOWN NS AUS Card xx0052 Value Date: 29/07/2018"/>
        <s v="WOOLWORTHS 1669 SURRY HILLS  AUS Card xx0052 Value Date: 30/07/2018"/>
        <s v="Sando Bar Surry Hills NS AUS Card xx0052 Value Date: 27/07/2018"/>
        <s v="CHISWICK CELLARS CHISWICK NS AUS Card xx0052 Value Date: 26/07/2018"/>
        <s v="CENTENNIAL PLAZA PHR SYDNEY NS AUS Card xx0052 Value Date: 27/07/2018"/>
        <s v="RMSTOLLNOTICEPH13186 PARRAMATTA  AUS Card xx0052 Value Date: 24/07/2018"/>
        <s v="PRIME QUALITY MEATS LEICHHARDT NS AUS Card xx0052 Value Date: 23/07/2018"/>
        <s v="BMSH PTY LTD SURRY HILLS  AUS Card xx0052 Value Date: 26/07/2018"/>
        <s v="YULIA ANGESTI &amp; MICH LEICHHARDT NS AUS Card xx0052 Value Date: 23/07/2018 (Norton Seafoods)"/>
        <s v="WOOLWORTHS 1669 SURRY HILLS  AUS Card xx0052 Value Date: 25/07/2018"/>
        <s v="MCDONALDS STANMORE STANMORE  AUS Card xx0052 Value Date: 23/07/2018"/>
        <s v="MANNYS MUSIC STORE FITZROY NORTH  AUS Card xx0052 Value Date: 23/07/2018"/>
        <s v="WILSON PARKING AUSTRAL SYDNEY NS AUS Card xx0052 Value Date: 21/07/2018"/>
        <s v="TAXI COMBINED 133300 ALEXANDRIA NS AUS Card xx0052 Value Date: 20/07/2018"/>
        <s v="Sando Bar Surry Hills NS AUS Card xx0052 Value Date: 23/07/2018"/>
        <s v="Menulog Pty Ltd Sydney AU AUS Card xx0052 Value Date: 21/07/2018"/>
        <s v="LEGION CAB SY 131451 DARLINGHURST NS AUS Card xx0052 Value Date: 21/07/2018"/>
        <s v="KAZROG.COM 8882205562 CA USA Card xx0052 USD 39.99 Value Date: 22/07/2018"/>
        <s v="International Transaction Fee Value Date: 22/07/2018"/>
        <s v="COLES 0846 LEICHHARDT AU AUS Card xx0052 Value Date: 23/07/2018"/>
        <s v="CARGO BAR SYDNEY NS AUS Card xx0052 Value Date: 20/07/2018"/>
        <s v="BMSH PTY LTD SURRY HILLS  AUS Card xx0052 Value Date: 24/07/2018"/>
        <s v="Vic On The Park Marrickville NS AUS Card xx0052 Value Date: 21/07/2018"/>
        <s v="Vic On The Park Marrickville NS AUS Card xx0052 Value Date: 20/07/2018"/>
        <s v="UNIVERSAL HOTELS PTY DARLINGHURST  AUS Card xx0052 Value Date: 19/07/2018"/>
        <s v="JOJOS VENTURE PTY LQPS PETERSHAM  AUS Card xx0052 Value Date: 21/07/2018"/>
        <s v="HARRIS FARM MARKETSQPS LEICHHARDT  AUS Card xx0052 Value Date: 23/07/2018"/>
        <s v="DMD FUELS PTY LTD  QPS PETERSHAM  AUS Card xx0052 Value Date: 23/07/2018"/>
        <s v="TRANSPORT FOR NSW CHIPPENDALE  AUS Card xx0052 Value Date: 19/07/2018"/>
        <s v="CROWN ST GROCER SURRY HILLS NS AUS Card xx0052 Value Date: 19/07/2018"/>
        <s v="BMSH PTY LTD SURRY HILLS  AUS Card xx0052 Value Date: 20/07/2018"/>
        <s v="Withdrawal   ATMANZ VIC ON THE PARK 1  MARRICKVI      AU Value Date: 21/07/2018"/>
        <s v="PRIME QUALITY MEATS LEICHHARDT NS AUS Card xx0052 Value Date: 16/07/2018"/>
        <s v="Non CBA ATM Withdrawal Fee Value Date: 21/07/2018"/>
        <s v="YULIA ANGESTI &amp; MICH LEICHHARDT NS AUS Card xx0052 Value Date: 16/07/2018 (Norton Seafoods)"/>
        <s v="WOOLWORTHS 1669 SURRY HILLS  AUS Card xx0052 Value Date: 18/07/2018"/>
        <s v="Withdrawal   ATMWES KINSELAS           DARLING        AU"/>
        <s v="Sando Bar Surry Hills NS AUS Card xx0052 Value Date: 17/07/2018"/>
        <s v="NEW MILLENNIUM 2 PTY L SURRY HILLS  AUS Card xx0052 Value Date: 18/07/2018 (Camys Chicken)"/>
        <s v="Menulog Pty Ltd Sydney AU AUS Card xx0052 Value Date: 15/07/2018"/>
        <s v="Menulog Pty Ltd Sydney AU AUS Card xx0052 Value Date: 14/07/2018"/>
        <s v="COLES 0846 LEICHHARDT AU AUS Card xx0052 Value Date: 16/07/2018"/>
        <s v="YOUI - PREMIUM SIPPY DOWNS  AUS Card xx0052 Value Date: 16/07/2018"/>
        <s v="BMSH PTY LTD SURRY HILLS  AUS Card xx0052 Value Date: 16/07/2018"/>
        <s v="COLES 4788 FIVE DOCK AU AUS Card xx0052 Value Date: 12/07/2018"/>
        <s v="BMSH PTY LTD SURRY HILLS  AUS Card xx0052 Value Date: 13/07/2018"/>
        <s v="WOOLWORTHS 1669 SURRY HILLS  AUS Card xx0052 Value Date: 12/07/2018"/>
        <s v="Sando Bar Surry Hills NS AUS Card xx0052 Value Date: 11/07/2018"/>
        <s v="PRIME QUALITY MEATS LEICHHARDT NS AUS Card xx0052 Value Date: 09/07/2018"/>
        <s v="COLES 0846 LEICHHARDT AU AUS Card xx0052 Value Date: 11/07/2018"/>
        <s v="YULIA ANGESTI &amp; MICH LEICHHARDT NS AUS Card xx0052 Value Date: 09/07/2018 (Norton Seafoods)"/>
        <s v="Store DJ Invoice - 785133 - Freight Charge"/>
        <s v="Store Dj Invoice - 758221A - OnStage 3 Tier Keyboard Stand"/>
        <s v="Sando Bar Surry Hills NS AUS Card xx0052 Value Date: 10/07/2018"/>
        <s v="SILVER SERVIC 133100 ALEXANDRIA NS AUS Card xx0052 Value Date: 07/07/2018"/>
        <s v="Goodbar Paddington NS AUS Card xx0052 Value Date: 08/07/2018"/>
        <s v="Goodbar Paddington NS AUS Card xx0052 Value Date: 07/07/2018"/>
        <s v="COLES 0846 LEICHHARDT AU AUS Card xx0052 Value Date: 09/07/2018"/>
        <s v="CHISWICK CELLARS CHISWICK NS AUS Card xx0052 Value Date: 07/07/2018"/>
        <s v="7-ELEVEN 2048 DRUMMOYNE NS AUS Card xx0052 Value Date: 08/07/2018"/>
        <s v="Transfer to other Bank CommBank app rrrtr1"/>
        <s v="WOOLWORTHS 1669 SURRY HILLS  AUS Card xx0052 Value Date: 09/07/2018"/>
        <s v="TRANSPORT FOR NSW CHIPPENDALE  AUS Card xx0052 Value Date: 06/07/2018"/>
        <s v="THE ORCHARD TAVERN CHATSWOOD  AUS Card xx0052 Value Date: 04/07/2018"/>
        <s v="STAR BAR &amp; GRILL BISTR SYDNEY  AUS Card xx0052 Value Date: 06/07/2018"/>
        <s v="REBEL SYDNEY CITY SYDNEY NS AUS Card xx0052 Value Date: 05/07/2018"/>
        <s v="MR CRACKLES        QPS DARLINGHURST  AUS Card xx0052 Value Date: 08/07/2018"/>
        <s v="Direct Credit 364581 65575 Maxxia00065575"/>
        <s v="Direct Credit 106600 MASOUMEH GHOLAMS shoping for mum"/>
        <s v="CENTENNIAL PLAZA PHR SYDNEY NS AUS Card xx0052 Value Date: 06/07/2018"/>
        <s v="BUNNINGS 595000    QPS ASHFIELD  AUS Card xx0052 Value Date: 07/07/2018  - home supplies"/>
        <s v="BMSH PTY LTD SURRY HILLS  AUS Card xx0052 Value Date: 09/07/2018"/>
        <s v="3 Wise Monkeys Sydney NS AUS Card xx0052 Value Date: 07/07/2018"/>
        <s v="3 Wise Monkeys Sydney NS AUS Card xx0052 Value Date: 06/07/2018"/>
        <s v="TGIFriday's Macquarie North Ryde NS AUS Card xx0052 Value Date: 05/07/2018"/>
        <s v="Sando Bar Surry Hills NS AUS Card xx0052 Value Date: 05/07/2018"/>
        <s v="CENTENNIAL PLAZA PHR SYDNEY NS AUS Card xx0052 Value Date: 04/07/2018"/>
        <s v="BMSH PTY LTD SURRY HILLS  AUS Card xx0052 Value Date: 06/07/2018"/>
        <s v="Withdrawal   ATMWES STAR BAR AND GRILL SYDNEY         AU"/>
        <s v="WCC CONCOURSE CARPARK CHATSWOOD  AUS Card xx0052 Value Date: 04/07/2018"/>
        <s v="REBEL SYDNEY CITY SYDNEY NS AUS Card xx0052 Value Date: 03/07/2018"/>
        <s v="PRIME QUALITY MEATS LEICHHARDT NS AUS Card xx0052 Value Date: 02/07/2018"/>
        <s v="International Transaction Fee Value Date: 03/07/2018"/>
        <s v="House Deposit   (Offset adjustment for pre 7  June  2018 figures)"/>
        <s v="GFM*GoFndMe* Jamal Fou Redwood City CA USA Card xx0052 USD 22.00 Value Date: 03/07/2018"/>
        <s v="CROWN ST GROCER SURRY HILLS NS AUS Card xx0052 Value Date: 04/07/2018"/>
        <s v="YULIA ANGESTI &amp; MICH LEICHHARDT NS AUS Card xx0052 Value Date: 02/07/2018 (Norton Seafoods)"/>
        <s v="MCDONALDS STANMORE STANMORE  AUS Card xx0052 Value Date: 29/06/2018"/>
        <s v="FITNESS PLAYGROUND S SURRY HILLS NS AUS Card xx0052 Value Date: 02/07/2018"/>
        <s v="CENTENNIAL PLAZA PHR SYDNEY NS AUS Card xx0052 Value Date: 29/06/2018"/>
        <s v="WILSON PARKING AUSTRAL SYDNEY NS AUS Card xx0052 Value Date: 30/06/2018"/>
        <s v="UNIVERSAL AUDIO 8314401176 CA USA Card xx0052 USD 367.00 Value Date: 30/06/2018"/>
        <s v="NEW MILLENNIUM 2 PTY L SURRY HILLS  AUS Card xx0052 Value Date: 03/07/2018 (Camys Chicken)"/>
        <s v="Menulog Pty Ltd Sydney AU AUS Card xx0052 Value Date: 01/07/2018"/>
        <s v="john minai food"/>
        <s v="International Transaction Fee Value Date: 30/06/2018"/>
        <s v="FITNESS PLAYGROUND S SURRY HILLS NS AUS Card xx0052 Value Date: 30/06/2018"/>
        <s v="COLES 0846 LEICHHARDT AU AUS Card xx0052 Value Date: 02/07/2018"/>
        <s v="CARGO BAR SYDNEY NS AUS Card xx0052 Value Date: 29/06/2018"/>
        <s v="Belong * Service PADDINGTON NS AUS Card xx0052 Value Date: 01/07/2018"/>
        <s v="TRANSPORT FOR NSW CHIPPENDALE  AUS Card xx0052 Value Date: 29/06/2018"/>
        <s v="NETFLIX COM MELBOURNE  AUS Card xx0052 Value Date: 29/06/2018"/>
        <s v="BMSH PTY LTD SURRY HILLS  AUS Card xx0052 Value Date: 02/07/2018"/>
        <s v="Direct Debit 245164 HCF 5723396979802A0000"/>
        <s v="Account Fee"/>
        <s v="Store DJ Invoice - 761902 - Cables"/>
        <s v="Store Dj Invoice - 758269 - Beyer Dynamic Headphones"/>
        <s v="Store Dj Invoice - 758221 - Matrixbrute, USB Hub, Cables"/>
        <s v="Store Dj Invoice - 747554 - Cables"/>
        <s v="Coinspot Deposit - Coinspot Deposit 996145081362"/>
        <s v="Coinspot Deposit - Coinspot Deposit 996143779108"/>
        <s v="Coinspot Deposit - Coinspot Deposit 996143733694)"/>
        <s v="Store Dj Invoice - 636960D - Cables"/>
        <s v="Store Dj Invoice - 636960C - Motu MIDI Express "/>
        <s v="Store Dj Invoice - 636960B - Cable"/>
        <s v="Store Dj Invoice - 636960A - Patch Cables"/>
        <s v="Store Dj Invoice - 636960 - Warranty"/>
        <s v="Store Dj Invoice - 619757 - Roland A-88 Keyboard, Konig &amp; Meyer Keyboard Stand"/>
        <s v="Store Dj Invoice - 8023199 - UA Apollo 8P"/>
        <s v="Store Dj Invoice - 615183 - Extended Warranty"/>
        <s v="PatchCable (Tasmania) - PATCH-LB-1111 - Makenoise 0-Coast"/>
        <s v="Store Dj Invoice - 589360 - P12 Desktop Syntesizer"/>
        <s v="Store Dj Invoice - 577534 - Korg Volca Bass Machine"/>
        <s v="Store Dj Invoice - 8023199 - Roland DP-2 "/>
        <s v="Store Dj Invoice - 383958 - Roland EV-5 Expression Pedal"/>
        <s v="Eureka Insulation - Absorb XHD"/>
        <s v="Transfer To E L Audet PayID Phone from CommBank App amp" u="1"/>
        <s v="Transfer to other Bank CommBank app Bathroom Reno" u="1"/>
        <s v="Optus Billing MacquariePark NS AUS Card xx2869 Value Date: 07/08/2025" u="1"/>
        <s v="ALDI STORES RYDALMERE NSWAU" u="1"/>
        <s v="Fast Transfer From CoinSpot CREDIT TO ACCOUNT" u="1"/>
        <s v="DREAMTONE" u="1"/>
        <s v="7-ELEVEN 2257 PARRAMATTA NS AUS Card xx2869 Value Date: 30/07/2025" u="1"/>
        <s v="TONG LI SUPERMARKETQPS PARRAMATTA AUS Card xx2869 Value Date: 31/07/2025" u="1"/>
        <s v="ALDI STORES PARRAMATTA NSWAU" u="1"/>
        <s v="TRANSPORTFORNSW OPAL CHIPPENDALE AUS Card xx2869 Value Date: 29/07/2025" u="1"/>
        <s v="Salary SERVAUPAYROLL 21230P 85920286" u="1"/>
        <s v="AURORA HOTEL Surry Hills AU" u="1"/>
        <s v="COLES 7663COLES 7663 PARRAMATTA 02 AUS Card xx2869 Value Date: 27/07/2025" u="1"/>
        <s v="Sydney Eye Hospital Sydney NS AUS Card xx2869 Value Date: 26/07/2025" u="1"/>
        <s v="VERANDAH BAR SYDNEY AUS Card xx2869 Value Date: 26/07/2025" u="1"/>
        <s v="MCDONALDS PMATTA NTH NORTH PARRAMANSWAU" u="1"/>
        <s v="ATO PAYMENT SYDNEY NS AUS Card xx2869 Value Date: 23/07/2025" u="1"/>
        <s v="Fast Transfer From M M ROBINSON to PayID Phone Dinner" u="1"/>
        <s v="LS John Belvedere Eate Parramatta AU" u="1"/>
        <s v="Optus Billing MacquariePark NS AUS Card xx2869 Value Date: 22/07/2025" u="1"/>
        <s v="APEX WEST RYDE WEST RYDE NS AUS Card xx2869 Value Date: 20/07/2025" u="1"/>
        <s v="BUPA HI P T PHI MELBOURNE VI AUS Card xx2869 Value Date: 19/07/2025" u="1"/>
        <s v="Tickets*Networking BELROSE AU AUS Card xx2869 Value Date: 18/07/2025" u="1"/>
        <s v="COLES 7663COLES 7663 PARRAMATTA 02 AUS Card xx2869 Value Date: 18/07/2025" u="1"/>
        <s v="DRUMMOYNE SAILING CLUB LT DRUMMOY NSW AU Card xx2869" u="1"/>
        <s v="Transfer To M M ROBINSON PayID Email from CommBank App food" u="1"/>
        <s v="Fast Transfer From Louis Wayment Giles P" u="1"/>
        <s v="MOSHTIX PTY LTD" u="1"/>
        <s v="Salary SERVAUPAYROLL 19540P 85920286" u="1"/>
        <s v="Fast Transfer From JONATHAN OLIVER giles peteraon gig" u="1"/>
        <s v="International Transaction Fee Value Date: 10/07/2025" u="1"/>
        <s v="OPENAI *CHATGPT SUBSCR SAN FRANCISCO CA USA Card xx2869 USD 22.00 Value Date: 11/07/2025" u="1"/>
        <s v="JOHNS QUALITY MEATS PA PARRAMATTA AU AUS Card xx2869 Value Date: 12/07/2025" u="1"/>
        <s v="7-ELEVEN 2257 PARRAMATTA NS AUS Card xx2869 Value Date: 12/07/2025" u="1"/>
        <s v="Fast Transfer From M M ROBINSON to PayID Phone Matt R tickets" u="1"/>
        <s v="COLES 0887 PARRAMATTA 02 AUS Card xx2869 Value Date: 10/07/2025" u="1"/>
        <s v="Optus Billing MacquariePark NS AUS Card xx2869 Value Date: 08/07/2025" u="1"/>
        <s v="ORIGIN ENERGY LTD BARANGAROO AUS Card xx2869 Value Date: 08/07/2025" u="1"/>
        <s v="TRANSPORTFORNSW OPAL CHIPPENDALE AUS Card xx2869 Value Date: 08/07/2025" u="1"/>
        <s v="MOSHTIX PTY LTD SYDNEY NS AUS Card xx2869 Value Date: 05/07/2025" u="1"/>
        <s v="Salary SERVAUPAYROLL 20410P 85920286" u="1"/>
        <s v="COLES 7663 PARRAMATTA 02 AUS Card xx2869 Value Date: 28/06/2025" u="1"/>
        <s v="UBER *EATS HELP.UBER.C Sydney AU AUS Card xx2869 Value Date: 28/06/2025" u="1"/>
        <s v="DAVID JONES LIMITED PARRAMATTA AU Card xx2869" u="1"/>
        <s v="Fast Transfer From MR H ROOZBEHANI Love from dad" u="1"/>
        <s v="International Transaction Fee Value Date: 24/06/2025" u="1"/>
        <s v="SC* STACKSOCIAL VENICE CA USA Card xx2869 USD 16.47 Value Date: 25/06/2025" u="1"/>
        <s v="Optus Billing MacquariePark NS AUS Card xx2869 Value Date: 23/06/2025" u="1"/>
        <s v="BUPA HI P T PHI MELBOURNE VI AUS Card xx2869 Value Date: 19/06/2025" u="1"/>
        <s v="aliexpress North Sydney AU AUS Card xx2869 Value Date: 17/06/2025" u="1"/>
        <s v="Salary SERVAUPAYROLL 21162P 85920286" u="1"/>
        <s v="BWS LIQUOR 1601 DRUMMOYNE NS AUS Card xx2869 Value Date: 14/06/2025" u="1"/>
        <s v="SIEFF S MUSIC WORLD BLACKTOWN AU AUS Card xx2869 Value Date: 15/06/2025" u="1"/>
        <s v="WOOLWORTHS 1288 BLACKTOWN NS AUS Card xx2869 Value Date: 15/06/2025" u="1"/>
        <s v="OXFORD HOTEL Drummoyne AU AUS Card xx2869 Value Date: 14/06/2025" u="1"/>
        <s v="Sushi Maru Blacktown SOUTH TURRAMU AU AUS Card xx2869 Value Date: 15/06/2025" u="1"/>
        <s v="Google YouTube Barangaroo AU AUS Card xx2869 Value Date: 15/06/2025" u="1"/>
        <s v="International Transaction Fee Value Date: 10/06/2025" u="1"/>
        <s v="OPENAI *CHATGPT SUBSCR SAN FRANCISCO CA USA Card xx2869 USD 22.00 Value Date: 11/06/2025" u="1"/>
        <s v="SQ *SPANIAN'S KEBABS N North Parrama AU" u="1"/>
        <s v="APEX VILLAWOOD VILLAWOOD NS AUS Card xx2869 Value Date: 07/06/2025" u="1"/>
        <s v="TRANSPORTFORNSW OPAL CHIPPENDALE AUS Card xx2869 Value Date: 10/06/2025" u="1"/>
        <s v="OPTUS BILLING AUTOPAY MACQUARIE PAR NS AUS Card xx2869 Value Date: 07/06/2025" u="1"/>
        <s v="Dyson Demo Kensington AU AUS Card xx2869 Value Date: 08/06/2025" u="1"/>
        <s v="Fast Transfer From MASOUMEH GHOLAMSHAHI Weekly food shoping share" u="1"/>
        <s v="Google YouTube Videos Pyrmont AU AUS Card xx2869 Value Date: 31/05/2025" u="1"/>
        <s v="ALDI STORES - RYDALMER RYDALMERE AU" u="1"/>
        <s v="YILAN GROUP NO.1 Burwood AU" u="1"/>
        <s v="Burwood Hotel Burwood AU" u="1"/>
        <s v="Madison Hotel Surry Hills AU" u="1"/>
        <s v="PUB POOL PROMOTIONS PTY LDenistone AU" u="1"/>
        <s v="WINGHAS - CQ GATEWAY THE ROCKS NS AUS Card xx2869 Value Date: 23/05/2025" u="1"/>
        <s v="UBER *EATS HELP.UBER.C Sydney AU AUS Card xx2869 Value Date: 24/05/2025" u="1"/>
        <s v="TRANSPORTFORNSW OPAL CHIPPENDALE AUS Card xx2869 Value Date: 23/05/2025" u="1"/>
        <s v="BELFIELD MUSIC PTY LTD BASS HILL NSW AU Card xx2869" u="1"/>
        <s v="Fast Transfer From ALEXANDER SCOTT to PayID Phone alex gee" u="1"/>
        <s v="OPTUS BILLING AUTOPAY MACQUARIE PAR NS AUS Card xx2869 Value Date: 22/05/2025" u="1"/>
        <s v="Return eBay O*22-13033-18699 Sydney AU AUS Card xx2869 Value Date: 23/05/2025" u="1"/>
        <s v="Wdl ATM ETX FIREHOUSE HOTEL NORTH SYDNE AU" u="1"/>
        <s v="SHIP INN Sydney AU" u="1"/>
        <s v="WinghausCircularQuay Sydney AU" u="1"/>
        <s v="WOOLWORTHS 1366 ERMINGTON NS AUS Card xx2869 Value Date: 20/05/2025" u="1"/>
        <s v="BUPA HI P T PHI MELBOURNE VI AUS Card xx2869 Value Date: 20/05/2025" u="1"/>
        <s v="Salary SERVAUPAYROLL 20583P 85920286" u="1"/>
        <s v="OXFORD HOTEL Drummoyne AU AUS Card xx2869 Value Date: 17/05/2025" u="1"/>
        <s v="CITY OF PARRAMATTA C PARRAMATTA NS AUS Card xx2869 Value Date: 09/05/2025" u="1"/>
        <s v="OPTUS BILLING AUTOPAY MACQUARIE PAR NS AUS Card xx2869 Value Date: 09/05/2025" u="1"/>
        <s v="International Transaction Fee Value Date: 10/05/2025" u="1"/>
        <s v="OPENAI *CHATGPT SUBSCR SAN FRANCISCO CA USA Card xx2869 USD 22.00 Value Date: 11/05/2025" u="1"/>
        <s v="ZLR*Baba Ghanouj Parram Parramatta AU" u="1"/>
        <s v="Neyvine Seafood &amp; Gril Parramatta AU" u="1"/>
        <s v="eBay O*22-13033-18699 Sydney AU AUS Card xx2869 Value Date: 08/05/2025" u="1"/>
        <s v="BEATPORT 720-974-9500 CO USA Card xx2869 AUD 3.40 Value Date: 05/05/2025" u="1"/>
        <s v="BEATPORT 720-974-9500 CO USA Card xx2869 AUD 3.40 Value Date: 06/05/2025" u="1"/>
        <s v="Salary SERVAUPAYROLL 19323P 85920286" u="1"/>
        <s v="Return GOOGLE*ADS8721882091 CC GOOGLE.COM AUS Card xx2869 Value Date: 02/05/2025" u="1"/>
        <s v="COLES 0887COLES 0887 PARRAMATTA 02 AUS Card xx2869 Value Date: 01/05/2025" u="1"/>
        <s v="TRANSPORTFORNSW OPAL CHIPPENDALE AUS Card xx2869 Value Date: 29/04/2025" u="1"/>
        <s v="COLES 0887COLES 0887 PARRAMATTA 02 AUS Card xx2869 Value Date: 28/04/2025" u="1"/>
        <s v="CITY OF PARRAMATTA PARRAMATTA NS AUS Card xx2869 Value Date: 24/04/2025" u="1"/>
        <s v="Transfer To Masoumeh Gholamshahi CommBank App food Value Date: 28/04/2025" u="1"/>
        <s v="LS Waterworks Canteen Manly AU" u="1"/>
        <s v="OPTUS BILLING AUTOPAY MACQUARIE PAR NS AUS Card xx2869 Value Date: 22/04/2025" u="1"/>
        <s v="BUPA HI P T PHI MELBOURNE VI AUS Card xx2869 Value Date: 19/04/2025" u="1"/>
        <s v="Salary SERVAUPAYROLL 19100P 85920286" u="1"/>
        <s v="Mikazuki Riverside PARRAMATTA AU AUS Card xx2869 Value Date: 17/04/2025" u="1"/>
        <s v="Return Microsoft*Microsoft 36 msbill.info AU AUS Card xx2869 Value Date: 17/04/2025" u="1"/>
        <s v="WWW.WILLOPARRAMATTA.CO Greystanes AU" u="1"/>
        <s v="UBER *TRIP HELP.UBER.COM" u="1"/>
        <s v="Wdl ATM Red NP-Kent St Hotel1 Sydney AU" u="1"/>
        <s v="EZI*CASH CONVERTERS. PERTH AU AUS Card xx2869 Value Date: 13/04/2025" u="1"/>
        <s v="International Transaction Fee Value Date: 10/04/2025" u="1"/>
        <s v="OPENAI *CHATGPT SUBSCR SAN FRANCISCO CA USA Card xx2869 USD 22.00 Value Date: 11/04/2025" u="1"/>
        <s v="COLES 0887COLES 0887 PARRAMATTA 02 AUS Card xx2869 Value Date: 11/04/2025" u="1"/>
        <s v="Microsoft*Microsoft 36 msbill.info AU AUS Card xx2869 Value Date: 12/04/2025" u="1"/>
        <s v="ORIGIN ENERGY BARANGAROO AU" u="1"/>
        <s v="Salary SERVAUPAYROLL 19240P 85920286" u="1"/>
        <s v="OPTUS BILLING AUTOPAY MACQUARIE PAR NS AUS Card xx2869 Value Date: 07/04/2025" u="1"/>
        <s v="BELLS HOTEL WOOLLOOMOOLOO NS AUS Card xx2869 Value Date: 06/04/2025" u="1"/>
        <s v="Transfer To Amin Akbarian CommBank App omid succulent chinese meal" u="1"/>
        <s v="Fast Transfer From RAMTEAN ROOZBEHANI lunch" u="1"/>
        <s v="CASH DEPOSIT CBA ATM PARRAMATTA A NSW 222301 AUS" u="1"/>
        <s v="Wdl ATM ETX BELLS HOTEL WOOLOOMOOLO AU" u="1"/>
        <s v="Transfer To RAMTEAN ROOZBEHANI CommBank App parking for omids lunch" u="1"/>
        <s v="BUNNINGS 388000 RYDALMERE AUS Card xx2869 Value Date: 02/04/2025" u="1"/>
        <s v="TRANSPORTFORNSW OPAL CHIPPENDALE AUS Card xx2869 Value Date: 01/04/2025" u="1"/>
        <s v="Vic On The Park Marrickville AU" u="1"/>
        <s v="MERIVALE ME&amp;U* ME&amp;U" u="1"/>
        <s v="Transfer to other Bank CommBank app contribution" u="1"/>
        <s v="SP RENPHO PTY LIMITED ALEXANDRIA NS AUS Card xx2869 Value Date: 25/03/2025" u="1"/>
        <s v="CENTENNIAL PLAZA PHR SYDNEY NS AUS Card xx2869 Value Date: 25/03/2025" u="1"/>
        <s v="Salary SERVAUPAYROLL 19384P 85920286" u="1"/>
        <s v="Fast Transfer From MASOUMEH GHOLAMSHAHI Ramtean BD present" u="1"/>
        <s v="OPTUS BILLING AUTOPAY MACQUARIE PAR NS AUS Card xx2869 Value Date: 22/03/2025" u="1"/>
        <s v="Transfer To Masoumeh Gholamshahi CommBank App strata levy" u="1"/>
        <s v="BUPA HI P T PHI MELBOURNE VI AUS Card xx2869 Value Date: 19/03/2025" u="1"/>
        <s v="Google YouTube Videos Barangaroo AU AUS Card xx2869 Value Date: 16/03/2025" u="1"/>
        <s v="COLES 7663COLES 7663 PARRAMATTA 02 AUS Card xx2869 Value Date: 13/03/2025" u="1"/>
        <s v="International Transaction Fee Value Date: 10/03/2025" u="1"/>
        <s v="OPENAI *CHATGPT SUBSCR SAN FRANCISCO CA USA Card xx2869 USD 22.00 Value Date: 11/03/2025" u="1"/>
        <s v="Salary SERVAUPAYROLL 19264P 85920286" u="1"/>
        <s v="OPTUS BILLING AUTOPAY MACQUARIE PAR NS AUS Card xx2869 Value Date: 10/03/2025" u="1"/>
        <s v="TRANSPORTFORNSW OPAL CHIPPENDALE AUS Card xx2869 Value Date: 11/03/2025" u="1"/>
        <s v="ALDI STORES - PARRAMAT PARRAMATTA AU" u="1"/>
        <s v="AMPOL HAZELBROO 22545F HAZELBROOK AUS Card xx2869 Value Date: 28/02/2025" u="1"/>
        <s v="WOOLWORTHS 1106 PARRAMATTA NS AUS Card xx2869 Value Date: 01/03/2025" u="1"/>
        <s v="COLES 7663COLES 7663 PARRAMATTA 02 AUS Card xx2869 Value Date: 01/03/2025" u="1"/>
        <s v="Salary SERVAUPAYROLL 20143P 85920286" u="1"/>
        <s v="SP RENPHO PTY LIMITED ALEXANDRIA NS AUS Card xx2869 Value Date: 21/02/2025" u="1"/>
        <s v="OPTUS BILLING AUTOPAY MACQUARIE PAR NS AUS Card xx2869 Value Date: 22/02/2025" u="1"/>
        <s v="CENTRE COM SUNSHINE PTY LAUBURN AU" u="1"/>
        <s v="Direct Credit 012721 ATO ATO007000019116076" u="1"/>
        <s v="SOUNDS EASY ARTARMON NS AUS Card xx2869 Value Date: 12/05/2024" u="1"/>
        <s v="2CO.COM*- 173639085 89 AMSTERDAM NL NLD Card xx8188 AUD 394.28 Value Date: 28/01/2022" u="1"/>
        <s v="Direct Credit 617702 PAYPAL AUSTRALIA 1023753557769 Roger Linn" u="1"/>
        <s v="Fast Transfer From James Mitchell White to PayID Phone Payment 2/2 for Roland Jupiter 80" u="1"/>
        <s v="Fast Transfer From James Mitchell White to PayID Phone Payment 1/2 for Roland Jupiter 80" u="1"/>
        <s v="REVERB.COM LLC CHICAGO IL USA Card xx8188 USD 69.85 Value Date: 01/05/2023" u="1"/>
        <s v="REVERB.COM LLC CHICAGO IL USA Card xx8188 USD 63.29 Value Date: 01/12/2022" u="1"/>
        <s v="eBay O*05-09371-02454 San Jose CA USA Card xx8188 AUD 1558.69 Value Date: 21/11/2022 UAD Octo Car" u="1"/>
        <s v="Jaycar Electronics Croydon AU - Rubber for Microphone" u="1"/>
        <s v="Transfer To nick irving CommBank App ns10" u="1"/>
        <s v="Jaycar Electronics Croydon AU" u="1"/>
        <s v="BELFIELD MUSIC PTY LTD BASS HILL NSW AU Card xx8188" u="1"/>
        <s v="Samsung Electronics AU Sydney AU AUS Card xx8188 Value Date: 23/11/2022" u="1"/>
        <s v="SCORPTEC COMPUTERS AUBURN AU Card xx8188" u="1"/>
        <s v="Fast Transfer From H Roozbehani New Property Home Loan" u="1"/>
        <s v="Fast Transfer From H Roozbehani CREDIT TO ACCOUNT Home loan" u="1"/>
        <s v="Fast Transfer From H Roozbehani Home Loan Help Help to buy home from Dad" u="1"/>
        <s v="Wdl ATM CBA ATM DRUMMOYNE A NSW 215701 AUS - John Dadah 2000/5000" u="1"/>
        <s v="Transfer To J DAHDAH PayID Phone from CommBank App furniture" u="1"/>
        <s v="Transfer To Amir Ehsani CommBank App nye platters, salad, dri..." u="1"/>
        <s v="Transfer To Dan P CommBank App rodean nuggets bucks" u="1"/>
        <s v="Transfer To Jonathan K Oliver CommBank App nile rodgers" u="1"/>
        <s v="Transfer To Jonathan K Oliver CommBank App folamour" u="1"/>
        <s v="Transfer To Kris Gusti CommBank App johns bucks" u="1"/>
        <s v="Transfer To Kris Gusti CommBank App entertainment" u="1"/>
        <s v="Transfer To Megan Cartwright IOU " u="1"/>
        <s v="IOU Megan Cartwright" u="1"/>
        <s v="Kat Duncan IOU" u="1"/>
        <s v="2334271OntarioLtd 855-2348273 ON CAN Card xx8882 USD 327.69 Value Date: 08/08/2019" u="1"/>
        <s v="STATEWIDE APPLIANCE ADELAIDE SA AUS Card xx2869 Value Date: 26/12/2023" u="1"/>
        <s v="rrrtr1" u="1"/>
        <s v="YULIA ANGESTI &amp; MICH LEICHHARDT NS AUS Card xx8882 Value Date: 22/05/2019" u="1"/>
        <s v="YULIA ANGESTI &amp; MICH LEICHHARDT NS AUS Card xx8882 Value Date: 13/05/2019" u="1"/>
        <s v="YULIA ANGESTI &amp; MICH LEICHHARDT NS AUS Card xx8882 Value Date: 06/05/2019" u="1"/>
        <s v="YULIA ANGESTI &amp; MICH LEICHHARDT NS AUS Card xx8882 Value Date: 07/04/2019" u="1"/>
        <s v="YULIA ANGESTI &amp; MICH LEICHHARDT NS AUS Card xx8882 Value Date: 16/02/2019" u="1"/>
        <s v="YULIA ANGESTI &amp; MICH LEICHHARDT NS AUS Card xx8882 Value Date: 02/02/2019" u="1"/>
        <s v="YULIA ANGESTI &amp; MICH LEICHHARDT NS AUS Card xx0052 Value Date: 03/09/2018" u="1"/>
        <s v="YULIA ANGESTI &amp; MICH LEICHHARDT NS AUS Card xx0052 Value Date: 28/08/2018" u="1"/>
        <s v="YULIA ANGESTI &amp; MICH LEICHHARDT NS AUS Card xx0052 Value Date: 25/08/2018" u="1"/>
        <s v="YULIA ANGESTI &amp; MICH LEICHHARDT NS AUS Card xx0052 Value Date: 19/08/2018" u="1"/>
        <s v="YULIA ANGESTI &amp; MICH LEICHHARDT NS AUS Card xx0052 Value Date: 13/08/2018" u="1"/>
        <s v="YULIA ANGESTI &amp; MICH LEICHHARDT NS AUS Card xx0052 Value Date: 30/07/2018" u="1"/>
        <s v="YULIA ANGESTI &amp; MICH LEICHHARDT NS AUS Card xx0052 Value Date: 23/07/2018" u="1"/>
        <s v="YULIA ANGESTI &amp; MICH LEICHHARDT NS AUS Card xx0052 Value Date: 16/07/2018" u="1"/>
        <s v="YULIA ANGESTI &amp; MICH LEICHHARDT NS AUS Card xx0052 Value Date: 09/07/2018" u="1"/>
        <s v="YULIA ANGESTI &amp; MICH LEICHHARDT NS AUS Card xx0052 Value Date: 02/07/2018" u="1"/>
        <s v="v" u="1"/>
        <s v="NEW MILLENNIUM 2 PTY L SURRY HILLS  AUS Tap and Pay xx4622 Value Date: 08/01/2019" u="1"/>
        <s v="NEW MILLENNIUM 2 PTY L SURRY HILLS  AUS Tap and Pay xx4622 Value Date: 21/12/2018" u="1"/>
        <s v="NEW MILLENNIUM 2 PTY L SURRY HILLS  AUS Tap and Pay xx4622 Value Date: 20/12/2018" u="1"/>
        <s v="NEW MILLENNIUM 2 PTY L SURRY HILLS  AUS Tap and Pay xx4622 Value Date: 19/12/2018" u="1"/>
        <s v="NEW MILLENNIUM 2 PTY L SURRY HILLS  AUS Tap and Pay xx4622 Value Date: 17/12/2018" u="1"/>
        <s v="NEW MILLENNIUM 2 PTY L SURRY HILLS  AUS Tap and Pay xx4622 Value Date: 13/12/2018" u="1"/>
        <s v="NEW MILLENNIUM 2 PTY L SURRY HILLS  AUS Tap and Pay xx4622 Value Date: 10/12/2018" u="1"/>
        <s v="NEW MILLENNIUM 2 PTY L SURRY HILLS  AUS Tap and Pay xx4622 Value Date: 04/12/2018" u="1"/>
        <s v="NEW MILLENNIUM 2 PTY L SURRY HILLS  AUS Tap and Pay xx4622 Value Date: 12/11/2018" u="1"/>
        <s v="NEW MILLENNIUM 2 PTY L SURRY HILLS  AUS Tap and Pay xx4622 Value Date: 05/11/2018" u="1"/>
        <s v="NEW MILLENNIUM 2 PTY L SURRY HILLS  AUS Tap and Pay xx4622 Value Date: 29/10/2018" u="1"/>
        <s v="NEW MILLENNIUM 2 PTY L   SURRY HILLS  AU" u="1"/>
        <s v="NEW MILLENNIUM 2 PTY L SURRY HILLS  AUS Tap and Pay xx4622 Value Date: 26/10/2018" u="1"/>
        <s v="NEW MILLENNIUM 2 PTY L SURRY HILLS  AUS Tap and Pay xx4622 Value Date: 24/10/2018" u="1"/>
        <s v="NEW MILLENNIUM 2 PTY L SURRY HILLS  AUS Tap and Pay xx4622 Value Date: 04/10/2018" u="1"/>
        <s v="NEW MILLENNIUM 2 PTY L   SURRY HILLS  AU Card xx0052" u="1"/>
        <s v="NEW MILLENNIUM 2 PTY L SURRY HILLS  AUS Card xx0052 Value Date: 14/08/2018" u="1"/>
        <s v="NEW MILLENNIUM 2 PTY L SURRY HILLS  AUS Card xx0052 Value Date: 09/08/2018" u="1"/>
        <s v="NEW MILLENNIUM 2 PTY L SURRY HILLS  AUS Card xx0052 Value Date: 08/08/2018" u="1"/>
        <s v="NEW MILLENNIUM 2 PTY L SURRY HILLS  AUS Card xx0052 Value Date: 18/07/2018" u="1"/>
        <s v="NEW MILLENNIUM 2 PTY L SURRY HILLS  AUS Card xx0052 Value Date: 03/07/2018" u="1"/>
        <s v="CATCH BENTLEIGH EAS VI AUS Card xx8882 Value Date: 24/12/2020" u="1"/>
      </sharedItems>
    </cacheField>
    <cacheField name="Account Balance" numFmtId="165">
      <sharedItems containsString="0" containsBlank="1" containsNumber="1" minValue="-108.51" maxValue="85496.97"/>
    </cacheField>
    <cacheField name="Account Type" numFmtId="0">
      <sharedItems/>
    </cacheField>
    <cacheField name="AccountID" numFmtId="0">
      <sharedItems count="964">
        <s v="CommBank app"/>
        <s v="COLES"/>
        <s v="ERMINGTON MEATS"/>
        <s v="BUPA HI"/>
        <s v="ALDI"/>
        <s v="AMAZON"/>
        <s v="APRA"/>
        <s v="HAAK EATERY PTY LTD"/>
        <s v="UBER"/>
        <s v="CPSU"/>
        <s v="International Transaction Fee"/>
        <s v="CHATGPT"/>
        <s v="TRANSPORTFORNSW OPAL"/>
        <s v="Transfer to"/>
        <s v="Salary"/>
        <s v="Google"/>
        <s v="PHOTOWN Alexandria"/>
        <s v="OPTUS BILLING"/>
        <s v="THE DAILY WIRE"/>
        <s v="eBay"/>
        <s v="Speedway"/>
        <s v="BUNNINGS"/>
        <s v="PHARMACY JUNCTION PARRAMA"/>
        <s v="RETAIL PRODIGY OPS PL PARRAMATTA NSWAU"/>
        <s v="MEDI CORP PTY LIMITED HABERFIELD"/>
        <s v="REEBELO"/>
        <s v="MCARE BENEFITS"/>
        <s v="food"/>
        <s v="Harveys Hot Sandwiches"/>
        <s v="OFFICEWORKS"/>
        <s v="Jaycar"/>
        <s v="ORIGIN ENERGY"/>
        <s v="Swing Factory"/>
        <s v="GUO MAMA"/>
        <s v="7-ELEVEN"/>
        <s v="LIQUORLAND"/>
        <s v="Transfer From"/>
        <s v="Non CBA ATM Withdrawal Fee"/>
        <s v="COTTON ON"/>
        <s v="FISHBOWL"/>
        <s v="Hydrolink"/>
        <s v="SP TAMUZ SAMPLES BROOKLYN"/>
        <s v="stan.com.au"/>
        <s v="Nextra on5"/>
        <s v="BEATPORT"/>
        <s v="THE GOOD GUYS"/>
        <s v="JOHNS QUALITY MEATS"/>
        <s v="MCDONALDS"/>
        <s v="UNIVERSAL IMPERIAL HOT"/>
        <s v="THE HUNTERS HILL"/>
        <s v="MANNYS"/>
        <s v="CENTRE COM"/>
        <s v="Ivy Level"/>
        <s v="Angel Hotel"/>
        <s v="LEVEL 5 HEALTH"/>
        <s v="THE GUITAR FACTORY"/>
        <s v="LINKT SYDNEY"/>
        <s v="MENZIES WORLD CARGO"/>
        <s v="CrownHotel Parramatta"/>
        <s v="VOLCANOS PARRAMATTA"/>
        <s v="Parramatta City Counci"/>
        <s v="WOOLWORTHS"/>
        <s v="MAD MEX PARRAMATTA PARRAMATTA NSW AU Card xx2869"/>
        <s v="REVERB B.V. AMSTERDAM"/>
        <s v="EG Group"/>
        <s v="THE BALMAIN HOTEL"/>
        <s v="CHEEKY BURGERS AND KEBABGNORTH"/>
        <s v="Direct Credit"/>
        <s v="LS Bobble Tea"/>
        <s v="ENTRADA PHARMACY"/>
        <s v="MOSHTIX PTY"/>
        <s v="SIM CENTRAL"/>
        <s v="JASIME AUBURN"/>
        <s v="DAN MURPHY'S"/>
        <s v="MIDJOURNEY INC."/>
        <s v="KOUZINA GRECO PARRAMATTA AU"/>
        <s v="HCF"/>
        <s v="Apple"/>
        <s v="INK EVENT PTY LTD"/>
        <s v="GM TAXIPAY"/>
        <s v="Pontoon Bar"/>
        <s v="NAZAR BALYOS LAZAR"/>
        <s v="Mikazuki Riverside"/>
        <s v="Toxteth Hotel"/>
        <s v="SUPER CHEAP AUTO"/>
        <s v="RJJ AND CO"/>
        <s v="PARRAMATTA WOOLPACK"/>
        <s v="BAR 7"/>
        <s v="BAR 1"/>
        <s v="Sackville Hotel"/>
        <s v="V/CELLARS"/>
        <s v="BP"/>
        <s v="UNITED RYDALMERE"/>
        <s v="NRMA"/>
        <s v="PEAK AUTOMOTIVE"/>
        <s v="SERVICE NSW"/>
        <s v="CRYSTAL PARRAMATTA"/>
        <s v="KEG AND BREW"/>
        <s v="CITYOFSYDNEY PARKING"/>
        <s v="COLLECTOR HOTEL"/>
        <s v="Syd Aprt Intnl Carp50"/>
        <s v="Royal Oak Hotel Parra"/>
        <s v="THE PLAYA VISTA LOS ANGELES"/>
        <s v="JFK"/>
        <s v="DOORDASH"/>
        <s v="WHEELHOUSE BUSHWICK BROOKLYN NY USA Card xx2869 USD 45.00 Value Date: 18/08/2024"/>
        <s v="UBER TRIP"/>
        <s v="CURB NYC TAXI QUEENS NY USA Card xx2869 USD 26.40 Value Date: 15/08/2024"/>
        <s v="TST*IL CORALLO New York NY USA Card xx2869 USD 52.34 Value Date: 16/08/2024"/>
        <s v="MTA*NYCT PAYGO"/>
        <s v="J. CREW RETAIL #756 NEW YORK NY USA Card xx2869 USD 221.79 Value Date: 16/08/2024"/>
        <s v="FAT BLACK PUSSYCAT"/>
        <s v="MTA*NYCT PAYGO NEW YORK NY USA Card xx2869 USD 2.10 Value Date: 16/08/2024"/>
        <s v="TST* ANALOGUE NEW YORK NY USA Card xx2869 USD 270.59 Value Date: 17/08/2024"/>
        <s v="Bumble"/>
        <s v="LA VERA PIZZA NEW YORK NY USA Card xx2869 USD 34.41 Value Date: 17/08/2024"/>
        <s v="SQ *FATHER KNOWS BEST Brooklyn NY USA Card xx2869 USD 41.89 Value Date: 18/08/2024"/>
        <s v="AT *MOMA NEW YORK NY USA Card xx2869 USD 60.00 Value Date: 18/08/2024"/>
        <s v="TST* RUSS &amp; DAUGHTERS NEW YORK NY USA Card xx2869 USD 37.29 Value Date: 15/08/2024"/>
        <s v="MRJ NEWSTAND NEW YORK NY USA Card xx2869 USD 4.00 Value Date: 15/08/2024"/>
        <s v="THE VILLAGE UNDERGROUN NEW YORK NY USA Card xx2869 USD 100.10 Value Date: 14/08/2024"/>
        <s v="PRINCE ST. PIZZA NEW YORK NY USA Card xx2869 USD 19.69 Value Date: 14/08/2024"/>
        <s v="Duane Reade 14410 Brooklyn NY USA Card xx2869 AUD 18.66 Value Date: 14/08/2024"/>
        <s v="BROADWAY MINI MARKET D BROOKLYN NY USA Card xx2869 USD 2.08 Value Date: 14/08/2024"/>
        <s v="PDS IRISH PUB NEW YORK NY USA Card xx2869 USD 42.82 Value Date: 15/08/2024"/>
        <s v="MAXIMUM DEALS BROOKLYN NY USA Card xx2869 USD 7.60 Value Date: 14/08/2024"/>
        <s v="SOREIKU VINYARDS BROOKLYN NY USA Card xx2869 USD 76.19 Value Date: 14/08/2024"/>
        <s v="NATURE MARKET"/>
        <s v="L'INDUSTRIE PIZZER"/>
        <s v="International ATM Withdrawal Fee"/>
        <s v="Wdl ATM"/>
        <s v="HUDSONNEWS ST1176 JAMAICA NY USA Card xx2869 AUD 8.64 Value Date: 12/08/2024"/>
        <s v="WORLD FAMOUS DELI BROOKLYN NY USA Card xx2869 USD 9.88 Value Date: 12/08/2024"/>
        <s v="TST*DO OR DIVE Brooklyn NY USA Card xx2869 USD 34.80 Value Date: 13/08/2024"/>
        <s v="SQ *JOE'S CORNER Fremont CA USA Card xx2869 USD 69.41 Value Date: 09/08/2024"/>
        <s v="EVERETT &amp; JONES BBQ IN OAKLAND CA USA Card xx2869 USD 238.03 Value Date: 10/08/2024"/>
        <s v="TRADER JOE S #071 FAIR OAKS CA USA Card xx2869 USD 79.32 Value Date: 08/08/2024"/>
        <s v="BEL AIR MART #511 CARMICHAEL CA USA Card xx2869 USD 38.84 Value Date: 07/08/2024"/>
        <s v="SHOGUN SUSHI - CARMICH CARMICHAEL CA USA Card xx2869 USD 53.37 Value Date: 07/08/2024"/>
        <s v="TM *PATTON OSWALT 800-653-8000 CA USA Card xx2869 USD 124.70 Value Date: 01/08/2024"/>
        <s v="MARINIS CANDIES ON THE SANTA CRUZ CA USA Card xx2869 USD 19.20 Value Date: 04/08/2024"/>
        <s v="KOKKARI SAN FRANCISCO CA USA Card xx2869 USD 160.11 Value Date: 03/08/2024"/>
        <s v="COBBS COMEDY CLUB SAN FRANCISCO CA USA Card xx2869 USD 70.39 Value Date: 03/08/2024"/>
        <s v="THE MYSTERY SPOT SANTA CRUZ CA USA Card xx2869 USD 16.00 Value Date: 04/08/2024"/>
        <s v="SQ *MISSION HILL COFFE Santa Cruz CA USA Card xx2869 USD 7.00 Value Date: 04/08/2024"/>
        <s v="TST* APRIL JEAN SAN FRANCISCO CA USA Card xx2869 USD 12.06 Value Date: 03/08/2024"/>
        <s v="TST* BRENDA'S FRENCH S SAN FRANCISCO CA USA Card xx2869 USD 108.24 Value Date: 03/08/2024"/>
        <s v="PIZZA MY HEART SANTA CRUZ CA USA Card xx2869 USD 46.32 Value Date: 04/08/2024"/>
        <s v="SAFEWAY"/>
        <s v="MVC PULSE SAN FRANCISC SAN FRANCISCO CA USA Card xx2869 USD 422.81 Value Date: 03/08/2024"/>
        <s v="BART-CLIPPER UNION CIT UNION CITY CA USA Card xx2869 USD 20.00 Value Date: 01/08/2024"/>
        <s v="BEST COMEDY TICKETS UTRECHT UT NLD Card xx2869 USD 62.61 Value Date: 01/08/2024"/>
        <s v="DELTA00622556915761 BRUSSELS BE BEL Card xx2869 USD 496.94 Value Date: 28/07/2024"/>
        <s v="SQ *CANDY BARREL Sacramento CA USA Card xx2869 USD 18.66 Value Date: 26/07/2024"/>
        <s v="TST* URBAN ROOTS BREWE SACRAMENTO CA USA Card xx2869 USD 88.94 Value Date: 26/07/2024"/>
        <s v="CSJ SMART METERS SAN JOSE CA USA Card xx2869 USD 2.00 Value Date: 27/07/2024"/>
        <s v="CKE*IKES SAN JOSE DT S SAN JOSE CA USA Card xx2869 USD 25.85 Value Date: 27/07/2024"/>
        <s v="CHEVRON"/>
        <s v="The Chefs' Olive Mix SACRAMENTO CA USA Card xx2869 USD 43.85 Value Date: 26/07/2024"/>
        <s v="SQ *OLD MISSION SAN JO Fremont CA USA Card xx2869 USD 10.00 Value Date: 27/07/2024"/>
        <s v="AIRBNB"/>
        <s v="THRIFTY #0072216 OAKLAND CA USA Card xx2869 USD 375.07 Value Date: 27/07/2024"/>
        <s v="AMZN Mktp US*RJ8SZ2TK1 Amzn.com/bill WA USA Card xx2869 AUD 67.37 Value Date: 20/07/2024"/>
        <s v="PIER C PHARMACY MASCOT"/>
        <s v="Feeld"/>
        <s v="STEAMGAMES.COM"/>
        <s v="BUPA TRAVEL INSURANCE"/>
        <s v="CATCH DOCKLANDS"/>
        <s v="TAM PH PTY LTD PARRAMATTA NSW AU Card xx2869"/>
        <s v="TARGET"/>
        <s v="Uniqlo Australia Pty Ltd Parramatta AU"/>
        <s v="PLINE PH"/>
        <s v="BERLINER BAKERY Sydney AU"/>
        <s v="L'AMUSE BOUCHE Sydney AU"/>
        <s v="GUILTLESS The Rocks AU"/>
        <s v="G I GOURMET NUTS The Rocks AU"/>
        <s v="THE ONLINE DRINKS Sydney AU"/>
        <s v="HARRIS FARM MARKETS"/>
        <s v="N LEONARDO PTY LTD PARRAMATTA AU"/>
        <s v="VICS MEAT MARKET"/>
        <s v="SYDNEY FISH MARKET"/>
        <s v="DidiChuxing DidiAU pen"/>
        <s v="Abercrombie Hotel Chippendale AU"/>
        <s v="Britannia Group Pty Lt Darlington AU"/>
        <s v="Patisserie La Gal"/>
        <s v="Karaoke World"/>
        <s v="Camy's Chargrill"/>
        <s v="APEX WEST RYDE"/>
        <s v="WW METRO"/>
        <s v="Little Greece Parra Parramatta AU"/>
        <s v="Dick's Hotel Balmain"/>
        <s v="IKEA"/>
        <s v="PAYPAL"/>
        <s v="ERGOX AUSTRALIA"/>
        <s v="SOUNDS EASY ARTARMON NS AUS (Platform Desk)"/>
        <s v="THE JERKY CO NSW "/>
        <s v="CHEMIST WAREHOUSE"/>
        <s v="GREEN FARM MEAT"/>
        <s v="COFFEE ON MILLER North Sydney AU"/>
        <s v="POST"/>
        <s v="CASH CONVERTERS"/>
        <s v="EDITOR VST HANNOVER BE"/>
        <s v="CONTAINER NORTH PARR NTH PARRAMATTNSWAU"/>
        <s v="CITY OF PARRAMATTA"/>
        <s v="Albion Hotel Parramatta AU"/>
        <s v="Eternal Health Group"/>
        <s v="BEFORE YOU*"/>
        <s v="Telstra"/>
        <s v="GREAT NORTHERN OPERA CHATSWOOD"/>
        <s v="CHILLNGRILLINDIANCUISI"/>
        <s v="REBEL"/>
        <s v="we move you"/>
        <s v="AMPOL"/>
        <s v="CHISWICK CELLARS"/>
        <s v="Microsoft*Microsoft"/>
        <s v="IGA"/>
        <s v="ULTRA TUNE DRUMMOYNE"/>
        <s v="Wdl Branch"/>
        <s v="OXFORD HOTEL"/>
        <s v="Belong"/>
        <s v="Subway"/>
        <s v="Bowan Islan"/>
        <s v="DESTROS PHARMACY"/>
        <s v="Transfer to CBA A/c NetBank Internet"/>
        <s v="BURWOOD COUNCIL"/>
        <s v="Messina"/>
        <s v="City Recital Hall"/>
        <s v="John dahdah"/>
        <s v="ADOBE"/>
        <s v="LIVESIGN"/>
        <s v="Transfer To Universal Real Estate"/>
        <s v="GYG"/>
        <s v="Nike"/>
        <s v="THE GOVERNOR HOTEL"/>
        <s v="Coogee Ground"/>
        <s v="INNER WEST COUNCIL PETERSHAM "/>
        <s v="Helm Bar"/>
        <s v="GM CABS"/>
        <s v="Hotel CBD Sydney AU"/>
        <s v="IMAX Sydney SYDNEY"/>
        <s v="Credit Interest"/>
        <s v="LITTLE JACK HORNER AUSTRALIA"/>
        <s v="SUSHI OTAKU"/>
        <s v="BWS"/>
        <s v="NEWTOWN HOTEL"/>
        <s v="COFFEE EMPIRE"/>
        <s v="QANTAS"/>
        <s v="NRMA LTD SYDNEY OLYMPI"/>
        <s v="Dymocks"/>
        <s v="Debit Excess Interest"/>
        <s v="AustCancerResear"/>
        <s v="Stop ez Drummoyne"/>
        <s v="KOJIAOKI HOLDINGS"/>
        <s v="Etsy.com"/>
        <s v="JACKS HAIRDRESSING"/>
        <s v="STAGE.PELUSOMICROPHONE"/>
        <s v="UNIVERSAL AUDIO"/>
        <s v="DEPOSIT CASH"/>
        <s v="Unpaid NetBank Payment Fee"/>
        <s v="Panda Birkenhead"/>
        <s v="EAST SUSHI PTY LTD"/>
        <s v="Transfer To Jonathan K Oliver CommBank App rent"/>
        <s v="PALACE CINEMAS"/>
        <s v="Overdraw Fee For exceeding available funds on"/>
        <s v="BIG W"/>
        <s v="Entertainment and Rec"/>
        <s v="STATEWIDE APPLIANCE"/>
        <s v="PA RYDE ISE"/>
        <s v="Hestia &amp; Co"/>
        <s v="KMART"/>
        <s v="RYANS BAR"/>
        <s v="Hilton Sydney"/>
        <s v="13cabs"/>
        <s v="SMP*The Chefs Wife Bi Burwood"/>
        <s v="Orient Hotel"/>
        <s v="Refund from CBA"/>
        <s v="PAPERBOY CONCORD CAFE"/>
        <s v="BAR TOSCA"/>
        <s v="Amir Baulkham Hill"/>
        <s v="OAKS CYPRESS LAKES"/>
        <s v="ZLR*Bimbadgen"/>
        <s v="PVH HERIT BRANDS"/>
        <s v="PETER JACKSON"/>
        <s v="THE WHITE BARN POKO POKOLBIN AU"/>
        <s v="NEWPORTO WYONG JILLIBY AU"/>
        <s v="TRANSPORTFORNSW TAP"/>
        <s v="MLEKO PTY LTD"/>
        <s v="BYCFURNITURESTRADI"/>
        <s v="Fast Transfer From Megan Cartwright"/>
        <s v="SMP*Ralph Lauren 7101 Drummoyne"/>
        <s v="LOUIE Coogee AU"/>
        <s v="Deli Fresh Cafe Homebush"/>
        <s v="GLUE"/>
        <s v="DRUMMOYNE CAMERA HOUSE"/>
        <s v="Bank Hotel"/>
        <s v="SDRO INFRNGMNT PAYME"/>
        <s v="Enmore Theatre Pty Lt"/>
        <s v="SEOG KYU CHOI"/>
        <s v="SCORPTEC COMPUTERS"/>
        <s v="UNIVERSAL HOTELS GRO"/>
        <s v="OXFORD TOBACCONIST"/>
        <s v="ANKARA Darlinghurst"/>
        <s v="Louis CK"/>
        <s v="HOTEL GREENWOOD PTY LI"/>
        <s v="CHARGRILL CHARLIES"/>
        <s v="The Sporting Globe"/>
        <s v="Woolloomooloo Bay"/>
        <s v="Sussudio Sydney"/>
        <s v="Coogee Bay Hotel"/>
        <s v="EB *BNC pres.Kasper Ko"/>
        <s v="Ivy Pool Club"/>
        <s v="Peach Audio"/>
        <s v="Eat at Robs"/>
        <s v="The Alexandria Hotel"/>
        <s v="BrewDog South"/>
        <s v="B and C Pharmacy"/>
        <s v="Balmain The Char"/>
        <s v="Taste Baguette"/>
        <s v="Lalals.com"/>
        <s v="Dumplings &amp; Momo House"/>
        <s v="THE LOOKOUT @ ECHO POI"/>
        <s v="NATIVE INSTRUMENTS"/>
        <s v="Leura Gourmet"/>
        <s v="Rfnd O'Seas Transaction"/>
        <s v="ADJUSTMENT TO ACCOUNT"/>
        <s v="ARASH NIKHOUSH"/>
        <s v="Cardless Cash for collection stuff"/>
        <s v="BANDCAMP"/>
        <s v="Arturia Montbonnot"/>
        <s v="Patreon"/>
        <s v="Revolut**8052*"/>
        <s v="RISE BAKEHOUSE"/>
        <s v="NIKAN RESTAURANT"/>
        <s v="SILVER SPOON BISTRO"/>
        <s v="HUNTERS HILL COUNCIL"/>
        <s v="DECKHOUSE CAFE"/>
        <s v="TIMEZONE CHATSWOOD"/>
        <s v="MALONEYS GROCER PTY"/>
        <s v="CAFFE CHERRY BEANS-B"/>
        <s v="Moretti Ristorante"/>
        <s v="nick irving CommBank App ns10"/>
        <s v="REVERB.COM LLC"/>
        <s v="SQ *TENTACIONES Surry Hills"/>
        <s v="Menulog"/>
        <s v="JAKEREEDMUSIC.COM"/>
        <s v="WAVES"/>
        <s v="Microsoft*Subscription"/>
        <s v="JB HI FI"/>
        <s v="SYDMOSA PTY LTD"/>
        <s v="SQ *MOOM LIVING Pyrmont"/>
        <s v="RAYVEN PTY LTD"/>
        <s v="ROSE TURKISH GOZLEME"/>
        <s v="SoundCloud"/>
        <s v="Andiamo Tr Abbotsford"/>
        <s v="Torotoro Ramen Bar"/>
        <s v="THE GREENS NORTH SYDNEY"/>
        <s v="ALH VENUES 8733"/>
        <s v="WWW.ALIEXPRESS.COM"/>
        <s v="MV&amp;CO THE VIETASTEZ"/>
        <s v="JOANNE WILLIAMS PTY LIMIT"/>
        <s v="Transfer To Jonathan K Oliver CommBank App internet"/>
        <s v="THE VINTAGE RECORD ANNANDALE"/>
        <s v="SMP*Fat Fish Annandal"/>
        <s v="DISTROKID.COM"/>
        <s v="ICC Sydney"/>
        <s v="HARRY JUICE &amp; CO PTY L"/>
        <s v="NOVOTEL DARLING SQR"/>
        <s v="Audible"/>
        <s v="CEX PTY LTD"/>
        <s v="Naser Pty Limited"/>
        <s v="OEH Kirrawee"/>
        <s v="Da Vinci's Restaurant"/>
        <s v="Fair Trade at The Summer Hill"/>
        <s v="NETFLIX"/>
        <s v="ARC AT UNSW LTD KENSINGTON"/>
        <s v="HUGO BOSS Australia"/>
        <s v="Academy Brand"/>
        <s v="Gladesville Sporties"/>
        <s v="LALAL.AI"/>
        <s v="iZotope.com"/>
        <s v="Hayden Theatres"/>
        <s v="PRYDE MEATS"/>
        <s v="Mega Limited"/>
        <s v="UNCLE TETSU"/>
        <s v="Direct Credit 012721 ATO"/>
        <s v="WWRD AUSTRALIA PTY LTD"/>
        <s v="Samsung Electronics AU"/>
        <s v="Octo Car"/>
        <s v="BELFIELD MUSIC PTY LTD"/>
        <s v="TICKETEK PTY LTD WEB"/>
        <s v="JASMIN 1"/>
        <s v="Roland Jupiter 80"/>
        <s v="AGR SERVICES"/>
        <s v="MASSAGE LINK"/>
        <s v="Happyfield"/>
        <s v="Crystal Carwash Cafe"/>
        <s v="Your Choice Pharmacy"/>
        <s v="David Gojak's Meats"/>
        <s v="BLACKWALL CAFE CHISWICK"/>
        <s v="BRAZA CHURRASCARIA PTY"/>
        <s v="Syd Aprt Dom Carp54"/>
        <s v="WWW.PACIFICCONCE* ME&amp;U"/>
        <s v="Hokka Hokka"/>
        <s v="Winghaus Gateway"/>
        <s v="Return No account or incorrect account"/>
        <s v="Surly's"/>
        <s v="Picton Karting Track"/>
        <s v="Liquor on Oxford"/>
        <s v="CCWEB SDRO"/>
        <s v="ALH VENUES 8758 MANLY"/>
        <s v="Opera Bar Sydney"/>
        <s v="Arezzo Jewellery"/>
        <s v="Mr Cutz Top Ryde"/>
        <s v="SMP*Dominos Pizza Drum Drummoyne02"/>
        <s v="Priceland"/>
        <s v="Covau"/>
        <s v="Umart Online Milton"/>
        <s v="Bahar Spring"/>
        <s v="DutchVinyl"/>
        <s v="FARSI RESTAURANT"/>
        <s v="NRMA HUT"/>
        <s v="Elizabeth Street"/>
        <s v="ROZELLE AUTOMOTIVE"/>
        <s v="TENKOMORI"/>
        <s v="Sutra Sunrise"/>
        <s v="BRIDGE HOTEL"/>
        <s v="EMPANADAS FACTORY ROZELLE"/>
        <s v="Da Jian Chen"/>
        <s v="CHEMIST WAREHOUSE BIRK"/>
        <s v="MEANDU"/>
        <s v="LEICHHARDT MUNICIPAL"/>
        <s v="Jaipur Sweets"/>
        <s v="PASTIZZI CAFE PL"/>
        <s v="Telecom"/>
        <s v="General&amp;Co Lobby Bar"/>
        <s v="Winona Wine"/>
        <s v="Label Brookvale"/>
        <s v="Jimmy's Falafel"/>
        <s v="SUMO"/>
        <s v="One Taxi Belmore"/>
        <s v="3 Harps"/>
        <s v="StroopBros"/>
        <s v="Nomad Brewing Co."/>
        <s v="Emmy Gozleme"/>
        <s v="Big Tony Canoli"/>
        <s v="RT &amp; SD"/>
        <s v="ANDERSEN'S OF DENMAR"/>
        <s v="SURRYHILLS NEWSAGENT"/>
        <s v="GYG Top Ryde"/>
        <s v="Castle Hill HS"/>
        <s v="Divvy"/>
        <s v="Transfer To Jonathan K Oliver NetBank Rent"/>
        <s v="Hungry Jacks Ryde"/>
        <s v="Event Cinemas"/>
        <s v="OXFORD WORLD SQUARE"/>
        <s v="The Newport"/>
        <s v="THE LITTLE SNAIL RES"/>
        <s v="DOYTAO DRUMMOYNE PTY"/>
        <s v="Marbrand"/>
        <s v="Surry Hills Fine"/>
        <s v="El Loco"/>
        <s v="B&amp;W Cabs"/>
        <s v="Love Crepe Russell Lea"/>
        <s v="Allegria FLR &amp; HMWRE"/>
        <s v="Pharmacy Management"/>
        <s v="ELIZABETHS BOOKSHOP"/>
        <s v="Top Fruit and Sons"/>
        <s v="ROLLING CAFE AUSTRAL DRUMMOYNE"/>
        <s v="Emilio's Specialty Bu"/>
        <s v="Europe Grill Resta"/>
        <s v="ORGNL MNTZM NOOSA"/>
        <s v="LIVE TAXI AUSTRALIA"/>
        <s v="mount coolum Buderim"/>
        <s v="The Coffee Club Coolum"/>
        <s v="Sushi Sushi"/>
        <s v="Kanu Kapers"/>
        <s v="Monthly Go Plus plan Berlin DE DEU"/>
        <s v="Laguna Jacks"/>
        <s v="Sun Coast"/>
        <s v="DIVAN PERSIAN REST"/>
        <s v="CootharaBAR"/>
        <s v="Coolum Thai Spice"/>
        <s v="Copenhagen Ice Cr"/>
        <s v="SEASONS SUPERMARKETS 4 NOOSA HEADS"/>
        <s v="MR MANCINO Coolum Beach AU"/>
        <s v="LIVELIFE PHARMACY COOL COOLUM BEACH"/>
        <s v="GHANDA COOLUM"/>
        <s v="AIRPORT RETAIL ENTERPR MASCOT AU"/>
        <s v="TCSC PTY LTD HAYMARKET"/>
        <s v="FISH MARKET CAFE PYRMONT"/>
        <s v="SYDNEY FISH MARKET P PYRMONT"/>
        <s v="OIDEN 11 PTY LTD SYDNEY"/>
        <s v="The Erko Hotel Erskineville"/>
        <s v="CR MACQUARIE NORTH RYDE"/>
        <s v="JETSTAR"/>
        <s v="LINDT AND SPRUNGLI"/>
        <s v="JD SPORTS FASHION"/>
        <s v="H&amp;M Sydney"/>
        <s v="GOU SUSHI SURRY HILLS AU"/>
        <s v="HARE G PTY LTD SURRY HILLS"/>
        <s v="CHARGRILL MOSMAN Mosman NS AUS Card"/>
        <s v="TURRAMURRA SUPERMARK TURRAMURRA"/>
        <s v="The Party People"/>
        <s v="Hurricane's"/>
        <s v="Coinspot"/>
        <s v="The General &amp; Co. Lilyfield"/>
        <s v="MANTA WHARF"/>
        <s v="TOP FRUIT MARKET"/>
        <s v="SUBMITHUB HOLDINGS LLC"/>
        <s v="FiverrEU"/>
        <s v="PLINEPH BIRKENHEADPOI DRUMMOYNE NSWAU"/>
        <s v="2CO.COM*- 173639085"/>
        <s v="KADMUS"/>
        <s v="IL POLLO FIVE DOCK"/>
        <s v="DOMINOS DRUMMOYNE"/>
        <s v="MECCA COFFEE ROASTERS"/>
        <s v="BED BATH N TABLE"/>
        <s v="SHILA KITCHEN"/>
        <s v="ENERGY LOCALS"/>
        <s v="PASTICCERIA PAPA"/>
        <s v="INTERNATIONAL PARKING"/>
        <s v="The Oaks Hotel Neutral Bay"/>
        <s v="EASTWOOD NEW YEN YEN EASTWOOD"/>
        <s v="SETTLERS ARMS INN ST ALBANS"/>
        <s v="POLITIX BIRKIN HEAD"/>
        <s v="MINSKYS HOTEL CREMORNE"/>
        <s v="ENOTECA"/>
        <s v="CAMINETTO ITALIAN RE THE ROCKS"/>
        <s v="UNIVERSAL NEWTOWN"/>
        <s v="SQ *ANYTHING BUT HUMBL"/>
        <s v="NYMP PTY LTD"/>
        <s v="PAPADINOS KATOOMBA"/>
        <s v="accomodation"/>
        <s v="SMP*Victory Cafe Blackheath"/>
        <s v="NEW IVANHOE HOTEL Blackheath AU"/>
        <s v="Bottle Shop Blackheath AU"/>
        <s v="KATOOMBA WINES"/>
        <s v="Cardless Cash return petrol"/>
        <s v="Cardless Cash for collection petrol"/>
        <s v="Cardless Cash for collection shopping"/>
        <s v="AGL"/>
        <s v="UTS HABERFIELD CLUB"/>
        <s v="PLUGINFOX PORTLAND"/>
        <s v="CONQUEST PTY LTD DRUMMOYNE"/>
        <s v="WWW.DEVICEDEAL.COM.AU"/>
        <s v="JIMS COMPUTER SERVIC"/>
        <s v="THE REJECT SHOP"/>
        <s v="SIENELLA PTY LTD"/>
        <s v="FS *Akai Pro"/>
        <s v="ROLAND TECHNICAL SER"/>
        <s v="D&amp;B Drummoyne"/>
        <s v="Trattoria Casa Chiswick"/>
        <s v="House Deposit"/>
        <s v="UME Restaurant Surry Hills"/>
        <s v="CARRINGTON 565 PTY L SURRY HILLS"/>
        <s v="NSW RENTAL BOND"/>
        <s v="TAXI COMBINED"/>
        <s v="Internet share"/>
        <s v="BeYou"/>
        <s v="SPOTTO NSW"/>
        <s v="SPEEDW AY ROSEVILLE"/>
        <s v="STRIKE AUSTRALIA PTY"/>
        <s v="SHWARMAMA PTY LTD"/>
        <s v="NBC-PAY &amp; DISPLAY PARK"/>
        <s v="BETTYS BURGERS"/>
        <s v="Barangaroo House"/>
        <s v="H Roozbehani Gift"/>
        <s v="Grunt"/>
        <s v="Louis Wayment"/>
        <s v="CITY CONVENIENCE STORE HAYMARKET"/>
        <s v="BAR BROADWAY"/>
        <s v="Rent"/>
        <s v="Kyo-To Spice Alley Chippendale"/>
        <s v="reg required"/>
        <s v="ACTIVE8 POOL TABLES KIRRAWEE"/>
        <s v="BVL PARTNERSHIP PL BELLINGEN"/>
        <s v="UNITED DORRIGO"/>
        <s v="RAMTEAN"/>
        <s v="Hilltop at the Lodge Bellingen"/>
        <s v="EBOR PUB PL EBOR"/>
        <s v="CALTEX"/>
        <s v="MANGO COCO THAI DESSER"/>
        <s v="Dick Smith"/>
        <s v="geoff"/>
        <s v="MASOUMEH GHOLAMSHAHI"/>
        <s v="ETORO"/>
        <s v="OZFOREX LIMITED HELLOSTAKE.COM"/>
        <s v="CENTENNIAL PLAZA"/>
        <s v="SQ *SURRY HILLS DUMPLI"/>
        <s v="ESEL Pty Ltd"/>
        <s v="Woolwich Pier"/>
        <s v="Unpaid Payment Fee"/>
        <s v="CITY MART 525 PTY LT SYDNEY"/>
        <s v="SQ *THE TASTE OF BEES Drummoyne"/>
        <s v="ME-AND-U"/>
        <s v="Estate Berrima"/>
        <s v="Royal Hotel Bowral"/>
        <s v="SOUTHERN HT"/>
        <s v="CENTENNIAL VINEYARDS"/>
        <s v="LEGION CAB SY 131451"/>
        <s v="HOLEY MOLEY"/>
        <s v="Withdrawal"/>
        <s v="ROZELLE PHARMACY PTY"/>
        <s v="Potts Point Hotel"/>
        <s v="BLOOMS THE CHEMIST LEICHHARDT"/>
        <s v="OVOLO WOOLOOMOOLOO"/>
        <s v="THE LORD NELSON BREW"/>
        <s v="GLENMORE ROOFTOP HOT THE ROCK"/>
        <s v="Thendro Pty Ltd"/>
        <s v="PRIME QUALITY MEATS"/>
        <s v="CATCH BENTLEIGH EAS VI AUS Card"/>
        <s v="CLRK RUBER HABERFLD HABERFIELD"/>
        <s v="ST VIN DE PAUL SOC NSW"/>
        <s v="OXFORD OPERATIONS PTY"/>
        <s v="THE MALAYA RESTAURANT"/>
        <s v="ExpressVPN"/>
        <s v="STEVES SELECT MEATS"/>
        <s v="CRAZYDOMAINSHOSTING"/>
        <s v="CUPITT ULLADULLA NS AUS Card"/>
        <s v="INSPORT"/>
        <s v="AUTHENTICS FACTORY"/>
        <s v="TILLY &amp; MO"/>
        <s v="LAKE CONJOLA LIQUOR"/>
        <s v="MYRA NOOR PTY LTD"/>
        <s v="METRO PETROLEUM"/>
        <s v="Hungry Jacks"/>
        <s v="RALPH LAUREN AUSTRA"/>
        <s v="NELSON HOTEL"/>
        <s v="Mr Louis Robert Reynolds"/>
        <s v="BART JR"/>
        <s v="FISHHEADS AT BYRON"/>
        <s v="THE HIDEOUT BYRON BAY"/>
        <s v="OZAKMAN BROTHERS PL"/>
        <s v="Northern Bar"/>
        <s v="KIERAN ROSS KROHN Dinner"/>
        <s v="CELLAR BYRON PLAZA BYRON BAY"/>
        <s v="YAMBA YHA BACKPACKER"/>
        <s v="BYRON BAY HOT BREAD"/>
        <s v="KFC TAREE SERVICE CE"/>
        <s v="CENTRE COM SUNSHINE VI"/>
        <s v="YAMBA BOWLING AND RECR"/>
        <s v="SLICE PIZZERIA"/>
        <s v="YAMBA TAVERN PTY LTD"/>
        <s v="THE GUITAR FACTORY A"/>
        <s v="BOURBON OPERATIONS"/>
        <s v="iou"/>
        <s v="BAHAR PERSIAN FOOD RYDE"/>
        <s v="Micky's Cafe"/>
        <s v="STEPHEN DONOHOE CREDIT TO ACCOUNT - Mickys Café"/>
        <s v="LIV*THE CHIPPO HOTEL"/>
        <s v="Milkwood Bakery"/>
        <s v="Ms Katrina T Duncan"/>
        <s v="GREAT SOUTHERN HOTEL"/>
        <s v="Big Music Australia"/>
        <s v="DHL Express"/>
        <s v="SQUARP INSTRUMENTS PARIS FR"/>
        <s v="Elektron Machinedrum - PAYPAL"/>
        <s v="Homayoun"/>
        <s v="SP * SOFTWARE.ORG.AU - SPRING FARM"/>
        <s v="ADVANCE OPEN TECHNOL BROADWAY"/>
        <s v="MY CHOICE SOFTWARE LLC"/>
        <s v="SOFTWARE MART AUS"/>
        <s v="ASH ADAMS SURRY HILL"/>
        <s v="HudsonMeatsDrummoyne"/>
        <s v="GOLDEN PIDE SURRY HILLS"/>
        <s v="SQ *THE HORDERN CON1 Moore Park"/>
        <s v="PLAYBILL MERCHNDS"/>
        <s v="ARCADIA LIQUORS REDFERN"/>
        <s v="INGOGO"/>
        <s v="TASTE OF SAIGON"/>
        <s v="GALLAGHERS GBS PTY LTD"/>
        <s v="THE TUDOR REDFERN"/>
        <s v="ART GALLERY OF NSW SYDNEY"/>
        <s v="WILLIAM HOTEL EAST SYDNEY"/>
        <s v="WW TOWN HALL"/>
        <s v="Tokyo Bird"/>
        <s v="SQ *BLOC145"/>
        <s v="SPAR REDFERN"/>
        <s v="ADDLY PTY LTD"/>
        <s v="LAKIN J Josie"/>
        <s v="Goros"/>
        <s v="AURORA HOTEL"/>
        <s v="TASTE BAKERY &amp; RESTAU"/>
        <s v="REDFERN AND CO OPERATI"/>
        <s v="Newslink"/>
        <s v="(T) DE Reject Return Fee"/>
        <s v="RANA MEHDI HASSAN"/>
        <s v="BMSH PTY"/>
        <s v="media spend"/>
        <s v="SUNPAC LTD"/>
        <s v="POPPY'S ON THE LAGOO"/>
        <s v="Heinemann Duty Free Mascot"/>
        <s v="TK MAXX TOP RYDE"/>
        <s v="GUZMAN Y GOMEZ"/>
        <s v="BOOST JUICE PTY LTD"/>
        <s v="AIRPORT RETAIL ENTERPR"/>
        <s v="HAPS HOTELS"/>
        <s v="EB GAMES DRUMMOYNE"/>
        <s v="TAROCASH PTY LTD"/>
        <s v="OXFORD SHOP PTY LTD"/>
        <s v="boat"/>
        <s v="HAIR CO 96 PTY LTD"/>
        <s v="BALMAIN HTL"/>
        <s v="HYPEDC"/>
        <s v="CONNOR CLOTHING PTY"/>
        <s v="WOLLONGONG NIGHTSPOT"/>
        <s v="PLINE PH TOWN HALL"/>
        <s v="SYDNEY CONSTELLATION C"/>
        <s v="MILITARY ROAD 23 PTY L"/>
        <s v="THE DRUMM BRKNHD HTL"/>
        <s v="DHS - Lianna Going Away Gift"/>
        <s v="mum present"/>
        <s v="Domain Registration To Grunt"/>
        <s v="BIRKENHEAD GRILL DRUMMOYNE NS"/>
        <s v="Sneaky Burger"/>
        <s v="KEG  BREW HOTEL"/>
        <s v="IYASHI REMEDIES"/>
        <s v="SMP*Ze Pickle Surry Hills"/>
        <s v="CDKEYS.COM"/>
        <s v="Shift Eatery"/>
        <s v="UNIVERSAL HOTELS DARLINGHURST"/>
        <s v="The Forresters"/>
        <s v="Cash Dep"/>
        <s v="Soheyla"/>
        <s v="Vanuatu Hotel Payment to mum"/>
        <s v="SQUARESPACE INC."/>
        <s v="UNIVERSAL CIVIC PTY"/>
        <s v="Gozleme King Darling"/>
        <s v="CITY MART RANDWICK SYDNEY"/>
        <s v="Cafe Del Mar"/>
        <s v="SPORTS 24 7 THE STAR"/>
        <s v="RYDGES SYDNEY CENTRAL"/>
        <s v="GORO'S"/>
        <s v="THE ORCHARD TAVERN"/>
        <s v="SMP*Makanai Chatwsood"/>
        <s v="PLAYTIME CHATSWOOD"/>
        <s v="INDESIGN"/>
        <s v="850 RMS NCC1 NEWCASTLE"/>
        <s v="Untied"/>
        <s v="Store Dj Invoice"/>
        <s v="GFM"/>
        <s v="FITNESS PLAY"/>
        <s v="LIV*THE WILD ROVER"/>
        <s v="A BASAULA AND S SHAHI"/>
        <s v="MYER"/>
        <s v="LAS VEGAS GAMING INT"/>
        <s v="Elec Bill"/>
        <s v="RIBS AND BURGERS DRUMM"/>
        <s v="OntarioLtd"/>
        <s v="ZEUS"/>
        <s v="KOUKLA GROUP PTY LTD"/>
        <s v="sunday lunch order"/>
        <s v="SALT MEATS CHEESE DRUMMOYNE"/>
        <s v="BIG D S DINER"/>
        <s v="Town Hall Hotel"/>
        <s v="The Strand Hotel Darlinghurst"/>
        <s v="Louisa"/>
        <s v="A HANKIN COMPANY WICKHAM"/>
        <s v="77 CONVENIENCE"/>
        <s v="STANLEYS BAR PTY LTD"/>
        <s v="East Village Sydney"/>
        <s v="SILVER SERVIC"/>
        <s v="DUMPLING HUT"/>
        <s v="maccas"/>
        <s v="UNI OF SYDNEY UNIO"/>
        <s v="POWERDIRECT PTY LTD"/>
        <s v="MELANIE AND ANNIE PT"/>
        <s v="UNIVERSAL HOTELS PTY"/>
        <s v="Goodbar"/>
        <s v="SKYBUS COACH SERVICE"/>
        <s v="NJ GROUP PTY LTD"/>
        <s v="BKNG SNSTN BKRY CF DRUMMOYNE"/>
        <s v="Refund of Disputes Fees and or interest"/>
        <s v="TWG AT JOAN SUTHERLAND"/>
        <s v="MENYA CHINATOWN HAYMARKET"/>
        <s v="Annandale Hotel"/>
        <s v="TFNSW RAIL"/>
        <s v="Opera Bar"/>
        <s v="SUTTONS MOTORS ARNCL"/>
        <s v="HFM BORONIA PARK"/>
        <s v="RMSTOLLNOTICEPH13186"/>
        <s v="GREAT LIGHTING AUSTR LEICHHARDT"/>
        <s v="BOND CLEANING"/>
        <s v="ref340 96a Audley"/>
        <s v="PETERSHAM PHARMACY"/>
        <s v="DMD FUELS PTY LTD"/>
        <s v="CIVIC HOTEL"/>
        <s v="TAXI4UR SERVICE PTYLTD"/>
        <s v="MED CAFE"/>
        <s v="KENNARDS SELF STORAGE"/>
        <s v="CULTIVATE"/>
        <s v="THE FAT CHOOK LEICHHAR"/>
        <s v="MR CRACKLES"/>
        <s v="The Winery"/>
        <s v="H&amp;M AUSTRALIA"/>
        <s v="JUST CUTS BROADWAY"/>
        <s v="JOJOS VENTURE"/>
        <s v="CAFE SYDNEY"/>
        <s v="SCORPION TECH"/>
        <s v="PHOTO SHOP STUDIO"/>
        <s v="LEICHHARDT DSCNT CHE"/>
        <s v="MADISON HOTEL"/>
        <s v="PLINE PH LEICHHARDT"/>
        <s v="ONE TONG PTY LTD"/>
        <s v="EVENING STAR OPERATI"/>
        <s v="LEICHHARDT CHEMIST"/>
        <s v="WARWICK L EVERINGHAM"/>
        <s v="AUTO TCH CR &amp; TRCK R PETERSHAM"/>
        <s v="SYDNEY OPERA HOUSE TRU"/>
        <s v="Sushi Hub Balmain"/>
        <s v="REVENUE NSWFINE"/>
        <s v="Netbank to Complete Access"/>
        <s v="ACT HOLDINGS PTY LTD"/>
        <s v="White Cockatoo Hotel"/>
        <s v="Republic Bar"/>
        <s v="SOFTWARE PRO WORLD LONDON LN"/>
        <s v="RESIDENT ADVISOR TICKE"/>
        <s v="H Roozbehani Present from Dad"/>
        <s v="NEIGHBORHOOD MASSAGE"/>
        <s v="TRANSPORT FOR NSW"/>
        <s v="STRAWBERY HILLS HOTEL"/>
        <s v="KABUTO PTY LTD"/>
        <s v="petrol"/>
        <s v="Clock Hotel Surry Hills"/>
        <s v="Clock Hotel"/>
        <s v="P AND J WADE CHEMISTS LANE"/>
        <s v="KEG &amp; BREW HOTEL"/>
        <s v="NV PETERS INMNT PL BROADWAY"/>
        <s v="CHARLIES DELI"/>
        <s v="NORTONS ON NORTON"/>
        <s v="The Grounds Alexandria"/>
        <s v="THE GRUMPY BAKER NEW"/>
        <s v="PETERSHAM LIQUOR MART"/>
        <s v="HAPPY KITCHEN 4 U"/>
        <s v="Different Drummer Glebe"/>
        <s v="RSL CABS"/>
        <s v="AGINCOURT HOTEL"/>
        <s v="RIVERSDALE PUB CO NO"/>
        <s v="SONY AUSTRALIA"/>
        <s v="YULIA ANGESTI &amp; MICH"/>
        <s v="NORTON PLAZA"/>
        <s v="YOUI - PREMIUM SIPPY DOWNS"/>
        <s v="Sando Bar"/>
        <s v="NEW MILLENNIUM 2 PTY L"/>
        <s v="GRILLD LEICHHARDT LEICHHARDT"/>
        <s v="OUTPUT INC"/>
        <s v="NEXTRA NORTON PLAZA"/>
        <s v="present"/>
        <s v="FOSAUX PTY LTD SURRY HILLS"/>
        <s v="OXFORD TAVERN"/>
        <s v="Redfern Surf Club"/>
        <s v="DELISH TRAN CAFE"/>
        <s v="APPLE STORE"/>
        <s v="JEEVES AU PTY LTD LEICHHARDT"/>
        <s v="MLEKO BAR ESSPRESSO"/>
        <s v="IN T MD FOR THAI S H SURRY HILLS"/>
        <s v="UNI OF SYD UNION"/>
        <s v="UNI OF SYDNEY UNIN"/>
        <s v="The Lansdowne Hotel"/>
        <s v="Frankies Pizza Sydney"/>
        <s v="Spotify"/>
        <s v="CIGNALL PETERSHAM"/>
        <s v="ERSKO PTY LIMITED"/>
        <s v="White Horse Hotel"/>
        <s v="Return -THE-ICONIC-"/>
        <s v="ERCIYES TURKISH R PL"/>
        <s v="DRI iZotope"/>
        <s v="-THE-ICONIC-*787000000"/>
        <s v="DOS SENORITAS"/>
        <s v="KING ST BREWHOUSE PT"/>
        <s v="BRISTOL ARMS OPERATING"/>
        <s v="BLACK AND BRONZE"/>
        <s v="ROYAL FLYING DOC SES"/>
        <s v="6 MARY STREET"/>
        <s v="RSJG PTY LTD"/>
        <s v="BURDEKIN HOTEL GROUP P"/>
        <s v="LA SUERTE PTY LTD"/>
        <s v="EARLS JUKE JOINT"/>
        <s v="EXPEC PTY LIMITED"/>
        <s v="BAIA THE ITALIAN SYDNEY NS"/>
        <s v="MALONEYS HOTEL"/>
        <s v="LEICHHARDT ESPRES"/>
        <s v="WILSON PARKING AUSTRAL"/>
        <s v="GOSPELMUSICIANS"/>
        <s v="D LISH"/>
        <s v="LITTLE ISTANBUL GREENWAY AC"/>
        <s v="CANBERRA SOUTHERN"/>
        <s v="LADY HAMPSHIRE"/>
        <s v="RETRO A GO GO"/>
        <s v="MEMET  ARSLAN MANLY"/>
        <s v="DEE WHY RSL CLUB LTD DEE WHY"/>
        <s v="Camperdown Cellars"/>
        <s v="BING LEE"/>
        <s v="LINKT TN PAYT"/>
        <s v="KAZROG.COM"/>
        <s v="CARGO BAR"/>
        <s v="Vic On The Park Marrickville"/>
        <s v="CROWN ST GROCER"/>
        <s v="STAR BAR &amp; GRILL BISTR SYDNEY"/>
        <s v="3 Wise Monkeys"/>
        <s v="TGIFriday's Macquarie"/>
        <s v="WCC CONCOURSE CARPARK"/>
        <s v="Account Fee"/>
        <s v="PatchCable (Tasmania)"/>
        <s v="Absorb XHD"/>
        <s v="DREAMTONE" u="1"/>
        <s v="TONG LI SUPERMARKET" u="1"/>
        <s v="Sydney Eye Hospital" u="1"/>
        <s v="VERANDAH BAR" u="1"/>
        <s v="ATO PAYMENT" u="1"/>
        <s v="LS John Belvedere Eate" u="1"/>
        <s v="Tickets*Networking" u="1"/>
        <s v="DRUMMOYNE SAILING CLUB LT" u="1"/>
        <s v="DAVID JONES" u="1"/>
        <s v="STACKSOCIAL" u="1"/>
        <s v="aliexpress" u="1"/>
        <s v="SIEFF S MUSIC WORLD" u="1"/>
        <s v="Sushi Maru" u="1"/>
        <s v="SPANIAN'S KEBABS N" u="1"/>
        <s v="APEX VILLAWOOD" u="1"/>
        <s v="Dyson Demo" u="1"/>
        <s v="YILAN GROUP" u="1"/>
        <s v="Burwood Hotel" u="1"/>
        <s v="PUB POOL PROMOTIONS" u="1"/>
        <s v="WINGHAS - CQ GATEWAY" u="1"/>
        <s v="SHIP INN" u="1"/>
        <s v="WinghausCircularQuay" u="1"/>
        <s v="Baba Ghanouj" u="1"/>
        <s v="LS Waterworks Canteen" u="1"/>
        <s v="WWW.WILLOPARRAMATTA.CO" u="1"/>
        <s v="BELLS HOTEL" u="1"/>
        <s v="MERIVALE ME&amp;U" u="1"/>
        <s v="RENPHO" u="1"/>
        <s v="Ground Floor Estab" u="1"/>
        <s v="EZI*CASH CONVERTERS. PERTH AU AUS Card xx2869 Value Date: 29/04/2024" u="1"/>
        <s v="OFFICEWORKS 0201" u="1"/>
        <s v="OFFICEWORKS 0209" u="1"/>
        <s v="OFFICEWORKS BENTLEIGH EAS" u="1"/>
        <s v="BEFORE YOU* BID" u="1"/>
        <s v="BEFORE YOU" u="1"/>
        <s v="Homayoun Gift" u="1"/>
        <s v="Hydrolink Plumbin" u="1"/>
        <s v="" u="1"/>
        <s v="CHATGPT SUBSCRIPTION" u="1"/>
        <s v="HCFHEALTHANDLIFE" u="1"/>
        <s v="CHISWICK CELLARS CHISWICK" u="1"/>
        <s v="Transfer to CBA A/c NetBank R" u="1"/>
        <s v="geoff electricity" u="1"/>
        <s v="NRMA WEB" u="1"/>
        <s v="we move you australia" u="1"/>
        <s v="Helm Bar &amp; Bistro" u="1"/>
        <s v="PA RYDE ISE SUPERMARK RYDE NS AUS" u="1"/>
        <s v="PA RYDE ISE SUPERMARK RYDE NSW AU" u="1"/>
        <s v="PA RYDE ISE SUPERMARK" u="1"/>
        <s v="2CO.COM" u="1"/>
        <s v="FiverrEU Nicosia CY CYP" u="1"/>
        <s v="Home Loan Help Help to buy home from Dad" u="1"/>
        <s v="rrrtr1" u="1"/>
        <s v="Store DJ Invoice - 889096 - Cables" u="1"/>
        <s v="Store Dj Invoice - 383958 - Roland EV-5 Expression Pedal" u="1"/>
        <s v="BOND CLEANING IN YOUR" u="1"/>
        <s v="ATO" u="1"/>
        <s v="John Dadah" u="1"/>
        <s v="SMP*Copenhagen Ice Cre" u="1"/>
      </sharedItems>
    </cacheField>
    <cacheField name="Parent Category" numFmtId="0">
      <sharedItems count="27">
        <s v="Financial Services"/>
        <s v="Food and Dining"/>
        <s v="Insurance"/>
        <s v="Shopping and Retail"/>
        <s v="Business Services and Equipment"/>
        <s v="Travel: Public"/>
        <s v="Pay"/>
        <s v="Telecommunications"/>
        <s v="Entertainment and Recreation"/>
        <s v="Travel: Car"/>
        <s v="Housing"/>
        <s v="Healthcare"/>
        <s v="Utilities"/>
        <s v="Henry St Apartment"/>
        <s v="Public Service"/>
        <s v="Travel"/>
        <s v="Personal"/>
        <s v="Accomodation"/>
        <s v="Miscellaneous Expenses"/>
        <s v="Occupancy"/>
        <s v="?"/>
        <s v="reg required"/>
        <s v="Telephony" u="1"/>
        <s v="Personal Care" u="1"/>
        <s v="Personal and Professional Services" u="1"/>
        <s v="Music Business" u="1"/>
        <s v="Music Production" u="1"/>
      </sharedItems>
    </cacheField>
    <cacheField name="Sub Category" numFmtId="167">
      <sharedItems count="117">
        <s v="Bank"/>
        <s v="Food and Groceries"/>
        <s v="Insurance: Health"/>
        <s v="Online Shopping"/>
        <s v="Royalties"/>
        <s v="Delivery, Dining, Takeaway"/>
        <s v="Union Membership"/>
        <s v="Subscriptions"/>
        <s v="Transport: Public"/>
        <s v="Pay"/>
        <s v="Music Marketing"/>
        <s v="Internet / Mobile"/>
        <s v="Petrol Station"/>
        <s v="Household"/>
        <s v="Chemist / Pharmacy"/>
        <s v="Attire"/>
        <s v="Doctor"/>
        <s v="Electronics"/>
        <s v="Medicare Benefit"/>
        <s v="Office Supplies"/>
        <s v="Equipment"/>
        <s v="Energy Bill"/>
        <s v="Entertainment"/>
        <s v="Liquor Shop"/>
        <s v="Maintenance"/>
        <s v="Music Production"/>
        <s v="Convenient Store"/>
        <s v="Music for Production / Gigs"/>
        <s v="Appliances"/>
        <s v="Bar / Club / Hotel"/>
        <s v="Computer"/>
        <s v="Tolls"/>
        <s v="Parking"/>
        <s v="Communication "/>
        <s v="Transport: Taxi"/>
        <s v="Grooming"/>
        <s v="Vehicle Maintenance and Insurance"/>
        <s v="Petrol Statio"/>
        <s v="State Government Services"/>
        <s v="Vehicle Operating Costs"/>
        <s v="Holiday"/>
        <s v="Transport: Rideshare"/>
        <s v="ATM"/>
        <s v="Accomodation"/>
        <s v="Chemist / Pharmac"/>
        <s v="Furniture"/>
        <s v="Post Office"/>
        <s v="Plugins"/>
        <s v="Council Fees (Rates, Parking)"/>
        <s v="Health and Wellbeing"/>
        <s v="Due Diligence Expenses"/>
        <s v="Removalists"/>
        <s v="Software App"/>
        <s v="Internet"/>
        <s v="Property Acquisition Costs"/>
        <s v="Interest"/>
        <s v="Flights"/>
        <s v="Roadside Assistance"/>
        <s v="Books"/>
        <s v="Charity"/>
        <s v="Shopping"/>
        <s v="Rent"/>
        <s v="Hi fi"/>
        <s v="?"/>
        <s v="Music Income"/>
        <s v="Camera / Photos"/>
        <s v="Fines"/>
        <s v="Music Subscription"/>
        <s v="Tax"/>
        <s v="People"/>
        <s v="Arys Play"/>
        <s v="Airport (transport)"/>
        <s v="Cryptocurrency"/>
        <s v="Web Services"/>
        <s v="Saving"/>
        <s v="Rental"/>
        <e v="#N/A"/>
        <s v="White goods"/>
        <s v="Exchange"/>
        <s v="Real Estate"/>
        <s v="Gift"/>
        <s v="Gym"/>
        <s v="Education"/>
        <s v="Transport"/>
        <s v="Photography"/>
        <s v="Seafood"/>
        <s v="Insurance"/>
        <s v="Utilities" u="1"/>
        <s v="Internet / Mobile Phone" u="1"/>
        <s v="Mobile Phone" u="1"/>
        <s v="Mandatory Vehicle Maintenance and Insurance" u="1"/>
        <s v="Groceries" u="1"/>
        <s v="Food: Delivery, Dining, Takeaway" u="1"/>
        <s v="Butcher" u="1"/>
        <s v="Music for DJ gigs" u="1"/>
        <s v="Music" u="1"/>
        <s v="Online Transactions" u="1"/>
        <s v="Property Purchase" u="1"/>
        <s v="Gig: Accomodation" u="1"/>
        <s v="Travel" u="1"/>
        <s v="Car" u="1"/>
        <s v="Toll" u="1"/>
        <s v="CTP / Green slip" u="1"/>
        <s v="Adobe" u="1"/>
        <s v="Shopping Centre" u="1"/>
        <s v="JB Hi Fi" u="1"/>
        <s v="Clothing" u="1"/>
        <s v="House: Rental" u="1"/>
        <s v="House" u="1"/>
        <s v="Accommodation" u="1"/>
        <s v="IOU" u="1"/>
        <s v="Farewell Gift" u="1"/>
        <s v="Clinton Farewell" u="1"/>
        <s v="Ice Cream" u="1"/>
        <s v="Transport: Bus" u="1"/>
        <s v="Ice Cream Shop" u="1"/>
        <s v="Food" u="1"/>
      </sharedItems>
    </cacheField>
    <cacheField name="Day" numFmtId="172">
      <sharedItems containsSemiMixedTypes="0" containsNonDate="0" containsDate="1" containsString="0" minDate="1899-12-31T00:00:00" maxDate="1900-01-31T00:00:00"/>
    </cacheField>
    <cacheField name="Week" numFmtId="167">
      <sharedItems containsSemiMixedTypes="0" containsString="0" containsNumber="1" containsInteger="1" minValue="1" maxValue="53"/>
    </cacheField>
    <cacheField name="Month" numFmtId="167">
      <sharedItems containsSemiMixedTypes="0" containsString="0" containsNumber="1" containsInteger="1" minValue="1" maxValue="12" count="12">
        <n v="2"/>
        <n v="1"/>
        <n v="12"/>
        <n v="11"/>
        <n v="10"/>
        <n v="9"/>
        <n v="8"/>
        <n v="7"/>
        <n v="6"/>
        <n v="5"/>
        <n v="4"/>
        <n v="3"/>
      </sharedItems>
    </cacheField>
    <cacheField name="Year" numFmtId="167">
      <sharedItems containsSemiMixedTypes="0" containsString="0" containsNumber="1" containsInteger="1" minValue="2010" maxValue="2025" count="12">
        <n v="2025"/>
        <n v="2024"/>
        <n v="2023"/>
        <n v="2022"/>
        <n v="2021"/>
        <n v="2020"/>
        <n v="2019"/>
        <n v="2018"/>
        <n v="2017"/>
        <n v="2016"/>
        <n v="2015"/>
        <n v="2010"/>
      </sharedItems>
    </cacheField>
  </cacheFields>
  <extLst>
    <ext xmlns:x14="http://schemas.microsoft.com/office/spreadsheetml/2009/9/main" uri="{725AE2AE-9491-48be-B2B4-4EB974FC3084}">
      <x14:pivotCacheDefinition pivotCacheId="2087187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6">
  <r>
    <x v="0"/>
    <n v="-378.32"/>
    <x v="0"/>
    <n v="3669.33"/>
    <s v="Complete Access"/>
    <x v="0"/>
    <x v="0"/>
    <x v="0"/>
    <d v="1900-01-20T00:00:00"/>
    <n v="8"/>
    <x v="0"/>
    <x v="0"/>
  </r>
  <r>
    <x v="0"/>
    <n v="-42.2"/>
    <x v="1"/>
    <n v="4047.65"/>
    <s v="Complete Access"/>
    <x v="1"/>
    <x v="1"/>
    <x v="1"/>
    <d v="1900-01-20T00:00:00"/>
    <n v="8"/>
    <x v="0"/>
    <x v="0"/>
  </r>
  <r>
    <x v="0"/>
    <n v="-8.6300000000000008"/>
    <x v="2"/>
    <n v="4089.85"/>
    <s v="Complete Access"/>
    <x v="2"/>
    <x v="1"/>
    <x v="1"/>
    <d v="1900-01-20T00:00:00"/>
    <n v="8"/>
    <x v="0"/>
    <x v="0"/>
  </r>
  <r>
    <x v="0"/>
    <n v="-138.87"/>
    <x v="3"/>
    <n v="4098.4799999999996"/>
    <s v="Complete Access"/>
    <x v="3"/>
    <x v="2"/>
    <x v="2"/>
    <d v="1900-01-20T00:00:00"/>
    <n v="8"/>
    <x v="0"/>
    <x v="0"/>
  </r>
  <r>
    <x v="0"/>
    <n v="-21.23"/>
    <x v="4"/>
    <n v="4237.3500000000004"/>
    <s v="Complete Access"/>
    <x v="4"/>
    <x v="1"/>
    <x v="1"/>
    <d v="1900-01-20T00:00:00"/>
    <n v="8"/>
    <x v="0"/>
    <x v="0"/>
  </r>
  <r>
    <x v="0"/>
    <n v="756.64"/>
    <x v="5"/>
    <n v="4258.58"/>
    <s v="Complete Access"/>
    <x v="5"/>
    <x v="3"/>
    <x v="3"/>
    <d v="1900-01-20T00:00:00"/>
    <n v="8"/>
    <x v="0"/>
    <x v="0"/>
  </r>
  <r>
    <x v="1"/>
    <n v="1.32"/>
    <x v="6"/>
    <n v="3501.94"/>
    <s v="Complete Access"/>
    <x v="6"/>
    <x v="4"/>
    <x v="4"/>
    <d v="1900-01-19T00:00:00"/>
    <n v="8"/>
    <x v="0"/>
    <x v="0"/>
  </r>
  <r>
    <x v="2"/>
    <n v="-6.5"/>
    <x v="7"/>
    <n v="3500.62"/>
    <s v="Complete Access"/>
    <x v="1"/>
    <x v="1"/>
    <x v="1"/>
    <d v="1900-01-17T00:00:00"/>
    <n v="8"/>
    <x v="0"/>
    <x v="0"/>
  </r>
  <r>
    <x v="2"/>
    <n v="-16"/>
    <x v="8"/>
    <n v="3507.12"/>
    <s v="Complete Access"/>
    <x v="7"/>
    <x v="1"/>
    <x v="5"/>
    <d v="1900-01-17T00:00:00"/>
    <n v="8"/>
    <x v="0"/>
    <x v="0"/>
  </r>
  <r>
    <x v="3"/>
    <n v="-50"/>
    <x v="9"/>
    <n v="3523.12"/>
    <s v="Complete Access"/>
    <x v="0"/>
    <x v="0"/>
    <x v="0"/>
    <d v="1900-01-16T00:00:00"/>
    <n v="8"/>
    <x v="0"/>
    <x v="0"/>
  </r>
  <r>
    <x v="4"/>
    <n v="-74.989999999999995"/>
    <x v="10"/>
    <n v="3573.12"/>
    <s v="Complete Access"/>
    <x v="8"/>
    <x v="1"/>
    <x v="5"/>
    <d v="1900-01-13T00:00:00"/>
    <n v="7"/>
    <x v="0"/>
    <x v="0"/>
  </r>
  <r>
    <x v="5"/>
    <n v="-37.35"/>
    <x v="11"/>
    <n v="3648.11"/>
    <s v="Complete Access"/>
    <x v="9"/>
    <x v="4"/>
    <x v="6"/>
    <d v="1900-01-12T00:00:00"/>
    <n v="7"/>
    <x v="0"/>
    <x v="0"/>
  </r>
  <r>
    <x v="5"/>
    <n v="-1.24"/>
    <x v="12"/>
    <n v="3685.46"/>
    <s v="Complete Access"/>
    <x v="10"/>
    <x v="0"/>
    <x v="0"/>
    <d v="1900-01-12T00:00:00"/>
    <n v="7"/>
    <x v="0"/>
    <x v="0"/>
  </r>
  <r>
    <x v="5"/>
    <n v="-35.32"/>
    <x v="13"/>
    <n v="3686.7"/>
    <s v="Complete Access"/>
    <x v="11"/>
    <x v="4"/>
    <x v="7"/>
    <d v="1900-01-12T00:00:00"/>
    <n v="7"/>
    <x v="0"/>
    <x v="0"/>
  </r>
  <r>
    <x v="5"/>
    <n v="-40"/>
    <x v="14"/>
    <n v="3722.02"/>
    <s v="Complete Access"/>
    <x v="12"/>
    <x v="5"/>
    <x v="8"/>
    <d v="1900-01-12T00:00:00"/>
    <n v="7"/>
    <x v="0"/>
    <x v="0"/>
  </r>
  <r>
    <x v="5"/>
    <n v="-1408.62"/>
    <x v="15"/>
    <n v="3762.02"/>
    <s v="Complete Access"/>
    <x v="13"/>
    <x v="0"/>
    <x v="0"/>
    <d v="1900-01-12T00:00:00"/>
    <n v="7"/>
    <x v="0"/>
    <x v="0"/>
  </r>
  <r>
    <x v="5"/>
    <n v="2865.27"/>
    <x v="16"/>
    <n v="5170.6400000000003"/>
    <s v="Complete Access"/>
    <x v="14"/>
    <x v="6"/>
    <x v="9"/>
    <d v="1900-01-12T00:00:00"/>
    <n v="7"/>
    <x v="0"/>
    <x v="0"/>
  </r>
  <r>
    <x v="6"/>
    <n v="-6.99"/>
    <x v="17"/>
    <n v="2305.37"/>
    <s v="Complete Access"/>
    <x v="15"/>
    <x v="4"/>
    <x v="10"/>
    <d v="1900-01-11T00:00:00"/>
    <n v="7"/>
    <x v="0"/>
    <x v="0"/>
  </r>
  <r>
    <x v="7"/>
    <n v="-14.73"/>
    <x v="18"/>
    <n v="2312.36"/>
    <s v="Complete Access"/>
    <x v="16"/>
    <x v="1"/>
    <x v="5"/>
    <d v="1900-01-10T00:00:00"/>
    <n v="7"/>
    <x v="0"/>
    <x v="0"/>
  </r>
  <r>
    <x v="7"/>
    <n v="-29.16"/>
    <x v="19"/>
    <n v="2327.09"/>
    <s v="Complete Access"/>
    <x v="1"/>
    <x v="1"/>
    <x v="1"/>
    <d v="1900-01-10T00:00:00"/>
    <n v="7"/>
    <x v="0"/>
    <x v="0"/>
  </r>
  <r>
    <x v="7"/>
    <n v="-10.42"/>
    <x v="20"/>
    <n v="2356.25"/>
    <s v="Complete Access"/>
    <x v="4"/>
    <x v="1"/>
    <x v="1"/>
    <d v="1900-01-10T00:00:00"/>
    <n v="7"/>
    <x v="0"/>
    <x v="0"/>
  </r>
  <r>
    <x v="7"/>
    <n v="-89"/>
    <x v="21"/>
    <n v="2366.67"/>
    <s v="Complete Access"/>
    <x v="17"/>
    <x v="7"/>
    <x v="11"/>
    <d v="1900-01-10T00:00:00"/>
    <n v="7"/>
    <x v="0"/>
    <x v="0"/>
  </r>
  <r>
    <x v="8"/>
    <n v="-90"/>
    <x v="22"/>
    <n v="2455.67"/>
    <s v="Complete Access"/>
    <x v="0"/>
    <x v="0"/>
    <x v="0"/>
    <d v="1900-01-05T00:00:00"/>
    <n v="6"/>
    <x v="0"/>
    <x v="0"/>
  </r>
  <r>
    <x v="8"/>
    <n v="24.63"/>
    <x v="23"/>
    <n v="2545.67"/>
    <s v="Complete Access"/>
    <x v="18"/>
    <x v="8"/>
    <x v="7"/>
    <d v="1900-01-05T00:00:00"/>
    <n v="6"/>
    <x v="0"/>
    <x v="0"/>
  </r>
  <r>
    <x v="9"/>
    <n v="-0.85"/>
    <x v="24"/>
    <n v="2521.04"/>
    <s v="Complete Access"/>
    <x v="10"/>
    <x v="0"/>
    <x v="0"/>
    <d v="1900-01-04T00:00:00"/>
    <n v="6"/>
    <x v="0"/>
    <x v="0"/>
  </r>
  <r>
    <x v="9"/>
    <n v="-24.19"/>
    <x v="25"/>
    <n v="2521.89"/>
    <s v="Complete Access"/>
    <x v="18"/>
    <x v="8"/>
    <x v="7"/>
    <d v="1900-01-04T00:00:00"/>
    <n v="6"/>
    <x v="0"/>
    <x v="0"/>
  </r>
  <r>
    <x v="10"/>
    <n v="-5.99"/>
    <x v="26"/>
    <n v="2546.08"/>
    <s v="Complete Access"/>
    <x v="19"/>
    <x v="3"/>
    <x v="3"/>
    <d v="1900-01-03T00:00:00"/>
    <n v="6"/>
    <x v="0"/>
    <x v="0"/>
  </r>
  <r>
    <x v="10"/>
    <n v="-15.35"/>
    <x v="27"/>
    <n v="2552.0700000000002"/>
    <s v="Complete Access"/>
    <x v="19"/>
    <x v="3"/>
    <x v="3"/>
    <d v="1900-01-03T00:00:00"/>
    <n v="6"/>
    <x v="0"/>
    <x v="0"/>
  </r>
  <r>
    <x v="11"/>
    <n v="-4.4000000000000004"/>
    <x v="10"/>
    <n v="2567.42"/>
    <s v="Complete Access"/>
    <x v="8"/>
    <x v="1"/>
    <x v="5"/>
    <d v="1900-01-01T00:00:00"/>
    <n v="6"/>
    <x v="0"/>
    <x v="0"/>
  </r>
  <r>
    <x v="12"/>
    <n v="-6.99"/>
    <x v="28"/>
    <n v="2571.8200000000002"/>
    <s v="Complete Access"/>
    <x v="20"/>
    <x v="9"/>
    <x v="12"/>
    <d v="1899-12-31T00:00:00"/>
    <n v="5"/>
    <x v="0"/>
    <x v="0"/>
  </r>
  <r>
    <x v="12"/>
    <n v="-41.77"/>
    <x v="10"/>
    <n v="2578.81"/>
    <s v="Complete Access"/>
    <x v="8"/>
    <x v="1"/>
    <x v="5"/>
    <d v="1899-12-31T00:00:00"/>
    <n v="5"/>
    <x v="0"/>
    <x v="0"/>
  </r>
  <r>
    <x v="12"/>
    <n v="-50.03"/>
    <x v="28"/>
    <n v="2620.58"/>
    <s v="Complete Access"/>
    <x v="20"/>
    <x v="9"/>
    <x v="12"/>
    <d v="1899-12-31T00:00:00"/>
    <n v="5"/>
    <x v="0"/>
    <x v="0"/>
  </r>
  <r>
    <x v="13"/>
    <n v="-37.35"/>
    <x v="11"/>
    <n v="2670.61"/>
    <s v="Complete Access"/>
    <x v="9"/>
    <x v="4"/>
    <x v="6"/>
    <d v="1900-01-29T00:00:00"/>
    <n v="5"/>
    <x v="1"/>
    <x v="0"/>
  </r>
  <r>
    <x v="13"/>
    <n v="-1408.62"/>
    <x v="15"/>
    <n v="2707.96"/>
    <s v="Complete Access"/>
    <x v="13"/>
    <x v="0"/>
    <x v="0"/>
    <d v="1900-01-29T00:00:00"/>
    <n v="5"/>
    <x v="1"/>
    <x v="0"/>
  </r>
  <r>
    <x v="13"/>
    <n v="2865.27"/>
    <x v="29"/>
    <n v="4116.58"/>
    <s v="Complete Access"/>
    <x v="14"/>
    <x v="6"/>
    <x v="9"/>
    <d v="1900-01-29T00:00:00"/>
    <n v="5"/>
    <x v="1"/>
    <x v="0"/>
  </r>
  <r>
    <x v="14"/>
    <n v="-79.569999999999993"/>
    <x v="30"/>
    <n v="1251.31"/>
    <s v="Complete Access"/>
    <x v="21"/>
    <x v="10"/>
    <x v="13"/>
    <d v="1900-01-28T00:00:00"/>
    <n v="5"/>
    <x v="1"/>
    <x v="0"/>
  </r>
  <r>
    <x v="14"/>
    <n v="-40.64"/>
    <x v="31"/>
    <n v="1330.88"/>
    <s v="Complete Access"/>
    <x v="5"/>
    <x v="3"/>
    <x v="3"/>
    <d v="1900-01-28T00:00:00"/>
    <n v="5"/>
    <x v="1"/>
    <x v="0"/>
  </r>
  <r>
    <x v="14"/>
    <n v="-20.64"/>
    <x v="32"/>
    <n v="1371.52"/>
    <s v="Complete Access"/>
    <x v="4"/>
    <x v="1"/>
    <x v="1"/>
    <d v="1900-01-28T00:00:00"/>
    <n v="5"/>
    <x v="1"/>
    <x v="0"/>
  </r>
  <r>
    <x v="15"/>
    <n v="-16"/>
    <x v="8"/>
    <n v="1392.16"/>
    <s v="Complete Access"/>
    <x v="7"/>
    <x v="1"/>
    <x v="5"/>
    <d v="1900-01-27T00:00:00"/>
    <n v="5"/>
    <x v="1"/>
    <x v="0"/>
  </r>
  <r>
    <x v="16"/>
    <n v="-14"/>
    <x v="33"/>
    <n v="1408.16"/>
    <s v="Complete Access"/>
    <x v="1"/>
    <x v="1"/>
    <x v="1"/>
    <d v="1900-01-25T00:00:00"/>
    <n v="5"/>
    <x v="1"/>
    <x v="0"/>
  </r>
  <r>
    <x v="16"/>
    <n v="-24.97"/>
    <x v="34"/>
    <n v="1422.16"/>
    <s v="Complete Access"/>
    <x v="22"/>
    <x v="11"/>
    <x v="14"/>
    <d v="1900-01-25T00:00:00"/>
    <n v="5"/>
    <x v="1"/>
    <x v="0"/>
  </r>
  <r>
    <x v="16"/>
    <n v="-50.5"/>
    <x v="35"/>
    <n v="1447.13"/>
    <s v="Complete Access"/>
    <x v="23"/>
    <x v="3"/>
    <x v="15"/>
    <d v="1900-01-25T00:00:00"/>
    <n v="5"/>
    <x v="1"/>
    <x v="0"/>
  </r>
  <r>
    <x v="17"/>
    <n v="-31"/>
    <x v="36"/>
    <n v="1497.63"/>
    <s v="Complete Access"/>
    <x v="17"/>
    <x v="7"/>
    <x v="11"/>
    <d v="1900-01-23T00:00:00"/>
    <n v="4"/>
    <x v="1"/>
    <x v="0"/>
  </r>
  <r>
    <x v="18"/>
    <n v="-138.87"/>
    <x v="37"/>
    <n v="1528.63"/>
    <s v="Complete Access"/>
    <x v="3"/>
    <x v="2"/>
    <x v="2"/>
    <d v="1900-01-22T00:00:00"/>
    <n v="4"/>
    <x v="1"/>
    <x v="0"/>
  </r>
  <r>
    <x v="19"/>
    <n v="-88"/>
    <x v="22"/>
    <n v="1667.5"/>
    <s v="Complete Access"/>
    <x v="0"/>
    <x v="0"/>
    <x v="0"/>
    <d v="1900-01-20T00:00:00"/>
    <n v="4"/>
    <x v="1"/>
    <x v="0"/>
  </r>
  <r>
    <x v="19"/>
    <n v="-7"/>
    <x v="7"/>
    <n v="1755.5"/>
    <s v="Complete Access"/>
    <x v="1"/>
    <x v="1"/>
    <x v="1"/>
    <d v="1900-01-20T00:00:00"/>
    <n v="4"/>
    <x v="1"/>
    <x v="0"/>
  </r>
  <r>
    <x v="19"/>
    <n v="-75"/>
    <x v="38"/>
    <n v="1762.5"/>
    <s v="Complete Access"/>
    <x v="24"/>
    <x v="11"/>
    <x v="16"/>
    <d v="1900-01-20T00:00:00"/>
    <n v="4"/>
    <x v="1"/>
    <x v="0"/>
  </r>
  <r>
    <x v="19"/>
    <n v="-827"/>
    <x v="39"/>
    <n v="1837.5"/>
    <s v="Complete Access"/>
    <x v="25"/>
    <x v="3"/>
    <x v="17"/>
    <d v="1900-01-20T00:00:00"/>
    <n v="4"/>
    <x v="1"/>
    <x v="0"/>
  </r>
  <r>
    <x v="19"/>
    <n v="-39.47"/>
    <x v="40"/>
    <n v="2664.5"/>
    <s v="Complete Access"/>
    <x v="1"/>
    <x v="1"/>
    <x v="1"/>
    <d v="1900-01-20T00:00:00"/>
    <n v="4"/>
    <x v="1"/>
    <x v="0"/>
  </r>
  <r>
    <x v="20"/>
    <n v="42.85"/>
    <x v="41"/>
    <n v="2703.97"/>
    <s v="Complete Access"/>
    <x v="26"/>
    <x v="11"/>
    <x v="18"/>
    <d v="1900-01-19T00:00:00"/>
    <n v="4"/>
    <x v="1"/>
    <x v="0"/>
  </r>
  <r>
    <x v="21"/>
    <n v="-21.33"/>
    <x v="7"/>
    <n v="2661.12"/>
    <s v="Complete Access"/>
    <x v="1"/>
    <x v="1"/>
    <x v="1"/>
    <d v="1900-01-18T00:00:00"/>
    <n v="4"/>
    <x v="1"/>
    <x v="0"/>
  </r>
  <r>
    <x v="22"/>
    <n v="-17.04"/>
    <x v="42"/>
    <n v="2682.45"/>
    <s v="Complete Access"/>
    <x v="27"/>
    <x v="1"/>
    <x v="5"/>
    <d v="1900-01-17T00:00:00"/>
    <n v="3"/>
    <x v="1"/>
    <x v="0"/>
  </r>
  <r>
    <x v="22"/>
    <n v="-18"/>
    <x v="43"/>
    <n v="2699.49"/>
    <s v="Complete Access"/>
    <x v="28"/>
    <x v="1"/>
    <x v="5"/>
    <d v="1900-01-17T00:00:00"/>
    <n v="3"/>
    <x v="1"/>
    <x v="0"/>
  </r>
  <r>
    <x v="23"/>
    <n v="-29"/>
    <x v="44"/>
    <n v="2717.49"/>
    <s v="Complete Access"/>
    <x v="29"/>
    <x v="4"/>
    <x v="19"/>
    <d v="1900-01-16T00:00:00"/>
    <n v="3"/>
    <x v="1"/>
    <x v="0"/>
  </r>
  <r>
    <x v="23"/>
    <n v="29"/>
    <x v="45"/>
    <n v="2746.49"/>
    <s v="Complete Access"/>
    <x v="29"/>
    <x v="4"/>
    <x v="19"/>
    <d v="1900-01-16T00:00:00"/>
    <n v="3"/>
    <x v="1"/>
    <x v="0"/>
  </r>
  <r>
    <x v="24"/>
    <n v="-40"/>
    <x v="46"/>
    <n v="2717.49"/>
    <s v="Complete Access"/>
    <x v="12"/>
    <x v="5"/>
    <x v="8"/>
    <d v="1900-01-15T00:00:00"/>
    <n v="3"/>
    <x v="1"/>
    <x v="0"/>
  </r>
  <r>
    <x v="24"/>
    <n v="-1408.62"/>
    <x v="15"/>
    <n v="2757.49"/>
    <s v="Complete Access"/>
    <x v="13"/>
    <x v="0"/>
    <x v="0"/>
    <d v="1900-01-15T00:00:00"/>
    <n v="3"/>
    <x v="1"/>
    <x v="0"/>
  </r>
  <r>
    <x v="24"/>
    <n v="2865.27"/>
    <x v="47"/>
    <n v="4166.1099999999997"/>
    <s v="Complete Access"/>
    <x v="14"/>
    <x v="6"/>
    <x v="9"/>
    <d v="1900-01-15T00:00:00"/>
    <n v="3"/>
    <x v="1"/>
    <x v="0"/>
  </r>
  <r>
    <x v="25"/>
    <n v="60.35"/>
    <x v="6"/>
    <n v="1300.8399999999999"/>
    <s v="Complete Access"/>
    <x v="6"/>
    <x v="4"/>
    <x v="4"/>
    <d v="1900-01-13T00:00:00"/>
    <n v="3"/>
    <x v="1"/>
    <x v="0"/>
  </r>
  <r>
    <x v="25"/>
    <n v="-16"/>
    <x v="8"/>
    <n v="1240.49"/>
    <s v="Complete Access"/>
    <x v="7"/>
    <x v="1"/>
    <x v="5"/>
    <d v="1900-01-13T00:00:00"/>
    <n v="3"/>
    <x v="1"/>
    <x v="0"/>
  </r>
  <r>
    <x v="25"/>
    <n v="-89"/>
    <x v="48"/>
    <n v="1256.49"/>
    <s v="Complete Access"/>
    <x v="17"/>
    <x v="7"/>
    <x v="11"/>
    <d v="1900-01-13T00:00:00"/>
    <n v="3"/>
    <x v="1"/>
    <x v="0"/>
  </r>
  <r>
    <x v="25"/>
    <n v="-1.25"/>
    <x v="49"/>
    <n v="1345.49"/>
    <s v="Complete Access"/>
    <x v="10"/>
    <x v="0"/>
    <x v="0"/>
    <d v="1900-01-13T00:00:00"/>
    <n v="3"/>
    <x v="1"/>
    <x v="0"/>
  </r>
  <r>
    <x v="25"/>
    <n v="-35.840000000000003"/>
    <x v="50"/>
    <n v="1346.74"/>
    <s v="Complete Access"/>
    <x v="11"/>
    <x v="4"/>
    <x v="7"/>
    <d v="1900-01-13T00:00:00"/>
    <n v="3"/>
    <x v="1"/>
    <x v="0"/>
  </r>
  <r>
    <x v="26"/>
    <n v="-6.99"/>
    <x v="51"/>
    <n v="1382.58"/>
    <s v="Complete Access"/>
    <x v="15"/>
    <x v="4"/>
    <x v="10"/>
    <d v="1900-01-10T00:00:00"/>
    <n v="2"/>
    <x v="1"/>
    <x v="0"/>
  </r>
  <r>
    <x v="26"/>
    <n v="-2.99"/>
    <x v="52"/>
    <n v="1389.57"/>
    <s v="Complete Access"/>
    <x v="15"/>
    <x v="4"/>
    <x v="10"/>
    <d v="1900-01-10T00:00:00"/>
    <n v="2"/>
    <x v="1"/>
    <x v="0"/>
  </r>
  <r>
    <x v="26"/>
    <n v="-29.95"/>
    <x v="53"/>
    <n v="1392.56"/>
    <s v="Complete Access"/>
    <x v="5"/>
    <x v="3"/>
    <x v="3"/>
    <d v="1900-01-10T00:00:00"/>
    <n v="2"/>
    <x v="1"/>
    <x v="0"/>
  </r>
  <r>
    <x v="27"/>
    <n v="-39.950000000000003"/>
    <x v="54"/>
    <n v="1422.51"/>
    <s v="Complete Access"/>
    <x v="30"/>
    <x v="4"/>
    <x v="20"/>
    <d v="1900-01-09T00:00:00"/>
    <n v="2"/>
    <x v="1"/>
    <x v="0"/>
  </r>
  <r>
    <x v="27"/>
    <n v="-90"/>
    <x v="55"/>
    <n v="1462.46"/>
    <s v="Complete Access"/>
    <x v="13"/>
    <x v="0"/>
    <x v="0"/>
    <d v="1900-01-09T00:00:00"/>
    <n v="2"/>
    <x v="1"/>
    <x v="0"/>
  </r>
  <r>
    <x v="28"/>
    <n v="39.950000000000003"/>
    <x v="56"/>
    <n v="1552.46"/>
    <s v="Complete Access"/>
    <x v="30"/>
    <x v="4"/>
    <x v="20"/>
    <d v="1900-01-08T00:00:00"/>
    <n v="2"/>
    <x v="1"/>
    <x v="0"/>
  </r>
  <r>
    <x v="28"/>
    <n v="-42.38"/>
    <x v="57"/>
    <n v="1512.51"/>
    <s v="Complete Access"/>
    <x v="5"/>
    <x v="3"/>
    <x v="3"/>
    <d v="1900-01-08T00:00:00"/>
    <n v="2"/>
    <x v="1"/>
    <x v="0"/>
  </r>
  <r>
    <x v="29"/>
    <n v="-0.85"/>
    <x v="58"/>
    <n v="1554.89"/>
    <s v="Complete Access"/>
    <x v="10"/>
    <x v="0"/>
    <x v="0"/>
    <d v="1900-01-06T00:00:00"/>
    <n v="2"/>
    <x v="1"/>
    <x v="0"/>
  </r>
  <r>
    <x v="29"/>
    <n v="-24.26"/>
    <x v="59"/>
    <n v="1555.74"/>
    <s v="Complete Access"/>
    <x v="18"/>
    <x v="8"/>
    <x v="7"/>
    <d v="1900-01-06T00:00:00"/>
    <n v="2"/>
    <x v="1"/>
    <x v="0"/>
  </r>
  <r>
    <x v="29"/>
    <n v="-364.17"/>
    <x v="60"/>
    <n v="1580"/>
    <s v="Complete Access"/>
    <x v="31"/>
    <x v="12"/>
    <x v="21"/>
    <d v="1900-01-06T00:00:00"/>
    <n v="2"/>
    <x v="1"/>
    <x v="0"/>
  </r>
  <r>
    <x v="29"/>
    <n v="-83.45"/>
    <x v="61"/>
    <n v="1944.17"/>
    <s v="Complete Access"/>
    <x v="5"/>
    <x v="3"/>
    <x v="3"/>
    <d v="1900-01-06T00:00:00"/>
    <n v="2"/>
    <x v="1"/>
    <x v="0"/>
  </r>
  <r>
    <x v="30"/>
    <n v="-0.95"/>
    <x v="7"/>
    <n v="2027.62"/>
    <s v="Complete Access"/>
    <x v="1"/>
    <x v="1"/>
    <x v="1"/>
    <d v="1900-01-03T00:00:00"/>
    <n v="1"/>
    <x v="1"/>
    <x v="0"/>
  </r>
  <r>
    <x v="30"/>
    <n v="-13.99"/>
    <x v="30"/>
    <n v="2028.57"/>
    <s v="Complete Access"/>
    <x v="21"/>
    <x v="10"/>
    <x v="13"/>
    <d v="1900-01-03T00:00:00"/>
    <n v="1"/>
    <x v="1"/>
    <x v="0"/>
  </r>
  <r>
    <x v="30"/>
    <n v="-14"/>
    <x v="62"/>
    <n v="2042.56"/>
    <s v="Complete Access"/>
    <x v="32"/>
    <x v="8"/>
    <x v="22"/>
    <d v="1900-01-03T00:00:00"/>
    <n v="1"/>
    <x v="1"/>
    <x v="0"/>
  </r>
  <r>
    <x v="30"/>
    <n v="-13.66"/>
    <x v="63"/>
    <n v="2056.56"/>
    <s v="Complete Access"/>
    <x v="33"/>
    <x v="1"/>
    <x v="5"/>
    <d v="1900-01-03T00:00:00"/>
    <n v="1"/>
    <x v="1"/>
    <x v="0"/>
  </r>
  <r>
    <x v="30"/>
    <n v="-39.47"/>
    <x v="63"/>
    <n v="2070.2199999999998"/>
    <s v="Complete Access"/>
    <x v="33"/>
    <x v="1"/>
    <x v="5"/>
    <d v="1900-01-03T00:00:00"/>
    <n v="1"/>
    <x v="1"/>
    <x v="0"/>
  </r>
  <r>
    <x v="31"/>
    <n v="-5"/>
    <x v="64"/>
    <n v="2109.69"/>
    <s v="Complete Access"/>
    <x v="34"/>
    <x v="9"/>
    <x v="12"/>
    <d v="1900-01-02T00:00:00"/>
    <n v="1"/>
    <x v="1"/>
    <x v="0"/>
  </r>
  <r>
    <x v="31"/>
    <n v="-5"/>
    <x v="64"/>
    <n v="2114.69"/>
    <s v="Complete Access"/>
    <x v="34"/>
    <x v="9"/>
    <x v="12"/>
    <d v="1900-01-02T00:00:00"/>
    <n v="1"/>
    <x v="1"/>
    <x v="0"/>
  </r>
  <r>
    <x v="31"/>
    <n v="-105"/>
    <x v="65"/>
    <n v="2119.69"/>
    <s v="Complete Access"/>
    <x v="35"/>
    <x v="1"/>
    <x v="23"/>
    <d v="1900-01-02T00:00:00"/>
    <n v="1"/>
    <x v="1"/>
    <x v="0"/>
  </r>
  <r>
    <x v="31"/>
    <n v="-90"/>
    <x v="55"/>
    <n v="2224.69"/>
    <s v="Complete Access"/>
    <x v="13"/>
    <x v="0"/>
    <x v="0"/>
    <d v="1900-01-02T00:00:00"/>
    <n v="1"/>
    <x v="1"/>
    <x v="0"/>
  </r>
  <r>
    <x v="32"/>
    <n v="-12"/>
    <x v="66"/>
    <n v="2314.69"/>
    <s v="Complete Access"/>
    <x v="0"/>
    <x v="0"/>
    <x v="0"/>
    <d v="1900-01-01T00:00:00"/>
    <n v="1"/>
    <x v="1"/>
    <x v="0"/>
  </r>
  <r>
    <x v="32"/>
    <n v="4.5"/>
    <x v="67"/>
    <n v="2326.69"/>
    <s v="Complete Access"/>
    <x v="36"/>
    <x v="0"/>
    <x v="0"/>
    <d v="1900-01-01T00:00:00"/>
    <n v="1"/>
    <x v="1"/>
    <x v="0"/>
  </r>
  <r>
    <x v="32"/>
    <n v="-20"/>
    <x v="68"/>
    <n v="2322.19"/>
    <s v="Complete Access"/>
    <x v="0"/>
    <x v="0"/>
    <x v="0"/>
    <d v="1900-01-01T00:00:00"/>
    <n v="1"/>
    <x v="1"/>
    <x v="0"/>
  </r>
  <r>
    <x v="32"/>
    <n v="-40"/>
    <x v="68"/>
    <n v="2342.19"/>
    <s v="Complete Access"/>
    <x v="0"/>
    <x v="0"/>
    <x v="0"/>
    <d v="1900-01-01T00:00:00"/>
    <n v="1"/>
    <x v="1"/>
    <x v="0"/>
  </r>
  <r>
    <x v="32"/>
    <n v="-5"/>
    <x v="69"/>
    <n v="2382.19"/>
    <s v="Complete Access"/>
    <x v="0"/>
    <x v="0"/>
    <x v="0"/>
    <d v="1900-01-01T00:00:00"/>
    <n v="1"/>
    <x v="1"/>
    <x v="0"/>
  </r>
  <r>
    <x v="32"/>
    <n v="-1408.62"/>
    <x v="15"/>
    <n v="2387.19"/>
    <s v="Complete Access"/>
    <x v="13"/>
    <x v="0"/>
    <x v="0"/>
    <d v="1900-01-01T00:00:00"/>
    <n v="1"/>
    <x v="1"/>
    <x v="0"/>
  </r>
  <r>
    <x v="33"/>
    <n v="-33.33"/>
    <x v="70"/>
    <n v="3795.81"/>
    <s v="Complete Access"/>
    <x v="8"/>
    <x v="1"/>
    <x v="5"/>
    <d v="1899-12-31T00:00:00"/>
    <n v="1"/>
    <x v="1"/>
    <x v="0"/>
  </r>
  <r>
    <x v="33"/>
    <n v="2865.27"/>
    <x v="71"/>
    <n v="3829.14"/>
    <s v="Complete Access"/>
    <x v="14"/>
    <x v="6"/>
    <x v="9"/>
    <d v="1899-12-31T00:00:00"/>
    <n v="1"/>
    <x v="1"/>
    <x v="0"/>
  </r>
  <r>
    <x v="34"/>
    <n v="-3"/>
    <x v="72"/>
    <n v="963.87"/>
    <s v="Complete Access"/>
    <x v="37"/>
    <x v="0"/>
    <x v="0"/>
    <d v="1900-01-30T00:00:00"/>
    <n v="53"/>
    <x v="2"/>
    <x v="1"/>
  </r>
  <r>
    <x v="34"/>
    <n v="-300"/>
    <x v="73"/>
    <n v="966.87"/>
    <s v="Complete Access"/>
    <x v="1"/>
    <x v="1"/>
    <x v="1"/>
    <d v="1900-01-30T00:00:00"/>
    <n v="53"/>
    <x v="2"/>
    <x v="1"/>
  </r>
  <r>
    <x v="34"/>
    <n v="-9"/>
    <x v="33"/>
    <n v="1266.8699999999999"/>
    <s v="Complete Access"/>
    <x v="1"/>
    <x v="1"/>
    <x v="1"/>
    <d v="1900-01-30T00:00:00"/>
    <n v="53"/>
    <x v="2"/>
    <x v="1"/>
  </r>
  <r>
    <x v="34"/>
    <n v="-32.159999999999997"/>
    <x v="42"/>
    <n v="1275.8699999999999"/>
    <s v="Complete Access"/>
    <x v="27"/>
    <x v="1"/>
    <x v="5"/>
    <d v="1900-01-30T00:00:00"/>
    <n v="53"/>
    <x v="2"/>
    <x v="1"/>
  </r>
  <r>
    <x v="34"/>
    <n v="-14.99"/>
    <x v="74"/>
    <n v="1308.03"/>
    <s v="Complete Access"/>
    <x v="38"/>
    <x v="3"/>
    <x v="15"/>
    <d v="1900-01-30T00:00:00"/>
    <n v="53"/>
    <x v="2"/>
    <x v="1"/>
  </r>
  <r>
    <x v="34"/>
    <n v="-16"/>
    <x v="75"/>
    <n v="1323.02"/>
    <s v="Complete Access"/>
    <x v="34"/>
    <x v="9"/>
    <x v="12"/>
    <d v="1900-01-30T00:00:00"/>
    <n v="53"/>
    <x v="2"/>
    <x v="1"/>
  </r>
  <r>
    <x v="35"/>
    <n v="-5"/>
    <x v="76"/>
    <n v="1339.02"/>
    <s v="Complete Access"/>
    <x v="39"/>
    <x v="1"/>
    <x v="5"/>
    <d v="1900-01-28T00:00:00"/>
    <n v="53"/>
    <x v="2"/>
    <x v="1"/>
  </r>
  <r>
    <x v="35"/>
    <n v="-18.899999999999999"/>
    <x v="76"/>
    <n v="1344.02"/>
    <s v="Complete Access"/>
    <x v="39"/>
    <x v="1"/>
    <x v="5"/>
    <d v="1900-01-28T00:00:00"/>
    <n v="53"/>
    <x v="2"/>
    <x v="1"/>
  </r>
  <r>
    <x v="35"/>
    <n v="-41.56"/>
    <x v="28"/>
    <n v="1362.92"/>
    <s v="Complete Access"/>
    <x v="20"/>
    <x v="9"/>
    <x v="12"/>
    <d v="1900-01-28T00:00:00"/>
    <n v="53"/>
    <x v="2"/>
    <x v="1"/>
  </r>
  <r>
    <x v="36"/>
    <n v="-391.65"/>
    <x v="77"/>
    <n v="1404.48"/>
    <s v="Complete Access"/>
    <x v="40"/>
    <x v="13"/>
    <x v="24"/>
    <d v="1900-01-27T00:00:00"/>
    <n v="52"/>
    <x v="2"/>
    <x v="1"/>
  </r>
  <r>
    <x v="36"/>
    <n v="-40"/>
    <x v="78"/>
    <n v="1796.13"/>
    <s v="Complete Access"/>
    <x v="1"/>
    <x v="1"/>
    <x v="1"/>
    <d v="1900-01-27T00:00:00"/>
    <n v="52"/>
    <x v="2"/>
    <x v="1"/>
  </r>
  <r>
    <x v="36"/>
    <n v="-0.84"/>
    <x v="79"/>
    <n v="1836.13"/>
    <s v="Complete Access"/>
    <x v="10"/>
    <x v="0"/>
    <x v="0"/>
    <d v="1900-01-27T00:00:00"/>
    <n v="52"/>
    <x v="2"/>
    <x v="1"/>
  </r>
  <r>
    <x v="36"/>
    <n v="-24.05"/>
    <x v="80"/>
    <n v="1836.97"/>
    <s v="Complete Access"/>
    <x v="41"/>
    <x v="4"/>
    <x v="25"/>
    <d v="1900-01-27T00:00:00"/>
    <n v="52"/>
    <x v="2"/>
    <x v="1"/>
  </r>
  <r>
    <x v="36"/>
    <n v="-57.36"/>
    <x v="81"/>
    <n v="1861.02"/>
    <s v="Complete Access"/>
    <x v="21"/>
    <x v="10"/>
    <x v="13"/>
    <d v="1900-01-27T00:00:00"/>
    <n v="52"/>
    <x v="2"/>
    <x v="1"/>
  </r>
  <r>
    <x v="37"/>
    <n v="-90"/>
    <x v="55"/>
    <n v="1918.38"/>
    <s v="Complete Access"/>
    <x v="13"/>
    <x v="0"/>
    <x v="0"/>
    <d v="1900-01-26T00:00:00"/>
    <n v="52"/>
    <x v="2"/>
    <x v="1"/>
  </r>
  <r>
    <x v="38"/>
    <n v="-12"/>
    <x v="82"/>
    <n v="2008.38"/>
    <s v="Complete Access"/>
    <x v="42"/>
    <x v="8"/>
    <x v="22"/>
    <d v="1900-01-25T00:00:00"/>
    <n v="52"/>
    <x v="2"/>
    <x v="1"/>
  </r>
  <r>
    <x v="39"/>
    <n v="-3"/>
    <x v="72"/>
    <n v="2020.38"/>
    <s v="Complete Access"/>
    <x v="37"/>
    <x v="0"/>
    <x v="0"/>
    <d v="1900-01-24T00:00:00"/>
    <n v="52"/>
    <x v="2"/>
    <x v="1"/>
  </r>
  <r>
    <x v="39"/>
    <n v="-100"/>
    <x v="73"/>
    <n v="2023.38"/>
    <s v="Complete Access"/>
    <x v="1"/>
    <x v="1"/>
    <x v="1"/>
    <d v="1900-01-24T00:00:00"/>
    <n v="52"/>
    <x v="2"/>
    <x v="1"/>
  </r>
  <r>
    <x v="39"/>
    <n v="-31"/>
    <x v="83"/>
    <n v="2123.38"/>
    <s v="Complete Access"/>
    <x v="17"/>
    <x v="7"/>
    <x v="11"/>
    <d v="1900-01-24T00:00:00"/>
    <n v="52"/>
    <x v="2"/>
    <x v="1"/>
  </r>
  <r>
    <x v="39"/>
    <n v="200"/>
    <x v="84"/>
    <n v="2154.38"/>
    <s v="Complete Access"/>
    <x v="36"/>
    <x v="0"/>
    <x v="0"/>
    <d v="1900-01-24T00:00:00"/>
    <n v="52"/>
    <x v="2"/>
    <x v="1"/>
  </r>
  <r>
    <x v="40"/>
    <n v="-148"/>
    <x v="85"/>
    <n v="1954.38"/>
    <s v="Complete Access"/>
    <x v="35"/>
    <x v="1"/>
    <x v="23"/>
    <d v="1900-01-23T00:00:00"/>
    <n v="52"/>
    <x v="2"/>
    <x v="1"/>
  </r>
  <r>
    <x v="41"/>
    <n v="-7.78"/>
    <x v="30"/>
    <n v="2102.38"/>
    <s v="Complete Access"/>
    <x v="21"/>
    <x v="10"/>
    <x v="13"/>
    <d v="1900-01-20T00:00:00"/>
    <n v="51"/>
    <x v="2"/>
    <x v="1"/>
  </r>
  <r>
    <x v="41"/>
    <n v="-4.04"/>
    <x v="86"/>
    <n v="2110.16"/>
    <s v="Complete Access"/>
    <x v="43"/>
    <x v="3"/>
    <x v="26"/>
    <d v="1900-01-20T00:00:00"/>
    <n v="51"/>
    <x v="2"/>
    <x v="1"/>
  </r>
  <r>
    <x v="41"/>
    <n v="-12"/>
    <x v="33"/>
    <n v="2114.1999999999998"/>
    <s v="Complete Access"/>
    <x v="1"/>
    <x v="1"/>
    <x v="1"/>
    <d v="1900-01-20T00:00:00"/>
    <n v="51"/>
    <x v="2"/>
    <x v="1"/>
  </r>
  <r>
    <x v="41"/>
    <n v="-40.19"/>
    <x v="87"/>
    <n v="2126.1999999999998"/>
    <s v="Complete Access"/>
    <x v="20"/>
    <x v="9"/>
    <x v="12"/>
    <d v="1900-01-20T00:00:00"/>
    <n v="51"/>
    <x v="2"/>
    <x v="1"/>
  </r>
  <r>
    <x v="41"/>
    <n v="-3.4"/>
    <x v="88"/>
    <n v="2166.39"/>
    <s v="Complete Access"/>
    <x v="44"/>
    <x v="4"/>
    <x v="27"/>
    <d v="1900-01-20T00:00:00"/>
    <n v="51"/>
    <x v="2"/>
    <x v="1"/>
  </r>
  <r>
    <x v="41"/>
    <n v="-3.4"/>
    <x v="88"/>
    <n v="2169.79"/>
    <s v="Complete Access"/>
    <x v="44"/>
    <x v="4"/>
    <x v="27"/>
    <d v="1900-01-20T00:00:00"/>
    <n v="51"/>
    <x v="2"/>
    <x v="1"/>
  </r>
  <r>
    <x v="41"/>
    <n v="-379"/>
    <x v="89"/>
    <n v="2173.19"/>
    <s v="Complete Access"/>
    <x v="45"/>
    <x v="3"/>
    <x v="28"/>
    <d v="1900-01-20T00:00:00"/>
    <n v="51"/>
    <x v="2"/>
    <x v="1"/>
  </r>
  <r>
    <x v="41"/>
    <n v="-138.87"/>
    <x v="90"/>
    <n v="2552.19"/>
    <s v="Complete Access"/>
    <x v="3"/>
    <x v="2"/>
    <x v="2"/>
    <d v="1900-01-20T00:00:00"/>
    <n v="51"/>
    <x v="2"/>
    <x v="1"/>
  </r>
  <r>
    <x v="42"/>
    <n v="-90"/>
    <x v="55"/>
    <n v="2691.06"/>
    <s v="Complete Access"/>
    <x v="13"/>
    <x v="0"/>
    <x v="0"/>
    <d v="1900-01-19T00:00:00"/>
    <n v="51"/>
    <x v="2"/>
    <x v="1"/>
  </r>
  <r>
    <x v="43"/>
    <n v="-200"/>
    <x v="91"/>
    <n v="2781.06"/>
    <s v="Complete Access"/>
    <x v="0"/>
    <x v="0"/>
    <x v="0"/>
    <d v="1900-01-18T00:00:00"/>
    <n v="51"/>
    <x v="2"/>
    <x v="1"/>
  </r>
  <r>
    <x v="43"/>
    <n v="-1408.62"/>
    <x v="15"/>
    <n v="2981.06"/>
    <s v="Complete Access"/>
    <x v="13"/>
    <x v="0"/>
    <x v="0"/>
    <d v="1900-01-18T00:00:00"/>
    <n v="51"/>
    <x v="2"/>
    <x v="1"/>
  </r>
  <r>
    <x v="43"/>
    <n v="2865.27"/>
    <x v="92"/>
    <n v="4389.68"/>
    <s v="Complete Access"/>
    <x v="14"/>
    <x v="6"/>
    <x v="9"/>
    <d v="1900-01-18T00:00:00"/>
    <n v="51"/>
    <x v="2"/>
    <x v="1"/>
  </r>
  <r>
    <x v="44"/>
    <n v="-35.4"/>
    <x v="93"/>
    <n v="1524.41"/>
    <s v="Complete Access"/>
    <x v="1"/>
    <x v="1"/>
    <x v="1"/>
    <d v="1900-01-16T00:00:00"/>
    <n v="51"/>
    <x v="2"/>
    <x v="1"/>
  </r>
  <r>
    <x v="44"/>
    <n v="-34.94"/>
    <x v="94"/>
    <n v="1559.81"/>
    <s v="Complete Access"/>
    <x v="46"/>
    <x v="1"/>
    <x v="1"/>
    <d v="1900-01-16T00:00:00"/>
    <n v="51"/>
    <x v="2"/>
    <x v="1"/>
  </r>
  <r>
    <x v="45"/>
    <n v="-2.9"/>
    <x v="7"/>
    <n v="1594.75"/>
    <s v="Complete Access"/>
    <x v="1"/>
    <x v="1"/>
    <x v="1"/>
    <d v="1900-01-15T00:00:00"/>
    <n v="51"/>
    <x v="2"/>
    <x v="1"/>
  </r>
  <r>
    <x v="45"/>
    <n v="-180"/>
    <x v="95"/>
    <n v="1597.65"/>
    <s v="Complete Access"/>
    <x v="0"/>
    <x v="0"/>
    <x v="0"/>
    <d v="1900-01-15T00:00:00"/>
    <n v="51"/>
    <x v="2"/>
    <x v="1"/>
  </r>
  <r>
    <x v="46"/>
    <n v="-29"/>
    <x v="96"/>
    <n v="1777.65"/>
    <s v="Complete Access"/>
    <x v="47"/>
    <x v="1"/>
    <x v="5"/>
    <d v="1900-01-14T00:00:00"/>
    <n v="51"/>
    <x v="2"/>
    <x v="1"/>
  </r>
  <r>
    <x v="47"/>
    <n v="-11.17"/>
    <x v="97"/>
    <n v="1806.65"/>
    <s v="Complete Access"/>
    <x v="48"/>
    <x v="8"/>
    <x v="29"/>
    <d v="1900-01-13T00:00:00"/>
    <n v="50"/>
    <x v="2"/>
    <x v="1"/>
  </r>
  <r>
    <x v="47"/>
    <n v="-33.5"/>
    <x v="98"/>
    <n v="1817.82"/>
    <s v="Complete Access"/>
    <x v="48"/>
    <x v="8"/>
    <x v="29"/>
    <d v="1900-01-13T00:00:00"/>
    <n v="50"/>
    <x v="2"/>
    <x v="1"/>
  </r>
  <r>
    <x v="47"/>
    <n v="-33.5"/>
    <x v="98"/>
    <n v="1851.32"/>
    <s v="Complete Access"/>
    <x v="48"/>
    <x v="8"/>
    <x v="29"/>
    <d v="1900-01-13T00:00:00"/>
    <n v="50"/>
    <x v="2"/>
    <x v="1"/>
  </r>
  <r>
    <x v="48"/>
    <n v="-1.21"/>
    <x v="99"/>
    <n v="1884.82"/>
    <s v="Complete Access"/>
    <x v="10"/>
    <x v="0"/>
    <x v="0"/>
    <d v="1900-01-12T00:00:00"/>
    <n v="50"/>
    <x v="2"/>
    <x v="1"/>
  </r>
  <r>
    <x v="48"/>
    <n v="-34.57"/>
    <x v="100"/>
    <n v="1886.03"/>
    <s v="Complete Access"/>
    <x v="11"/>
    <x v="4"/>
    <x v="7"/>
    <d v="1900-01-12T00:00:00"/>
    <n v="50"/>
    <x v="2"/>
    <x v="1"/>
  </r>
  <r>
    <x v="49"/>
    <n v="-40"/>
    <x v="101"/>
    <n v="1920.6"/>
    <s v="Complete Access"/>
    <x v="12"/>
    <x v="5"/>
    <x v="8"/>
    <d v="1900-01-10T00:00:00"/>
    <n v="50"/>
    <x v="2"/>
    <x v="1"/>
  </r>
  <r>
    <x v="50"/>
    <n v="-33.36"/>
    <x v="102"/>
    <n v="1960.6"/>
    <s v="Complete Access"/>
    <x v="49"/>
    <x v="8"/>
    <x v="29"/>
    <d v="1900-01-09T00:00:00"/>
    <n v="50"/>
    <x v="2"/>
    <x v="1"/>
  </r>
  <r>
    <x v="50"/>
    <n v="-89"/>
    <x v="103"/>
    <n v="1993.96"/>
    <s v="Complete Access"/>
    <x v="17"/>
    <x v="7"/>
    <x v="11"/>
    <d v="1900-01-09T00:00:00"/>
    <n v="50"/>
    <x v="2"/>
    <x v="1"/>
  </r>
  <r>
    <x v="51"/>
    <n v="-12.65"/>
    <x v="7"/>
    <n v="2082.96"/>
    <s v="Complete Access"/>
    <x v="1"/>
    <x v="1"/>
    <x v="1"/>
    <d v="1900-01-06T00:00:00"/>
    <n v="49"/>
    <x v="2"/>
    <x v="1"/>
  </r>
  <r>
    <x v="51"/>
    <n v="-62"/>
    <x v="104"/>
    <n v="2095.61"/>
    <s v="Complete Access"/>
    <x v="30"/>
    <x v="4"/>
    <x v="20"/>
    <d v="1900-01-06T00:00:00"/>
    <n v="49"/>
    <x v="2"/>
    <x v="1"/>
  </r>
  <r>
    <x v="52"/>
    <n v="-18"/>
    <x v="7"/>
    <n v="2157.61"/>
    <s v="Complete Access"/>
    <x v="1"/>
    <x v="1"/>
    <x v="1"/>
    <d v="1900-01-04T00:00:00"/>
    <n v="49"/>
    <x v="2"/>
    <x v="1"/>
  </r>
  <r>
    <x v="52"/>
    <n v="-0.81"/>
    <x v="105"/>
    <n v="2175.61"/>
    <s v="Complete Access"/>
    <x v="10"/>
    <x v="0"/>
    <x v="0"/>
    <d v="1900-01-04T00:00:00"/>
    <n v="49"/>
    <x v="2"/>
    <x v="1"/>
  </r>
  <r>
    <x v="52"/>
    <n v="-23.09"/>
    <x v="106"/>
    <n v="2176.42"/>
    <s v="Complete Access"/>
    <x v="18"/>
    <x v="8"/>
    <x v="7"/>
    <d v="1900-01-04T00:00:00"/>
    <n v="49"/>
    <x v="2"/>
    <x v="1"/>
  </r>
  <r>
    <x v="52"/>
    <n v="-28.21"/>
    <x v="107"/>
    <n v="2199.5100000000002"/>
    <s v="Complete Access"/>
    <x v="1"/>
    <x v="1"/>
    <x v="1"/>
    <d v="1900-01-04T00:00:00"/>
    <n v="49"/>
    <x v="2"/>
    <x v="1"/>
  </r>
  <r>
    <x v="52"/>
    <n v="-272.64"/>
    <x v="108"/>
    <n v="2227.7199999999998"/>
    <s v="Complete Access"/>
    <x v="31"/>
    <x v="12"/>
    <x v="21"/>
    <d v="1900-01-04T00:00:00"/>
    <n v="49"/>
    <x v="2"/>
    <x v="1"/>
  </r>
  <r>
    <x v="52"/>
    <n v="-1408.62"/>
    <x v="15"/>
    <n v="2500.36"/>
    <s v="Complete Access"/>
    <x v="13"/>
    <x v="0"/>
    <x v="0"/>
    <d v="1900-01-04T00:00:00"/>
    <n v="49"/>
    <x v="2"/>
    <x v="1"/>
  </r>
  <r>
    <x v="52"/>
    <n v="2865.27"/>
    <x v="109"/>
    <n v="3908.98"/>
    <s v="Complete Access"/>
    <x v="14"/>
    <x v="6"/>
    <x v="9"/>
    <d v="1900-01-04T00:00:00"/>
    <n v="49"/>
    <x v="2"/>
    <x v="1"/>
  </r>
  <r>
    <x v="53"/>
    <n v="185"/>
    <x v="110"/>
    <n v="1043.71"/>
    <s v="Complete Access"/>
    <x v="50"/>
    <x v="4"/>
    <x v="25"/>
    <d v="1900-01-03T00:00:00"/>
    <n v="49"/>
    <x v="2"/>
    <x v="1"/>
  </r>
  <r>
    <x v="54"/>
    <n v="250"/>
    <x v="111"/>
    <n v="858.71"/>
    <s v="Complete Access"/>
    <x v="36"/>
    <x v="0"/>
    <x v="0"/>
    <d v="1900-01-02T00:00:00"/>
    <n v="49"/>
    <x v="2"/>
    <x v="1"/>
  </r>
  <r>
    <x v="54"/>
    <n v="-16.5"/>
    <x v="8"/>
    <n v="608.71"/>
    <s v="Complete Access"/>
    <x v="7"/>
    <x v="1"/>
    <x v="5"/>
    <d v="1900-01-02T00:00:00"/>
    <n v="49"/>
    <x v="2"/>
    <x v="1"/>
  </r>
  <r>
    <x v="55"/>
    <n v="-185"/>
    <x v="112"/>
    <n v="625.21"/>
    <s v="Complete Access"/>
    <x v="50"/>
    <x v="4"/>
    <x v="25"/>
    <d v="1899-12-31T00:00:00"/>
    <n v="49"/>
    <x v="2"/>
    <x v="1"/>
  </r>
  <r>
    <x v="56"/>
    <n v="-90"/>
    <x v="22"/>
    <n v="810.21"/>
    <s v="Complete Access"/>
    <x v="0"/>
    <x v="0"/>
    <x v="0"/>
    <d v="1900-01-29T00:00:00"/>
    <n v="48"/>
    <x v="3"/>
    <x v="1"/>
  </r>
  <r>
    <x v="57"/>
    <n v="-60.74"/>
    <x v="113"/>
    <n v="900.21"/>
    <s v="Complete Access"/>
    <x v="5"/>
    <x v="3"/>
    <x v="3"/>
    <d v="1900-01-27T00:00:00"/>
    <n v="48"/>
    <x v="3"/>
    <x v="1"/>
  </r>
  <r>
    <x v="58"/>
    <n v="-19"/>
    <x v="114"/>
    <n v="960.95"/>
    <s v="Complete Access"/>
    <x v="51"/>
    <x v="4"/>
    <x v="30"/>
    <d v="1900-01-26T00:00:00"/>
    <n v="48"/>
    <x v="3"/>
    <x v="1"/>
  </r>
  <r>
    <x v="59"/>
    <n v="-19"/>
    <x v="33"/>
    <n v="979.95"/>
    <s v="Complete Access"/>
    <x v="1"/>
    <x v="1"/>
    <x v="1"/>
    <d v="1900-01-25T00:00:00"/>
    <n v="48"/>
    <x v="3"/>
    <x v="1"/>
  </r>
  <r>
    <x v="59"/>
    <n v="-13.11"/>
    <x v="18"/>
    <n v="998.95"/>
    <s v="Complete Access"/>
    <x v="16"/>
    <x v="1"/>
    <x v="5"/>
    <d v="1900-01-25T00:00:00"/>
    <n v="48"/>
    <x v="3"/>
    <x v="1"/>
  </r>
  <r>
    <x v="59"/>
    <n v="-31"/>
    <x v="115"/>
    <n v="1012.06"/>
    <s v="Complete Access"/>
    <x v="17"/>
    <x v="7"/>
    <x v="11"/>
    <d v="1900-01-25T00:00:00"/>
    <n v="48"/>
    <x v="3"/>
    <x v="1"/>
  </r>
  <r>
    <x v="59"/>
    <n v="-142"/>
    <x v="116"/>
    <n v="1043.06"/>
    <s v="Complete Access"/>
    <x v="5"/>
    <x v="3"/>
    <x v="3"/>
    <d v="1900-01-25T00:00:00"/>
    <n v="48"/>
    <x v="3"/>
    <x v="1"/>
  </r>
  <r>
    <x v="60"/>
    <n v="-17.010000000000002"/>
    <x v="7"/>
    <n v="1185.06"/>
    <s v="Complete Access"/>
    <x v="1"/>
    <x v="1"/>
    <x v="1"/>
    <d v="1900-01-24T00:00:00"/>
    <n v="48"/>
    <x v="3"/>
    <x v="1"/>
  </r>
  <r>
    <x v="61"/>
    <n v="300"/>
    <x v="117"/>
    <n v="1202.07"/>
    <s v="Complete Access"/>
    <x v="36"/>
    <x v="0"/>
    <x v="0"/>
    <d v="1900-01-23T00:00:00"/>
    <n v="48"/>
    <x v="3"/>
    <x v="1"/>
  </r>
  <r>
    <x v="61"/>
    <n v="0.04"/>
    <x v="118"/>
    <n v="902.07"/>
    <s v="Complete Access"/>
    <x v="8"/>
    <x v="1"/>
    <x v="5"/>
    <d v="1900-01-23T00:00:00"/>
    <n v="48"/>
    <x v="3"/>
    <x v="1"/>
  </r>
  <r>
    <x v="61"/>
    <n v="-47.2"/>
    <x v="119"/>
    <n v="902.03"/>
    <s v="Complete Access"/>
    <x v="8"/>
    <x v="1"/>
    <x v="5"/>
    <d v="1900-01-23T00:00:00"/>
    <n v="48"/>
    <x v="3"/>
    <x v="1"/>
  </r>
  <r>
    <x v="61"/>
    <n v="-15.22"/>
    <x v="120"/>
    <n v="949.23"/>
    <s v="Complete Access"/>
    <x v="52"/>
    <x v="8"/>
    <x v="29"/>
    <d v="1900-01-23T00:00:00"/>
    <n v="48"/>
    <x v="3"/>
    <x v="1"/>
  </r>
  <r>
    <x v="61"/>
    <n v="-14.11"/>
    <x v="120"/>
    <n v="964.45"/>
    <s v="Complete Access"/>
    <x v="52"/>
    <x v="8"/>
    <x v="29"/>
    <d v="1900-01-23T00:00:00"/>
    <n v="48"/>
    <x v="3"/>
    <x v="1"/>
  </r>
  <r>
    <x v="62"/>
    <n v="-38.799999999999997"/>
    <x v="121"/>
    <n v="978.56"/>
    <s v="Complete Access"/>
    <x v="53"/>
    <x v="8"/>
    <x v="29"/>
    <d v="1900-01-22T00:00:00"/>
    <n v="47"/>
    <x v="3"/>
    <x v="1"/>
  </r>
  <r>
    <x v="62"/>
    <n v="-14.85"/>
    <x v="121"/>
    <n v="1017.36"/>
    <s v="Complete Access"/>
    <x v="53"/>
    <x v="8"/>
    <x v="29"/>
    <d v="1900-01-22T00:00:00"/>
    <n v="47"/>
    <x v="3"/>
    <x v="1"/>
  </r>
  <r>
    <x v="62"/>
    <n v="-134"/>
    <x v="122"/>
    <n v="1032.21"/>
    <s v="Complete Access"/>
    <x v="0"/>
    <x v="0"/>
    <x v="0"/>
    <d v="1900-01-22T00:00:00"/>
    <n v="47"/>
    <x v="3"/>
    <x v="1"/>
  </r>
  <r>
    <x v="62"/>
    <n v="-3"/>
    <x v="72"/>
    <n v="1166.21"/>
    <s v="Complete Access"/>
    <x v="37"/>
    <x v="0"/>
    <x v="0"/>
    <d v="1900-01-22T00:00:00"/>
    <n v="47"/>
    <x v="3"/>
    <x v="1"/>
  </r>
  <r>
    <x v="62"/>
    <n v="-600"/>
    <x v="73"/>
    <n v="1169.21"/>
    <s v="Complete Access"/>
    <x v="1"/>
    <x v="1"/>
    <x v="1"/>
    <d v="1900-01-22T00:00:00"/>
    <n v="47"/>
    <x v="3"/>
    <x v="1"/>
  </r>
  <r>
    <x v="63"/>
    <n v="-138.87"/>
    <x v="123"/>
    <n v="1769.21"/>
    <s v="Complete Access"/>
    <x v="3"/>
    <x v="2"/>
    <x v="2"/>
    <d v="1900-01-20T00:00:00"/>
    <n v="47"/>
    <x v="3"/>
    <x v="1"/>
  </r>
  <r>
    <x v="63"/>
    <n v="-40"/>
    <x v="124"/>
    <n v="1908.08"/>
    <s v="Complete Access"/>
    <x v="12"/>
    <x v="5"/>
    <x v="8"/>
    <d v="1900-01-20T00:00:00"/>
    <n v="47"/>
    <x v="3"/>
    <x v="1"/>
  </r>
  <r>
    <x v="63"/>
    <n v="-1408.62"/>
    <x v="15"/>
    <n v="1948.08"/>
    <s v="Complete Access"/>
    <x v="13"/>
    <x v="0"/>
    <x v="0"/>
    <d v="1900-01-20T00:00:00"/>
    <n v="47"/>
    <x v="3"/>
    <x v="1"/>
  </r>
  <r>
    <x v="63"/>
    <n v="2865.28"/>
    <x v="125"/>
    <n v="3356.7"/>
    <s v="Complete Access"/>
    <x v="14"/>
    <x v="6"/>
    <x v="9"/>
    <d v="1900-01-20T00:00:00"/>
    <n v="47"/>
    <x v="3"/>
    <x v="1"/>
  </r>
  <r>
    <x v="64"/>
    <n v="-90"/>
    <x v="22"/>
    <n v="491.42"/>
    <s v="Complete Access"/>
    <x v="0"/>
    <x v="0"/>
    <x v="0"/>
    <d v="1900-01-18T00:00:00"/>
    <n v="47"/>
    <x v="3"/>
    <x v="1"/>
  </r>
  <r>
    <x v="65"/>
    <n v="82.9"/>
    <x v="126"/>
    <n v="581.41999999999996"/>
    <s v="Complete Access"/>
    <x v="26"/>
    <x v="11"/>
    <x v="18"/>
    <d v="1900-01-17T00:00:00"/>
    <n v="47"/>
    <x v="3"/>
    <x v="1"/>
  </r>
  <r>
    <x v="65"/>
    <n v="-107.9"/>
    <x v="127"/>
    <n v="498.52"/>
    <s v="Complete Access"/>
    <x v="54"/>
    <x v="11"/>
    <x v="16"/>
    <d v="1900-01-17T00:00:00"/>
    <n v="47"/>
    <x v="3"/>
    <x v="1"/>
  </r>
  <r>
    <x v="66"/>
    <n v="-5600"/>
    <x v="128"/>
    <n v="606.41999999999996"/>
    <s v="Complete Access"/>
    <x v="0"/>
    <x v="0"/>
    <x v="0"/>
    <d v="1900-01-16T00:00:00"/>
    <n v="47"/>
    <x v="3"/>
    <x v="1"/>
  </r>
  <r>
    <x v="67"/>
    <n v="-29"/>
    <x v="129"/>
    <n v="6206.42"/>
    <s v="Complete Access"/>
    <x v="50"/>
    <x v="4"/>
    <x v="25"/>
    <d v="1900-01-15T00:00:00"/>
    <n v="46"/>
    <x v="3"/>
    <x v="1"/>
  </r>
  <r>
    <x v="67"/>
    <n v="-3.95"/>
    <x v="130"/>
    <n v="6235.42"/>
    <s v="Complete Access"/>
    <x v="1"/>
    <x v="1"/>
    <x v="1"/>
    <d v="1900-01-15T00:00:00"/>
    <n v="46"/>
    <x v="3"/>
    <x v="1"/>
  </r>
  <r>
    <x v="68"/>
    <n v="-1407"/>
    <x v="131"/>
    <n v="6239.37"/>
    <s v="Complete Access"/>
    <x v="55"/>
    <x v="4"/>
    <x v="20"/>
    <d v="1900-01-14T00:00:00"/>
    <n v="46"/>
    <x v="3"/>
    <x v="1"/>
  </r>
  <r>
    <x v="68"/>
    <n v="40"/>
    <x v="132"/>
    <n v="7646.37"/>
    <s v="Complete Access"/>
    <x v="36"/>
    <x v="0"/>
    <x v="0"/>
    <d v="1900-01-14T00:00:00"/>
    <n v="46"/>
    <x v="3"/>
    <x v="1"/>
  </r>
  <r>
    <x v="69"/>
    <n v="7496.1"/>
    <x v="133"/>
    <n v="7606.37"/>
    <s v="Complete Access"/>
    <x v="36"/>
    <x v="0"/>
    <x v="0"/>
    <d v="1900-01-13T00:00:00"/>
    <n v="46"/>
    <x v="3"/>
    <x v="1"/>
  </r>
  <r>
    <x v="69"/>
    <n v="-50.19"/>
    <x v="134"/>
    <n v="110.27"/>
    <s v="Complete Access"/>
    <x v="56"/>
    <x v="9"/>
    <x v="31"/>
    <d v="1900-01-13T00:00:00"/>
    <n v="46"/>
    <x v="3"/>
    <x v="1"/>
  </r>
  <r>
    <x v="70"/>
    <n v="-1.17"/>
    <x v="135"/>
    <n v="160.46"/>
    <s v="Complete Access"/>
    <x v="10"/>
    <x v="0"/>
    <x v="0"/>
    <d v="1900-01-12T00:00:00"/>
    <n v="46"/>
    <x v="3"/>
    <x v="1"/>
  </r>
  <r>
    <x v="70"/>
    <n v="-33.49"/>
    <x v="136"/>
    <n v="161.63"/>
    <s v="Complete Access"/>
    <x v="11"/>
    <x v="4"/>
    <x v="7"/>
    <d v="1900-01-12T00:00:00"/>
    <n v="46"/>
    <x v="3"/>
    <x v="1"/>
  </r>
  <r>
    <x v="71"/>
    <n v="-154.76"/>
    <x v="137"/>
    <n v="195.12"/>
    <s v="Complete Access"/>
    <x v="57"/>
    <x v="4"/>
    <x v="25"/>
    <d v="1900-01-11T00:00:00"/>
    <n v="46"/>
    <x v="3"/>
    <x v="1"/>
  </r>
  <r>
    <x v="71"/>
    <n v="-9.57"/>
    <x v="138"/>
    <n v="349.88"/>
    <s v="Complete Access"/>
    <x v="21"/>
    <x v="10"/>
    <x v="13"/>
    <d v="1900-01-11T00:00:00"/>
    <n v="46"/>
    <x v="3"/>
    <x v="1"/>
  </r>
  <r>
    <x v="72"/>
    <n v="-21.64"/>
    <x v="7"/>
    <n v="359.45"/>
    <s v="Complete Access"/>
    <x v="1"/>
    <x v="1"/>
    <x v="1"/>
    <d v="1900-01-10T00:00:00"/>
    <n v="46"/>
    <x v="3"/>
    <x v="1"/>
  </r>
  <r>
    <x v="72"/>
    <n v="-1000"/>
    <x v="128"/>
    <n v="381.09"/>
    <s v="Complete Access"/>
    <x v="0"/>
    <x v="0"/>
    <x v="0"/>
    <d v="1900-01-10T00:00:00"/>
    <n v="46"/>
    <x v="3"/>
    <x v="1"/>
  </r>
  <r>
    <x v="73"/>
    <n v="68.92"/>
    <x v="139"/>
    <n v="1381.09"/>
    <s v="Complete Access"/>
    <x v="36"/>
    <x v="0"/>
    <x v="0"/>
    <d v="1900-01-09T00:00:00"/>
    <n v="46"/>
    <x v="3"/>
    <x v="1"/>
  </r>
  <r>
    <x v="73"/>
    <n v="47.02"/>
    <x v="140"/>
    <n v="1312.17"/>
    <s v="Complete Access"/>
    <x v="36"/>
    <x v="0"/>
    <x v="0"/>
    <d v="1900-01-09T00:00:00"/>
    <n v="46"/>
    <x v="3"/>
    <x v="1"/>
  </r>
  <r>
    <x v="74"/>
    <n v="-8.1999999999999993"/>
    <x v="141"/>
    <n v="1265.1500000000001"/>
    <s v="Complete Access"/>
    <x v="58"/>
    <x v="8"/>
    <x v="29"/>
    <d v="1900-01-08T00:00:00"/>
    <n v="45"/>
    <x v="3"/>
    <x v="1"/>
  </r>
  <r>
    <x v="74"/>
    <n v="-344.59"/>
    <x v="142"/>
    <n v="1273.3499999999999"/>
    <s v="Complete Access"/>
    <x v="59"/>
    <x v="1"/>
    <x v="5"/>
    <d v="1900-01-08T00:00:00"/>
    <n v="45"/>
    <x v="3"/>
    <x v="1"/>
  </r>
  <r>
    <x v="74"/>
    <n v="-29.95"/>
    <x v="104"/>
    <n v="1617.94"/>
    <s v="Complete Access"/>
    <x v="30"/>
    <x v="4"/>
    <x v="20"/>
    <d v="1900-01-08T00:00:00"/>
    <n v="45"/>
    <x v="3"/>
    <x v="1"/>
  </r>
  <r>
    <x v="74"/>
    <n v="-89"/>
    <x v="143"/>
    <n v="1647.89"/>
    <s v="Complete Access"/>
    <x v="17"/>
    <x v="7"/>
    <x v="11"/>
    <d v="1900-01-08T00:00:00"/>
    <n v="45"/>
    <x v="3"/>
    <x v="1"/>
  </r>
  <r>
    <x v="74"/>
    <n v="-4.5"/>
    <x v="144"/>
    <n v="1736.89"/>
    <s v="Complete Access"/>
    <x v="60"/>
    <x v="14"/>
    <x v="32"/>
    <d v="1900-01-08T00:00:00"/>
    <n v="45"/>
    <x v="3"/>
    <x v="1"/>
  </r>
  <r>
    <x v="75"/>
    <n v="-603"/>
    <x v="131"/>
    <n v="1741.39"/>
    <s v="Complete Access"/>
    <x v="55"/>
    <x v="4"/>
    <x v="20"/>
    <d v="1900-01-07T00:00:00"/>
    <n v="45"/>
    <x v="3"/>
    <x v="1"/>
  </r>
  <r>
    <x v="75"/>
    <n v="-376.2"/>
    <x v="145"/>
    <n v="2344.39"/>
    <s v="Complete Access"/>
    <x v="13"/>
    <x v="0"/>
    <x v="0"/>
    <d v="1900-01-07T00:00:00"/>
    <n v="45"/>
    <x v="3"/>
    <x v="1"/>
  </r>
  <r>
    <x v="76"/>
    <n v="-18.2"/>
    <x v="7"/>
    <n v="2720.59"/>
    <s v="Complete Access"/>
    <x v="1"/>
    <x v="1"/>
    <x v="1"/>
    <d v="1900-01-06T00:00:00"/>
    <n v="45"/>
    <x v="3"/>
    <x v="1"/>
  </r>
  <r>
    <x v="76"/>
    <n v="-165"/>
    <x v="146"/>
    <n v="2738.79"/>
    <s v="Complete Access"/>
    <x v="0"/>
    <x v="0"/>
    <x v="0"/>
    <d v="1900-01-06T00:00:00"/>
    <n v="45"/>
    <x v="3"/>
    <x v="1"/>
  </r>
  <r>
    <x v="76"/>
    <n v="2865.26"/>
    <x v="147"/>
    <n v="2903.79"/>
    <s v="Complete Access"/>
    <x v="14"/>
    <x v="6"/>
    <x v="9"/>
    <d v="1900-01-06T00:00:00"/>
    <n v="45"/>
    <x v="3"/>
    <x v="1"/>
  </r>
  <r>
    <x v="77"/>
    <n v="-6"/>
    <x v="148"/>
    <n v="38.53"/>
    <s v="Complete Access"/>
    <x v="61"/>
    <x v="1"/>
    <x v="1"/>
    <d v="1900-01-04T00:00:00"/>
    <n v="45"/>
    <x v="3"/>
    <x v="1"/>
  </r>
  <r>
    <x v="77"/>
    <n v="-30.23"/>
    <x v="149"/>
    <n v="44.53"/>
    <s v="Complete Access"/>
    <x v="1"/>
    <x v="1"/>
    <x v="1"/>
    <d v="1900-01-04T00:00:00"/>
    <n v="45"/>
    <x v="3"/>
    <x v="1"/>
  </r>
  <r>
    <x v="77"/>
    <n v="-0.8"/>
    <x v="150"/>
    <n v="74.760000000000005"/>
    <s v="Complete Access"/>
    <x v="10"/>
    <x v="0"/>
    <x v="0"/>
    <d v="1900-01-04T00:00:00"/>
    <n v="45"/>
    <x v="3"/>
    <x v="1"/>
  </r>
  <r>
    <x v="77"/>
    <n v="-22.9"/>
    <x v="151"/>
    <n v="75.56"/>
    <s v="Complete Access"/>
    <x v="18"/>
    <x v="8"/>
    <x v="7"/>
    <d v="1900-01-04T00:00:00"/>
    <n v="45"/>
    <x v="3"/>
    <x v="1"/>
  </r>
  <r>
    <x v="78"/>
    <n v="-30.7"/>
    <x v="152"/>
    <n v="98.46"/>
    <s v="Complete Access"/>
    <x v="2"/>
    <x v="1"/>
    <x v="1"/>
    <d v="1900-01-01T00:00:00"/>
    <n v="44"/>
    <x v="3"/>
    <x v="1"/>
  </r>
  <r>
    <x v="78"/>
    <n v="-17"/>
    <x v="153"/>
    <n v="129.16"/>
    <s v="Complete Access"/>
    <x v="28"/>
    <x v="1"/>
    <x v="5"/>
    <d v="1900-01-01T00:00:00"/>
    <n v="44"/>
    <x v="3"/>
    <x v="1"/>
  </r>
  <r>
    <x v="79"/>
    <n v="-40"/>
    <x v="154"/>
    <n v="146.16"/>
    <s v="Complete Access"/>
    <x v="12"/>
    <x v="5"/>
    <x v="8"/>
    <d v="1900-01-30T00:00:00"/>
    <n v="44"/>
    <x v="4"/>
    <x v="1"/>
  </r>
  <r>
    <x v="80"/>
    <n v="-15.5"/>
    <x v="155"/>
    <n v="186.16"/>
    <s v="Complete Access"/>
    <x v="62"/>
    <x v="1"/>
    <x v="5"/>
    <d v="1900-01-29T00:00:00"/>
    <n v="44"/>
    <x v="4"/>
    <x v="1"/>
  </r>
  <r>
    <x v="80"/>
    <n v="-6630.76"/>
    <x v="156"/>
    <n v="201.66"/>
    <s v="Complete Access"/>
    <x v="63"/>
    <x v="4"/>
    <x v="20"/>
    <d v="1900-01-29T00:00:00"/>
    <n v="44"/>
    <x v="4"/>
    <x v="1"/>
  </r>
  <r>
    <x v="81"/>
    <n v="-4.97"/>
    <x v="7"/>
    <n v="6832.42"/>
    <s v="Complete Access"/>
    <x v="1"/>
    <x v="1"/>
    <x v="1"/>
    <d v="1900-01-28T00:00:00"/>
    <n v="44"/>
    <x v="4"/>
    <x v="1"/>
  </r>
  <r>
    <x v="81"/>
    <n v="-14.73"/>
    <x v="18"/>
    <n v="6837.39"/>
    <s v="Complete Access"/>
    <x v="16"/>
    <x v="1"/>
    <x v="5"/>
    <d v="1900-01-28T00:00:00"/>
    <n v="44"/>
    <x v="4"/>
    <x v="1"/>
  </r>
  <r>
    <x v="81"/>
    <n v="-32.17"/>
    <x v="157"/>
    <n v="6852.12"/>
    <s v="Complete Access"/>
    <x v="64"/>
    <x v="9"/>
    <x v="12"/>
    <d v="1900-01-28T00:00:00"/>
    <n v="44"/>
    <x v="4"/>
    <x v="1"/>
  </r>
  <r>
    <x v="81"/>
    <n v="-11"/>
    <x v="158"/>
    <n v="6884.29"/>
    <s v="Complete Access"/>
    <x v="65"/>
    <x v="8"/>
    <x v="29"/>
    <d v="1900-01-28T00:00:00"/>
    <n v="44"/>
    <x v="4"/>
    <x v="1"/>
  </r>
  <r>
    <x v="81"/>
    <n v="-22.84"/>
    <x v="159"/>
    <n v="6895.29"/>
    <s v="Complete Access"/>
    <x v="1"/>
    <x v="1"/>
    <x v="1"/>
    <d v="1900-01-28T00:00:00"/>
    <n v="44"/>
    <x v="4"/>
    <x v="1"/>
  </r>
  <r>
    <x v="81"/>
    <n v="-26.66"/>
    <x v="160"/>
    <n v="6918.13"/>
    <s v="Complete Access"/>
    <x v="27"/>
    <x v="1"/>
    <x v="5"/>
    <d v="1900-01-28T00:00:00"/>
    <n v="44"/>
    <x v="4"/>
    <x v="1"/>
  </r>
  <r>
    <x v="82"/>
    <n v="-16.239999999999998"/>
    <x v="161"/>
    <n v="6944.79"/>
    <s v="Complete Access"/>
    <x v="66"/>
    <x v="1"/>
    <x v="5"/>
    <d v="1900-01-27T00:00:00"/>
    <n v="44"/>
    <x v="4"/>
    <x v="1"/>
  </r>
  <r>
    <x v="82"/>
    <n v="5600"/>
    <x v="162"/>
    <n v="6961.03"/>
    <s v="Complete Access"/>
    <x v="67"/>
    <x v="0"/>
    <x v="0"/>
    <d v="1900-01-27T00:00:00"/>
    <n v="44"/>
    <x v="4"/>
    <x v="1"/>
  </r>
  <r>
    <x v="82"/>
    <n v="-12.95"/>
    <x v="163"/>
    <n v="1361.03"/>
    <s v="Complete Access"/>
    <x v="47"/>
    <x v="1"/>
    <x v="5"/>
    <d v="1900-01-27T00:00:00"/>
    <n v="44"/>
    <x v="4"/>
    <x v="1"/>
  </r>
  <r>
    <x v="83"/>
    <n v="-31.8"/>
    <x v="164"/>
    <n v="1373.98"/>
    <s v="Complete Access"/>
    <x v="1"/>
    <x v="1"/>
    <x v="1"/>
    <d v="1900-01-25T00:00:00"/>
    <n v="43"/>
    <x v="4"/>
    <x v="1"/>
  </r>
  <r>
    <x v="83"/>
    <n v="-5"/>
    <x v="165"/>
    <n v="1405.78"/>
    <s v="Complete Access"/>
    <x v="60"/>
    <x v="14"/>
    <x v="32"/>
    <d v="1900-01-25T00:00:00"/>
    <n v="43"/>
    <x v="4"/>
    <x v="1"/>
  </r>
  <r>
    <x v="83"/>
    <n v="-3.5"/>
    <x v="165"/>
    <n v="1410.78"/>
    <s v="Complete Access"/>
    <x v="60"/>
    <x v="14"/>
    <x v="32"/>
    <d v="1900-01-25T00:00:00"/>
    <n v="43"/>
    <x v="4"/>
    <x v="1"/>
  </r>
  <r>
    <x v="84"/>
    <n v="-8.1199999999999992"/>
    <x v="166"/>
    <n v="1414.28"/>
    <s v="Complete Access"/>
    <x v="68"/>
    <x v="1"/>
    <x v="5"/>
    <d v="1900-01-24T00:00:00"/>
    <n v="43"/>
    <x v="4"/>
    <x v="1"/>
  </r>
  <r>
    <x v="84"/>
    <n v="-4.3"/>
    <x v="33"/>
    <n v="1422.4"/>
    <s v="Complete Access"/>
    <x v="1"/>
    <x v="1"/>
    <x v="1"/>
    <d v="1900-01-24T00:00:00"/>
    <n v="43"/>
    <x v="4"/>
    <x v="1"/>
  </r>
  <r>
    <x v="84"/>
    <n v="-16"/>
    <x v="8"/>
    <n v="1426.7"/>
    <s v="Complete Access"/>
    <x v="7"/>
    <x v="1"/>
    <x v="5"/>
    <d v="1900-01-24T00:00:00"/>
    <n v="43"/>
    <x v="4"/>
    <x v="1"/>
  </r>
  <r>
    <x v="84"/>
    <n v="-11.95"/>
    <x v="167"/>
    <n v="1442.7"/>
    <s v="Complete Access"/>
    <x v="69"/>
    <x v="11"/>
    <x v="14"/>
    <d v="1900-01-24T00:00:00"/>
    <n v="43"/>
    <x v="4"/>
    <x v="1"/>
  </r>
  <r>
    <x v="84"/>
    <n v="-31"/>
    <x v="168"/>
    <n v="1454.65"/>
    <s v="Complete Access"/>
    <x v="17"/>
    <x v="7"/>
    <x v="11"/>
    <d v="1900-01-24T00:00:00"/>
    <n v="43"/>
    <x v="4"/>
    <x v="1"/>
  </r>
  <r>
    <x v="85"/>
    <n v="-17.54"/>
    <x v="42"/>
    <n v="1485.65"/>
    <s v="Complete Access"/>
    <x v="27"/>
    <x v="1"/>
    <x v="5"/>
    <d v="1900-01-23T00:00:00"/>
    <n v="43"/>
    <x v="4"/>
    <x v="1"/>
  </r>
  <r>
    <x v="85"/>
    <n v="-65.900000000000006"/>
    <x v="169"/>
    <n v="1503.19"/>
    <s v="Complete Access"/>
    <x v="70"/>
    <x v="8"/>
    <x v="22"/>
    <d v="1900-01-23T00:00:00"/>
    <n v="43"/>
    <x v="4"/>
    <x v="1"/>
  </r>
  <r>
    <x v="85"/>
    <n v="-1408.62"/>
    <x v="15"/>
    <n v="1569.09"/>
    <s v="Complete Access"/>
    <x v="13"/>
    <x v="0"/>
    <x v="0"/>
    <d v="1900-01-23T00:00:00"/>
    <n v="43"/>
    <x v="4"/>
    <x v="1"/>
  </r>
  <r>
    <x v="85"/>
    <n v="2865.27"/>
    <x v="170"/>
    <n v="2977.71"/>
    <s v="Complete Access"/>
    <x v="14"/>
    <x v="6"/>
    <x v="9"/>
    <d v="1900-01-23T00:00:00"/>
    <n v="43"/>
    <x v="4"/>
    <x v="1"/>
  </r>
  <r>
    <x v="86"/>
    <n v="-107.9"/>
    <x v="127"/>
    <n v="112.44"/>
    <s v="Complete Access"/>
    <x v="54"/>
    <x v="11"/>
    <x v="16"/>
    <d v="1900-01-22T00:00:00"/>
    <n v="43"/>
    <x v="4"/>
    <x v="1"/>
  </r>
  <r>
    <x v="86"/>
    <n v="-138.87"/>
    <x v="171"/>
    <n v="220.34"/>
    <s v="Complete Access"/>
    <x v="3"/>
    <x v="2"/>
    <x v="2"/>
    <d v="1900-01-22T00:00:00"/>
    <n v="43"/>
    <x v="4"/>
    <x v="1"/>
  </r>
  <r>
    <x v="86"/>
    <n v="-649.16999999999996"/>
    <x v="172"/>
    <n v="359.21"/>
    <s v="Complete Access"/>
    <x v="31"/>
    <x v="12"/>
    <x v="21"/>
    <d v="1900-01-22T00:00:00"/>
    <n v="43"/>
    <x v="4"/>
    <x v="1"/>
  </r>
  <r>
    <x v="86"/>
    <n v="26.76"/>
    <x v="173"/>
    <n v="1008.38"/>
    <s v="Complete Access"/>
    <x v="71"/>
    <x v="4"/>
    <x v="33"/>
    <d v="1900-01-22T00:00:00"/>
    <n v="43"/>
    <x v="4"/>
    <x v="1"/>
  </r>
  <r>
    <x v="87"/>
    <n v="-16.5"/>
    <x v="8"/>
    <n v="981.62"/>
    <s v="Complete Access"/>
    <x v="7"/>
    <x v="1"/>
    <x v="5"/>
    <d v="1900-01-21T00:00:00"/>
    <n v="43"/>
    <x v="4"/>
    <x v="1"/>
  </r>
  <r>
    <x v="87"/>
    <n v="-28.55"/>
    <x v="174"/>
    <n v="998.12"/>
    <s v="Complete Access"/>
    <x v="1"/>
    <x v="1"/>
    <x v="1"/>
    <d v="1900-01-21T00:00:00"/>
    <n v="43"/>
    <x v="4"/>
    <x v="1"/>
  </r>
  <r>
    <x v="87"/>
    <n v="-1.2"/>
    <x v="175"/>
    <n v="1026.67"/>
    <s v="Complete Access"/>
    <x v="10"/>
    <x v="0"/>
    <x v="0"/>
    <d v="1900-01-21T00:00:00"/>
    <n v="43"/>
    <x v="4"/>
    <x v="1"/>
  </r>
  <r>
    <x v="87"/>
    <n v="-34.229999999999997"/>
    <x v="176"/>
    <n v="1027.8699999999999"/>
    <s v="Complete Access"/>
    <x v="71"/>
    <x v="4"/>
    <x v="33"/>
    <d v="1900-01-21T00:00:00"/>
    <n v="43"/>
    <x v="4"/>
    <x v="1"/>
  </r>
  <r>
    <x v="88"/>
    <n v="-46.53"/>
    <x v="42"/>
    <n v="1062.0999999999999"/>
    <s v="Complete Access"/>
    <x v="27"/>
    <x v="1"/>
    <x v="5"/>
    <d v="1900-01-19T00:00:00"/>
    <n v="43"/>
    <x v="4"/>
    <x v="1"/>
  </r>
  <r>
    <x v="89"/>
    <n v="-35.880000000000003"/>
    <x v="177"/>
    <n v="1108.6300000000001"/>
    <s v="Complete Access"/>
    <x v="72"/>
    <x v="1"/>
    <x v="5"/>
    <d v="1900-01-18T00:00:00"/>
    <n v="42"/>
    <x v="4"/>
    <x v="1"/>
  </r>
  <r>
    <x v="90"/>
    <n v="-14.73"/>
    <x v="18"/>
    <n v="1144.51"/>
    <s v="Complete Access"/>
    <x v="16"/>
    <x v="1"/>
    <x v="5"/>
    <d v="1900-01-14T00:00:00"/>
    <n v="42"/>
    <x v="4"/>
    <x v="1"/>
  </r>
  <r>
    <x v="90"/>
    <n v="-1.1499999999999999"/>
    <x v="178"/>
    <n v="1159.24"/>
    <s v="Complete Access"/>
    <x v="10"/>
    <x v="0"/>
    <x v="0"/>
    <d v="1900-01-14T00:00:00"/>
    <n v="42"/>
    <x v="4"/>
    <x v="1"/>
  </r>
  <r>
    <x v="90"/>
    <n v="-32.79"/>
    <x v="179"/>
    <n v="1160.3900000000001"/>
    <s v="Complete Access"/>
    <x v="11"/>
    <x v="4"/>
    <x v="7"/>
    <d v="1900-01-14T00:00:00"/>
    <n v="42"/>
    <x v="4"/>
    <x v="1"/>
  </r>
  <r>
    <x v="91"/>
    <n v="31.84"/>
    <x v="6"/>
    <n v="1193.18"/>
    <s v="Complete Access"/>
    <x v="6"/>
    <x v="4"/>
    <x v="4"/>
    <d v="1900-01-13T00:00:00"/>
    <n v="42"/>
    <x v="4"/>
    <x v="1"/>
  </r>
  <r>
    <x v="92"/>
    <n v="-2200"/>
    <x v="128"/>
    <n v="1161.3399999999999"/>
    <s v="Complete Access"/>
    <x v="0"/>
    <x v="0"/>
    <x v="0"/>
    <d v="1900-01-10T00:00:00"/>
    <n v="41"/>
    <x v="4"/>
    <x v="1"/>
  </r>
  <r>
    <x v="92"/>
    <n v="-15"/>
    <x v="180"/>
    <n v="3361.34"/>
    <s v="Complete Access"/>
    <x v="73"/>
    <x v="1"/>
    <x v="23"/>
    <d v="1900-01-10T00:00:00"/>
    <n v="41"/>
    <x v="4"/>
    <x v="1"/>
  </r>
  <r>
    <x v="92"/>
    <n v="-59.65"/>
    <x v="181"/>
    <n v="3376.34"/>
    <s v="Complete Access"/>
    <x v="1"/>
    <x v="1"/>
    <x v="1"/>
    <d v="1900-01-10T00:00:00"/>
    <n v="41"/>
    <x v="4"/>
    <x v="1"/>
  </r>
  <r>
    <x v="92"/>
    <n v="-89"/>
    <x v="182"/>
    <n v="3435.99"/>
    <s v="Complete Access"/>
    <x v="17"/>
    <x v="7"/>
    <x v="11"/>
    <d v="1900-01-10T00:00:00"/>
    <n v="41"/>
    <x v="4"/>
    <x v="1"/>
  </r>
  <r>
    <x v="93"/>
    <n v="-1408.62"/>
    <x v="15"/>
    <n v="3524.99"/>
    <s v="Complete Access"/>
    <x v="13"/>
    <x v="0"/>
    <x v="0"/>
    <d v="1900-01-09T00:00:00"/>
    <n v="41"/>
    <x v="4"/>
    <x v="1"/>
  </r>
  <r>
    <x v="93"/>
    <n v="-33.049999999999997"/>
    <x v="183"/>
    <n v="4933.6099999999997"/>
    <s v="Complete Access"/>
    <x v="1"/>
    <x v="1"/>
    <x v="1"/>
    <d v="1900-01-09T00:00:00"/>
    <n v="41"/>
    <x v="4"/>
    <x v="1"/>
  </r>
  <r>
    <x v="93"/>
    <n v="2865.27"/>
    <x v="184"/>
    <n v="4966.66"/>
    <s v="Complete Access"/>
    <x v="14"/>
    <x v="6"/>
    <x v="9"/>
    <d v="1900-01-09T00:00:00"/>
    <n v="41"/>
    <x v="4"/>
    <x v="1"/>
  </r>
  <r>
    <x v="94"/>
    <n v="-40"/>
    <x v="185"/>
    <n v="2101.39"/>
    <s v="Complete Access"/>
    <x v="12"/>
    <x v="5"/>
    <x v="8"/>
    <d v="1900-01-08T00:00:00"/>
    <n v="41"/>
    <x v="4"/>
    <x v="1"/>
  </r>
  <r>
    <x v="95"/>
    <n v="-16"/>
    <x v="8"/>
    <n v="2141.39"/>
    <s v="Complete Access"/>
    <x v="7"/>
    <x v="1"/>
    <x v="5"/>
    <d v="1900-01-07T00:00:00"/>
    <n v="41"/>
    <x v="4"/>
    <x v="1"/>
  </r>
  <r>
    <x v="95"/>
    <n v="-107.84"/>
    <x v="186"/>
    <n v="2157.39"/>
    <s v="Complete Access"/>
    <x v="73"/>
    <x v="1"/>
    <x v="23"/>
    <d v="1900-01-07T00:00:00"/>
    <n v="41"/>
    <x v="4"/>
    <x v="1"/>
  </r>
  <r>
    <x v="95"/>
    <n v="-77.760000000000005"/>
    <x v="187"/>
    <n v="2265.23"/>
    <s v="Complete Access"/>
    <x v="1"/>
    <x v="1"/>
    <x v="1"/>
    <d v="1900-01-07T00:00:00"/>
    <n v="41"/>
    <x v="4"/>
    <x v="1"/>
  </r>
  <r>
    <x v="95"/>
    <n v="-0.56999999999999995"/>
    <x v="188"/>
    <n v="2342.9899999999998"/>
    <s v="Complete Access"/>
    <x v="10"/>
    <x v="0"/>
    <x v="0"/>
    <d v="1900-01-07T00:00:00"/>
    <n v="41"/>
    <x v="4"/>
    <x v="1"/>
  </r>
  <r>
    <x v="95"/>
    <n v="-16.21"/>
    <x v="189"/>
    <n v="2343.56"/>
    <s v="Complete Access"/>
    <x v="74"/>
    <x v="4"/>
    <x v="10"/>
    <d v="1900-01-07T00:00:00"/>
    <n v="41"/>
    <x v="4"/>
    <x v="1"/>
  </r>
  <r>
    <x v="96"/>
    <n v="-33.78"/>
    <x v="70"/>
    <n v="2359.77"/>
    <s v="Complete Access"/>
    <x v="8"/>
    <x v="1"/>
    <x v="5"/>
    <d v="1900-01-06T00:00:00"/>
    <n v="41"/>
    <x v="4"/>
    <x v="1"/>
  </r>
  <r>
    <x v="97"/>
    <n v="-304.58999999999997"/>
    <x v="190"/>
    <n v="2393.5500000000002"/>
    <s v="Complete Access"/>
    <x v="75"/>
    <x v="1"/>
    <x v="5"/>
    <d v="1900-01-03T00:00:00"/>
    <n v="40"/>
    <x v="4"/>
    <x v="1"/>
  </r>
  <r>
    <x v="97"/>
    <n v="71.5"/>
    <x v="191"/>
    <n v="2698.14"/>
    <s v="Complete Access"/>
    <x v="36"/>
    <x v="0"/>
    <x v="0"/>
    <d v="1900-01-03T00:00:00"/>
    <n v="40"/>
    <x v="4"/>
    <x v="1"/>
  </r>
  <r>
    <x v="97"/>
    <n v="71"/>
    <x v="192"/>
    <n v="2626.64"/>
    <s v="Complete Access"/>
    <x v="36"/>
    <x v="0"/>
    <x v="0"/>
    <d v="1900-01-03T00:00:00"/>
    <n v="40"/>
    <x v="4"/>
    <x v="1"/>
  </r>
  <r>
    <x v="97"/>
    <n v="71"/>
    <x v="193"/>
    <n v="2555.64"/>
    <s v="Complete Access"/>
    <x v="36"/>
    <x v="0"/>
    <x v="0"/>
    <d v="1900-01-03T00:00:00"/>
    <n v="40"/>
    <x v="4"/>
    <x v="1"/>
  </r>
  <r>
    <x v="98"/>
    <n v="-25.23"/>
    <x v="194"/>
    <n v="2484.64"/>
    <s v="Complete Access"/>
    <x v="1"/>
    <x v="1"/>
    <x v="1"/>
    <d v="1900-01-02T00:00:00"/>
    <n v="40"/>
    <x v="4"/>
    <x v="1"/>
  </r>
  <r>
    <x v="99"/>
    <n v="-5.4"/>
    <x v="195"/>
    <n v="2509.87"/>
    <s v="Complete Access"/>
    <x v="76"/>
    <x v="2"/>
    <x v="2"/>
    <d v="1899-12-31T00:00:00"/>
    <n v="40"/>
    <x v="4"/>
    <x v="1"/>
  </r>
  <r>
    <x v="99"/>
    <n v="-20.149999999999999"/>
    <x v="7"/>
    <n v="2515.27"/>
    <s v="Complete Access"/>
    <x v="1"/>
    <x v="1"/>
    <x v="1"/>
    <d v="1899-12-31T00:00:00"/>
    <n v="40"/>
    <x v="4"/>
    <x v="1"/>
  </r>
  <r>
    <x v="99"/>
    <n v="-16.760000000000002"/>
    <x v="18"/>
    <n v="2535.42"/>
    <s v="Complete Access"/>
    <x v="16"/>
    <x v="1"/>
    <x v="5"/>
    <d v="1899-12-31T00:00:00"/>
    <n v="40"/>
    <x v="4"/>
    <x v="1"/>
  </r>
  <r>
    <x v="99"/>
    <n v="-30"/>
    <x v="196"/>
    <n v="2552.1799999999998"/>
    <s v="Complete Access"/>
    <x v="61"/>
    <x v="1"/>
    <x v="1"/>
    <d v="1899-12-31T00:00:00"/>
    <n v="40"/>
    <x v="4"/>
    <x v="1"/>
  </r>
  <r>
    <x v="99"/>
    <n v="-12.99"/>
    <x v="197"/>
    <n v="2582.1799999999998"/>
    <s v="Complete Access"/>
    <x v="77"/>
    <x v="4"/>
    <x v="27"/>
    <d v="1899-12-31T00:00:00"/>
    <n v="40"/>
    <x v="4"/>
    <x v="1"/>
  </r>
  <r>
    <x v="100"/>
    <n v="-9.1999999999999993"/>
    <x v="198"/>
    <n v="2595.17"/>
    <s v="Complete Access"/>
    <x v="78"/>
    <x v="1"/>
    <x v="5"/>
    <d v="1900-01-29T00:00:00"/>
    <n v="40"/>
    <x v="5"/>
    <x v="1"/>
  </r>
  <r>
    <x v="100"/>
    <n v="-33.89"/>
    <x v="42"/>
    <n v="2604.37"/>
    <s v="Complete Access"/>
    <x v="27"/>
    <x v="1"/>
    <x v="5"/>
    <d v="1900-01-29T00:00:00"/>
    <n v="40"/>
    <x v="5"/>
    <x v="1"/>
  </r>
  <r>
    <x v="101"/>
    <n v="-35.020000000000003"/>
    <x v="70"/>
    <n v="2638.26"/>
    <s v="Complete Access"/>
    <x v="8"/>
    <x v="1"/>
    <x v="5"/>
    <d v="1900-01-28T00:00:00"/>
    <n v="40"/>
    <x v="5"/>
    <x v="1"/>
  </r>
  <r>
    <x v="101"/>
    <n v="550"/>
    <x v="199"/>
    <n v="2673.28"/>
    <s v="Complete Access"/>
    <x v="36"/>
    <x v="0"/>
    <x v="0"/>
    <d v="1900-01-28T00:00:00"/>
    <n v="40"/>
    <x v="5"/>
    <x v="1"/>
  </r>
  <r>
    <x v="101"/>
    <n v="-84"/>
    <x v="200"/>
    <n v="2123.2800000000002"/>
    <s v="Complete Access"/>
    <x v="79"/>
    <x v="15"/>
    <x v="34"/>
    <d v="1900-01-28T00:00:00"/>
    <n v="40"/>
    <x v="5"/>
    <x v="1"/>
  </r>
  <r>
    <x v="101"/>
    <n v="-11"/>
    <x v="201"/>
    <n v="2207.2800000000002"/>
    <s v="Complete Access"/>
    <x v="80"/>
    <x v="8"/>
    <x v="29"/>
    <d v="1900-01-28T00:00:00"/>
    <n v="40"/>
    <x v="5"/>
    <x v="1"/>
  </r>
  <r>
    <x v="101"/>
    <n v="-9.19"/>
    <x v="119"/>
    <n v="2218.2800000000002"/>
    <s v="Complete Access"/>
    <x v="8"/>
    <x v="1"/>
    <x v="5"/>
    <d v="1900-01-28T00:00:00"/>
    <n v="40"/>
    <x v="5"/>
    <x v="1"/>
  </r>
  <r>
    <x v="102"/>
    <n v="-10.5"/>
    <x v="202"/>
    <n v="2227.4699999999998"/>
    <s v="Complete Access"/>
    <x v="79"/>
    <x v="15"/>
    <x v="34"/>
    <d v="1900-01-27T00:00:00"/>
    <n v="39"/>
    <x v="5"/>
    <x v="1"/>
  </r>
  <r>
    <x v="102"/>
    <n v="13.21"/>
    <x v="203"/>
    <n v="2237.9699999999998"/>
    <s v="Complete Access"/>
    <x v="8"/>
    <x v="1"/>
    <x v="5"/>
    <d v="1900-01-27T00:00:00"/>
    <n v="39"/>
    <x v="5"/>
    <x v="1"/>
  </r>
  <r>
    <x v="102"/>
    <n v="-13.21"/>
    <x v="204"/>
    <n v="2224.7600000000002"/>
    <s v="Complete Access"/>
    <x v="8"/>
    <x v="1"/>
    <x v="5"/>
    <d v="1900-01-27T00:00:00"/>
    <n v="39"/>
    <x v="5"/>
    <x v="1"/>
  </r>
  <r>
    <x v="102"/>
    <n v="-16.8"/>
    <x v="119"/>
    <n v="2237.9699999999998"/>
    <s v="Complete Access"/>
    <x v="8"/>
    <x v="1"/>
    <x v="5"/>
    <d v="1900-01-27T00:00:00"/>
    <n v="39"/>
    <x v="5"/>
    <x v="1"/>
  </r>
  <r>
    <x v="102"/>
    <n v="-44.75"/>
    <x v="119"/>
    <n v="2254.77"/>
    <s v="Complete Access"/>
    <x v="8"/>
    <x v="1"/>
    <x v="5"/>
    <d v="1900-01-27T00:00:00"/>
    <n v="39"/>
    <x v="5"/>
    <x v="1"/>
  </r>
  <r>
    <x v="103"/>
    <n v="-1408.62"/>
    <x v="15"/>
    <n v="2299.52"/>
    <s v="Complete Access"/>
    <x v="13"/>
    <x v="0"/>
    <x v="0"/>
    <d v="1900-01-25T00:00:00"/>
    <n v="39"/>
    <x v="5"/>
    <x v="1"/>
  </r>
  <r>
    <x v="103"/>
    <n v="2997.59"/>
    <x v="205"/>
    <n v="3708.14"/>
    <s v="Complete Access"/>
    <x v="14"/>
    <x v="6"/>
    <x v="9"/>
    <d v="1900-01-25T00:00:00"/>
    <n v="39"/>
    <x v="5"/>
    <x v="1"/>
  </r>
  <r>
    <x v="104"/>
    <n v="-31"/>
    <x v="206"/>
    <n v="710.55"/>
    <s v="Complete Access"/>
    <x v="17"/>
    <x v="7"/>
    <x v="11"/>
    <d v="1900-01-24T00:00:00"/>
    <n v="39"/>
    <x v="5"/>
    <x v="1"/>
  </r>
  <r>
    <x v="105"/>
    <n v="-30"/>
    <x v="207"/>
    <n v="741.55"/>
    <s v="Complete Access"/>
    <x v="81"/>
    <x v="16"/>
    <x v="35"/>
    <d v="1900-01-23T00:00:00"/>
    <n v="39"/>
    <x v="5"/>
    <x v="1"/>
  </r>
  <r>
    <x v="105"/>
    <n v="-16"/>
    <x v="8"/>
    <n v="771.55"/>
    <s v="Complete Access"/>
    <x v="7"/>
    <x v="1"/>
    <x v="5"/>
    <d v="1900-01-23T00:00:00"/>
    <n v="39"/>
    <x v="5"/>
    <x v="1"/>
  </r>
  <r>
    <x v="105"/>
    <n v="-43.46"/>
    <x v="208"/>
    <n v="787.55"/>
    <s v="Complete Access"/>
    <x v="1"/>
    <x v="1"/>
    <x v="1"/>
    <d v="1900-01-23T00:00:00"/>
    <n v="39"/>
    <x v="5"/>
    <x v="1"/>
  </r>
  <r>
    <x v="105"/>
    <n v="-17"/>
    <x v="209"/>
    <n v="831.01"/>
    <s v="Complete Access"/>
    <x v="1"/>
    <x v="1"/>
    <x v="1"/>
    <d v="1900-01-23T00:00:00"/>
    <n v="39"/>
    <x v="5"/>
    <x v="1"/>
  </r>
  <r>
    <x v="106"/>
    <n v="-138.87"/>
    <x v="210"/>
    <n v="904.24"/>
    <s v="Complete Access"/>
    <x v="3"/>
    <x v="2"/>
    <x v="2"/>
    <d v="1900-01-20T00:00:00"/>
    <n v="38"/>
    <x v="5"/>
    <x v="1"/>
  </r>
  <r>
    <x v="106"/>
    <n v="-56.23"/>
    <x v="42"/>
    <n v="848.01"/>
    <s v="Complete Access"/>
    <x v="27"/>
    <x v="1"/>
    <x v="5"/>
    <d v="1900-01-20T00:00:00"/>
    <n v="38"/>
    <x v="5"/>
    <x v="1"/>
  </r>
  <r>
    <x v="107"/>
    <n v="-91.45"/>
    <x v="211"/>
    <n v="1043.1099999999999"/>
    <s v="Complete Access"/>
    <x v="82"/>
    <x v="1"/>
    <x v="5"/>
    <d v="1900-01-19T00:00:00"/>
    <n v="38"/>
    <x v="5"/>
    <x v="1"/>
  </r>
  <r>
    <x v="108"/>
    <n v="-14.5"/>
    <x v="155"/>
    <n v="1134.56"/>
    <s v="Complete Access"/>
    <x v="62"/>
    <x v="1"/>
    <x v="5"/>
    <d v="1900-01-17T00:00:00"/>
    <n v="38"/>
    <x v="5"/>
    <x v="1"/>
  </r>
  <r>
    <x v="108"/>
    <n v="-40"/>
    <x v="212"/>
    <n v="1149.06"/>
    <s v="Complete Access"/>
    <x v="12"/>
    <x v="5"/>
    <x v="8"/>
    <d v="1900-01-17T00:00:00"/>
    <n v="38"/>
    <x v="5"/>
    <x v="1"/>
  </r>
  <r>
    <x v="109"/>
    <n v="-14.73"/>
    <x v="18"/>
    <n v="1189.06"/>
    <s v="Complete Access"/>
    <x v="16"/>
    <x v="1"/>
    <x v="5"/>
    <d v="1900-01-16T00:00:00"/>
    <n v="38"/>
    <x v="5"/>
    <x v="1"/>
  </r>
  <r>
    <x v="109"/>
    <n v="-29.99"/>
    <x v="213"/>
    <n v="1203.79"/>
    <s v="Complete Access"/>
    <x v="1"/>
    <x v="1"/>
    <x v="1"/>
    <d v="1900-01-16T00:00:00"/>
    <n v="38"/>
    <x v="5"/>
    <x v="1"/>
  </r>
  <r>
    <x v="109"/>
    <n v="-127.48"/>
    <x v="214"/>
    <n v="1233.78"/>
    <s v="Complete Access"/>
    <x v="82"/>
    <x v="1"/>
    <x v="5"/>
    <d v="1900-01-16T00:00:00"/>
    <n v="38"/>
    <x v="5"/>
    <x v="1"/>
  </r>
  <r>
    <x v="109"/>
    <n v="-34.340000000000003"/>
    <x v="215"/>
    <n v="1361.26"/>
    <s v="Complete Access"/>
    <x v="83"/>
    <x v="8"/>
    <x v="29"/>
    <d v="1900-01-16T00:00:00"/>
    <n v="38"/>
    <x v="5"/>
    <x v="1"/>
  </r>
  <r>
    <x v="109"/>
    <n v="-10.1"/>
    <x v="215"/>
    <n v="1395.6"/>
    <s v="Complete Access"/>
    <x v="83"/>
    <x v="8"/>
    <x v="29"/>
    <d v="1900-01-16T00:00:00"/>
    <n v="38"/>
    <x v="5"/>
    <x v="1"/>
  </r>
  <r>
    <x v="109"/>
    <n v="-10.1"/>
    <x v="215"/>
    <n v="1405.7"/>
    <s v="Complete Access"/>
    <x v="83"/>
    <x v="8"/>
    <x v="29"/>
    <d v="1900-01-16T00:00:00"/>
    <n v="38"/>
    <x v="5"/>
    <x v="1"/>
  </r>
  <r>
    <x v="109"/>
    <n v="-225.99"/>
    <x v="216"/>
    <n v="1415.8"/>
    <s v="Complete Access"/>
    <x v="84"/>
    <x v="9"/>
    <x v="36"/>
    <d v="1900-01-16T00:00:00"/>
    <n v="38"/>
    <x v="5"/>
    <x v="1"/>
  </r>
  <r>
    <x v="110"/>
    <n v="116.4"/>
    <x v="6"/>
    <n v="1641.79"/>
    <s v="Complete Access"/>
    <x v="6"/>
    <x v="4"/>
    <x v="4"/>
    <d v="1900-01-15T00:00:00"/>
    <n v="38"/>
    <x v="5"/>
    <x v="1"/>
  </r>
  <r>
    <x v="110"/>
    <n v="64"/>
    <x v="217"/>
    <n v="1525.39"/>
    <s v="Complete Access"/>
    <x v="36"/>
    <x v="0"/>
    <x v="0"/>
    <d v="1900-01-15T00:00:00"/>
    <n v="38"/>
    <x v="5"/>
    <x v="1"/>
  </r>
  <r>
    <x v="111"/>
    <n v="-29.3"/>
    <x v="218"/>
    <n v="1461.39"/>
    <s v="Complete Access"/>
    <x v="85"/>
    <x v="1"/>
    <x v="5"/>
    <d v="1900-01-14T00:00:00"/>
    <n v="38"/>
    <x v="5"/>
    <x v="1"/>
  </r>
  <r>
    <x v="112"/>
    <n v="-24.08"/>
    <x v="219"/>
    <n v="1490.69"/>
    <s v="Complete Access"/>
    <x v="86"/>
    <x v="8"/>
    <x v="29"/>
    <d v="1900-01-13T00:00:00"/>
    <n v="37"/>
    <x v="5"/>
    <x v="1"/>
  </r>
  <r>
    <x v="112"/>
    <n v="-39.31"/>
    <x v="28"/>
    <n v="1514.77"/>
    <s v="Complete Access"/>
    <x v="20"/>
    <x v="9"/>
    <x v="12"/>
    <d v="1900-01-13T00:00:00"/>
    <n v="37"/>
    <x v="5"/>
    <x v="1"/>
  </r>
  <r>
    <x v="112"/>
    <n v="-49.41"/>
    <x v="220"/>
    <n v="1554.08"/>
    <s v="Complete Access"/>
    <x v="1"/>
    <x v="1"/>
    <x v="1"/>
    <d v="1900-01-13T00:00:00"/>
    <n v="37"/>
    <x v="5"/>
    <x v="1"/>
  </r>
  <r>
    <x v="113"/>
    <n v="-1.1599999999999999"/>
    <x v="221"/>
    <n v="1603.49"/>
    <s v="Complete Access"/>
    <x v="10"/>
    <x v="0"/>
    <x v="0"/>
    <d v="1900-01-12T00:00:00"/>
    <n v="37"/>
    <x v="5"/>
    <x v="1"/>
  </r>
  <r>
    <x v="113"/>
    <n v="-33.14"/>
    <x v="222"/>
    <n v="1604.65"/>
    <s v="Complete Access"/>
    <x v="11"/>
    <x v="4"/>
    <x v="7"/>
    <d v="1900-01-12T00:00:00"/>
    <n v="37"/>
    <x v="5"/>
    <x v="1"/>
  </r>
  <r>
    <x v="114"/>
    <n v="-1408.62"/>
    <x v="15"/>
    <n v="1637.79"/>
    <s v="Complete Access"/>
    <x v="13"/>
    <x v="0"/>
    <x v="0"/>
    <d v="1900-01-11T00:00:00"/>
    <n v="37"/>
    <x v="5"/>
    <x v="1"/>
  </r>
  <r>
    <x v="114"/>
    <n v="2690.45"/>
    <x v="223"/>
    <n v="3046.41"/>
    <s v="Complete Access"/>
    <x v="14"/>
    <x v="6"/>
    <x v="9"/>
    <d v="1900-01-11T00:00:00"/>
    <n v="37"/>
    <x v="5"/>
    <x v="1"/>
  </r>
  <r>
    <x v="115"/>
    <n v="-16.5"/>
    <x v="8"/>
    <n v="355.96"/>
    <s v="Complete Access"/>
    <x v="7"/>
    <x v="1"/>
    <x v="5"/>
    <d v="1900-01-09T00:00:00"/>
    <n v="37"/>
    <x v="5"/>
    <x v="1"/>
  </r>
  <r>
    <x v="115"/>
    <n v="-33.369999999999997"/>
    <x v="224"/>
    <n v="372.46"/>
    <s v="Complete Access"/>
    <x v="46"/>
    <x v="1"/>
    <x v="1"/>
    <d v="1900-01-09T00:00:00"/>
    <n v="37"/>
    <x v="5"/>
    <x v="1"/>
  </r>
  <r>
    <x v="115"/>
    <n v="-133.75"/>
    <x v="225"/>
    <n v="405.83"/>
    <s v="Complete Access"/>
    <x v="70"/>
    <x v="8"/>
    <x v="22"/>
    <d v="1900-01-09T00:00:00"/>
    <n v="37"/>
    <x v="5"/>
    <x v="1"/>
  </r>
  <r>
    <x v="115"/>
    <n v="-89"/>
    <x v="226"/>
    <n v="539.58000000000004"/>
    <s v="Complete Access"/>
    <x v="17"/>
    <x v="7"/>
    <x v="11"/>
    <d v="1900-01-09T00:00:00"/>
    <n v="37"/>
    <x v="5"/>
    <x v="1"/>
  </r>
  <r>
    <x v="116"/>
    <n v="-14.7"/>
    <x v="96"/>
    <n v="628.58000000000004"/>
    <s v="Complete Access"/>
    <x v="47"/>
    <x v="1"/>
    <x v="5"/>
    <d v="1900-01-07T00:00:00"/>
    <n v="37"/>
    <x v="5"/>
    <x v="1"/>
  </r>
  <r>
    <x v="117"/>
    <n v="-43.56"/>
    <x v="227"/>
    <n v="643.28"/>
    <s v="Complete Access"/>
    <x v="87"/>
    <x v="8"/>
    <x v="29"/>
    <d v="1900-01-06T00:00:00"/>
    <n v="36"/>
    <x v="5"/>
    <x v="1"/>
  </r>
  <r>
    <x v="117"/>
    <n v="-60.78"/>
    <x v="228"/>
    <n v="686.84"/>
    <s v="Complete Access"/>
    <x v="88"/>
    <x v="8"/>
    <x v="29"/>
    <d v="1900-01-06T00:00:00"/>
    <n v="36"/>
    <x v="5"/>
    <x v="1"/>
  </r>
  <r>
    <x v="117"/>
    <n v="-9"/>
    <x v="229"/>
    <n v="747.62"/>
    <s v="Complete Access"/>
    <x v="89"/>
    <x v="8"/>
    <x v="29"/>
    <d v="1900-01-06T00:00:00"/>
    <n v="36"/>
    <x v="5"/>
    <x v="1"/>
  </r>
  <r>
    <x v="117"/>
    <n v="-20.9"/>
    <x v="76"/>
    <n v="756.62"/>
    <s v="Complete Access"/>
    <x v="39"/>
    <x v="1"/>
    <x v="5"/>
    <d v="1900-01-06T00:00:00"/>
    <n v="36"/>
    <x v="5"/>
    <x v="1"/>
  </r>
  <r>
    <x v="117"/>
    <n v="-18.59"/>
    <x v="119"/>
    <n v="777.52"/>
    <s v="Complete Access"/>
    <x v="8"/>
    <x v="1"/>
    <x v="5"/>
    <d v="1900-01-06T00:00:00"/>
    <n v="36"/>
    <x v="5"/>
    <x v="1"/>
  </r>
  <r>
    <x v="117"/>
    <n v="-22"/>
    <x v="230"/>
    <n v="796.11"/>
    <s v="Complete Access"/>
    <x v="90"/>
    <x v="8"/>
    <x v="29"/>
    <d v="1900-01-06T00:00:00"/>
    <n v="36"/>
    <x v="5"/>
    <x v="1"/>
  </r>
  <r>
    <x v="118"/>
    <n v="-22.68"/>
    <x v="7"/>
    <n v="818.11"/>
    <s v="Complete Access"/>
    <x v="1"/>
    <x v="1"/>
    <x v="1"/>
    <d v="1900-01-04T00:00:00"/>
    <n v="36"/>
    <x v="5"/>
    <x v="1"/>
  </r>
  <r>
    <x v="119"/>
    <n v="-756.64"/>
    <x v="231"/>
    <n v="840.79"/>
    <s v="Complete Access"/>
    <x v="5"/>
    <x v="3"/>
    <x v="3"/>
    <d v="1900-01-03T00:00:00"/>
    <n v="36"/>
    <x v="5"/>
    <x v="1"/>
  </r>
  <r>
    <x v="120"/>
    <n v="-16"/>
    <x v="8"/>
    <n v="1597.43"/>
    <s v="Complete Access"/>
    <x v="7"/>
    <x v="1"/>
    <x v="5"/>
    <d v="1900-01-02T00:00:00"/>
    <n v="36"/>
    <x v="5"/>
    <x v="1"/>
  </r>
  <r>
    <x v="121"/>
    <n v="-5.4"/>
    <x v="232"/>
    <n v="1613.43"/>
    <s v="Complete Access"/>
    <x v="76"/>
    <x v="2"/>
    <x v="2"/>
    <d v="1900-01-01T00:00:00"/>
    <n v="36"/>
    <x v="5"/>
    <x v="1"/>
  </r>
  <r>
    <x v="121"/>
    <n v="-637.11"/>
    <x v="233"/>
    <n v="1618.83"/>
    <s v="Complete Access"/>
    <x v="91"/>
    <x v="9"/>
    <x v="12"/>
    <d v="1900-01-01T00:00:00"/>
    <n v="36"/>
    <x v="5"/>
    <x v="1"/>
  </r>
  <r>
    <x v="121"/>
    <n v="316"/>
    <x v="234"/>
    <n v="2255.94"/>
    <s v="Complete Access"/>
    <x v="36"/>
    <x v="0"/>
    <x v="0"/>
    <d v="1900-01-01T00:00:00"/>
    <n v="36"/>
    <x v="5"/>
    <x v="1"/>
  </r>
  <r>
    <x v="122"/>
    <n v="-3.9"/>
    <x v="7"/>
    <n v="1939.94"/>
    <s v="Complete Access"/>
    <x v="1"/>
    <x v="1"/>
    <x v="1"/>
    <d v="1899-12-31T00:00:00"/>
    <n v="36"/>
    <x v="5"/>
    <x v="1"/>
  </r>
  <r>
    <x v="122"/>
    <n v="-35.880000000000003"/>
    <x v="30"/>
    <n v="1943.84"/>
    <s v="Complete Access"/>
    <x v="21"/>
    <x v="10"/>
    <x v="13"/>
    <d v="1899-12-31T00:00:00"/>
    <n v="36"/>
    <x v="5"/>
    <x v="1"/>
  </r>
  <r>
    <x v="123"/>
    <n v="-40.39"/>
    <x v="235"/>
    <n v="1979.72"/>
    <s v="Complete Access"/>
    <x v="92"/>
    <x v="9"/>
    <x v="37"/>
    <d v="1900-01-30T00:00:00"/>
    <n v="35"/>
    <x v="6"/>
    <x v="1"/>
  </r>
  <r>
    <x v="123"/>
    <n v="-34.549999999999997"/>
    <x v="236"/>
    <n v="2020.11"/>
    <s v="Complete Access"/>
    <x v="1"/>
    <x v="1"/>
    <x v="1"/>
    <d v="1900-01-30T00:00:00"/>
    <n v="35"/>
    <x v="6"/>
    <x v="1"/>
  </r>
  <r>
    <x v="123"/>
    <n v="-742.8"/>
    <x v="237"/>
    <n v="2054.66"/>
    <s v="Complete Access"/>
    <x v="93"/>
    <x v="9"/>
    <x v="36"/>
    <d v="1900-01-30T00:00:00"/>
    <n v="35"/>
    <x v="6"/>
    <x v="1"/>
  </r>
  <r>
    <x v="123"/>
    <n v="-49"/>
    <x v="238"/>
    <n v="2797.46"/>
    <s v="Complete Access"/>
    <x v="94"/>
    <x v="9"/>
    <x v="36"/>
    <d v="1900-01-30T00:00:00"/>
    <n v="35"/>
    <x v="6"/>
    <x v="1"/>
  </r>
  <r>
    <x v="123"/>
    <n v="-375.65"/>
    <x v="239"/>
    <n v="2846.46"/>
    <s v="Complete Access"/>
    <x v="95"/>
    <x v="14"/>
    <x v="38"/>
    <d v="1900-01-30T00:00:00"/>
    <n v="35"/>
    <x v="6"/>
    <x v="1"/>
  </r>
  <r>
    <x v="124"/>
    <n v="-12.99"/>
    <x v="240"/>
    <n v="3222.11"/>
    <s v="Complete Access"/>
    <x v="77"/>
    <x v="4"/>
    <x v="27"/>
    <d v="1900-01-29T00:00:00"/>
    <n v="35"/>
    <x v="6"/>
    <x v="1"/>
  </r>
  <r>
    <x v="124"/>
    <n v="-53.94"/>
    <x v="241"/>
    <n v="3235.1"/>
    <s v="Complete Access"/>
    <x v="1"/>
    <x v="1"/>
    <x v="1"/>
    <d v="1900-01-29T00:00:00"/>
    <n v="35"/>
    <x v="6"/>
    <x v="1"/>
  </r>
  <r>
    <x v="125"/>
    <n v="-11.8"/>
    <x v="11"/>
    <n v="3289.04"/>
    <s v="Complete Access"/>
    <x v="9"/>
    <x v="4"/>
    <x v="6"/>
    <d v="1900-01-28T00:00:00"/>
    <n v="35"/>
    <x v="6"/>
    <x v="1"/>
  </r>
  <r>
    <x v="125"/>
    <n v="-20"/>
    <x v="242"/>
    <n v="3300.84"/>
    <s v="Complete Access"/>
    <x v="96"/>
    <x v="9"/>
    <x v="39"/>
    <d v="1900-01-28T00:00:00"/>
    <n v="35"/>
    <x v="6"/>
    <x v="1"/>
  </r>
  <r>
    <x v="125"/>
    <n v="2672"/>
    <x v="243"/>
    <n v="3320.84"/>
    <s v="Complete Access"/>
    <x v="14"/>
    <x v="6"/>
    <x v="9"/>
    <d v="1900-01-28T00:00:00"/>
    <n v="35"/>
    <x v="6"/>
    <x v="1"/>
  </r>
  <r>
    <x v="126"/>
    <n v="-19.95"/>
    <x v="7"/>
    <n v="648.84"/>
    <s v="Complete Access"/>
    <x v="1"/>
    <x v="1"/>
    <x v="1"/>
    <d v="1900-01-27T00:00:00"/>
    <n v="35"/>
    <x v="6"/>
    <x v="1"/>
  </r>
  <r>
    <x v="126"/>
    <n v="-23.13"/>
    <x v="244"/>
    <n v="668.79"/>
    <s v="Complete Access"/>
    <x v="97"/>
    <x v="8"/>
    <x v="29"/>
    <d v="1900-01-27T00:00:00"/>
    <n v="35"/>
    <x v="6"/>
    <x v="1"/>
  </r>
  <r>
    <x v="126"/>
    <n v="-9.3000000000000007"/>
    <x v="245"/>
    <n v="691.92"/>
    <s v="Complete Access"/>
    <x v="98"/>
    <x v="9"/>
    <x v="32"/>
    <d v="1900-01-27T00:00:00"/>
    <n v="35"/>
    <x v="6"/>
    <x v="1"/>
  </r>
  <r>
    <x v="127"/>
    <n v="-56.99"/>
    <x v="246"/>
    <n v="701.22"/>
    <s v="Complete Access"/>
    <x v="73"/>
    <x v="1"/>
    <x v="23"/>
    <d v="1900-01-26T00:00:00"/>
    <n v="35"/>
    <x v="6"/>
    <x v="1"/>
  </r>
  <r>
    <x v="127"/>
    <n v="-8.1199999999999992"/>
    <x v="247"/>
    <n v="758.21"/>
    <s v="Complete Access"/>
    <x v="99"/>
    <x v="8"/>
    <x v="29"/>
    <d v="1900-01-26T00:00:00"/>
    <n v="35"/>
    <x v="6"/>
    <x v="1"/>
  </r>
  <r>
    <x v="127"/>
    <n v="-48.19"/>
    <x v="248"/>
    <n v="766.33"/>
    <s v="Complete Access"/>
    <x v="8"/>
    <x v="1"/>
    <x v="5"/>
    <d v="1900-01-26T00:00:00"/>
    <n v="35"/>
    <x v="6"/>
    <x v="1"/>
  </r>
  <r>
    <x v="128"/>
    <n v="-9"/>
    <x v="141"/>
    <n v="814.52"/>
    <s v="Complete Access"/>
    <x v="58"/>
    <x v="8"/>
    <x v="29"/>
    <d v="1900-01-24T00:00:00"/>
    <n v="35"/>
    <x v="6"/>
    <x v="1"/>
  </r>
  <r>
    <x v="129"/>
    <n v="-9"/>
    <x v="249"/>
    <n v="823.52"/>
    <s v="Complete Access"/>
    <x v="58"/>
    <x v="8"/>
    <x v="29"/>
    <d v="1900-01-23T00:00:00"/>
    <n v="34"/>
    <x v="6"/>
    <x v="1"/>
  </r>
  <r>
    <x v="129"/>
    <n v="28"/>
    <x v="250"/>
    <n v="832.52"/>
    <s v="Complete Access"/>
    <x v="36"/>
    <x v="0"/>
    <x v="0"/>
    <d v="1900-01-23T00:00:00"/>
    <n v="34"/>
    <x v="6"/>
    <x v="1"/>
  </r>
  <r>
    <x v="129"/>
    <n v="-47.93"/>
    <x v="119"/>
    <n v="804.52"/>
    <s v="Complete Access"/>
    <x v="8"/>
    <x v="1"/>
    <x v="5"/>
    <d v="1900-01-23T00:00:00"/>
    <n v="34"/>
    <x v="6"/>
    <x v="1"/>
  </r>
  <r>
    <x v="129"/>
    <n v="600"/>
    <x v="251"/>
    <n v="852.45"/>
    <s v="Complete Access"/>
    <x v="36"/>
    <x v="0"/>
    <x v="0"/>
    <d v="1900-01-23T00:00:00"/>
    <n v="34"/>
    <x v="6"/>
    <x v="1"/>
  </r>
  <r>
    <x v="129"/>
    <n v="-42.22"/>
    <x v="252"/>
    <n v="252.45"/>
    <s v="Complete Access"/>
    <x v="82"/>
    <x v="1"/>
    <x v="5"/>
    <d v="1900-01-23T00:00:00"/>
    <n v="34"/>
    <x v="6"/>
    <x v="1"/>
  </r>
  <r>
    <x v="129"/>
    <n v="-31"/>
    <x v="253"/>
    <n v="294.67"/>
    <s v="Complete Access"/>
    <x v="17"/>
    <x v="7"/>
    <x v="11"/>
    <d v="1900-01-23T00:00:00"/>
    <n v="34"/>
    <x v="6"/>
    <x v="1"/>
  </r>
  <r>
    <x v="129"/>
    <n v="-33.6"/>
    <x v="254"/>
    <n v="325.67"/>
    <s v="Complete Access"/>
    <x v="100"/>
    <x v="9"/>
    <x v="32"/>
    <d v="1900-01-23T00:00:00"/>
    <n v="34"/>
    <x v="6"/>
    <x v="1"/>
  </r>
  <r>
    <x v="130"/>
    <n v="-30"/>
    <x v="255"/>
    <n v="359.27"/>
    <s v="Complete Access"/>
    <x v="101"/>
    <x v="8"/>
    <x v="29"/>
    <d v="1900-01-22T00:00:00"/>
    <n v="34"/>
    <x v="6"/>
    <x v="1"/>
  </r>
  <r>
    <x v="130"/>
    <n v="-0.63"/>
    <x v="256"/>
    <n v="389.27"/>
    <s v="Complete Access"/>
    <x v="10"/>
    <x v="0"/>
    <x v="0"/>
    <d v="1900-01-22T00:00:00"/>
    <n v="34"/>
    <x v="6"/>
    <x v="1"/>
  </r>
  <r>
    <x v="130"/>
    <n v="-17.88"/>
    <x v="257"/>
    <n v="389.9"/>
    <s v="Complete Access"/>
    <x v="102"/>
    <x v="8"/>
    <x v="40"/>
    <d v="1900-01-22T00:00:00"/>
    <n v="34"/>
    <x v="6"/>
    <x v="1"/>
  </r>
  <r>
    <x v="131"/>
    <n v="-57.49"/>
    <x v="258"/>
    <n v="407.78"/>
    <s v="Complete Access"/>
    <x v="91"/>
    <x v="9"/>
    <x v="12"/>
    <d v="1900-01-21T00:00:00"/>
    <n v="34"/>
    <x v="6"/>
    <x v="1"/>
  </r>
  <r>
    <x v="131"/>
    <n v="-0.34"/>
    <x v="259"/>
    <n v="465.27"/>
    <s v="Complete Access"/>
    <x v="10"/>
    <x v="0"/>
    <x v="0"/>
    <d v="1900-01-21T00:00:00"/>
    <n v="34"/>
    <x v="6"/>
    <x v="1"/>
  </r>
  <r>
    <x v="131"/>
    <n v="-9.84"/>
    <x v="260"/>
    <n v="465.61"/>
    <s v="Complete Access"/>
    <x v="103"/>
    <x v="8"/>
    <x v="40"/>
    <d v="1900-01-21T00:00:00"/>
    <n v="34"/>
    <x v="6"/>
    <x v="1"/>
  </r>
  <r>
    <x v="131"/>
    <n v="-4.04"/>
    <x v="259"/>
    <n v="475.45"/>
    <s v="Complete Access"/>
    <x v="10"/>
    <x v="0"/>
    <x v="0"/>
    <d v="1900-01-21T00:00:00"/>
    <n v="34"/>
    <x v="6"/>
    <x v="1"/>
  </r>
  <r>
    <x v="131"/>
    <n v="-115.55"/>
    <x v="261"/>
    <n v="479.49"/>
    <s v="Complete Access"/>
    <x v="104"/>
    <x v="1"/>
    <x v="5"/>
    <d v="1900-01-21T00:00:00"/>
    <n v="34"/>
    <x v="6"/>
    <x v="1"/>
  </r>
  <r>
    <x v="131"/>
    <n v="-138.87"/>
    <x v="262"/>
    <n v="595.04"/>
    <s v="Complete Access"/>
    <x v="3"/>
    <x v="2"/>
    <x v="2"/>
    <d v="1900-01-21T00:00:00"/>
    <n v="34"/>
    <x v="6"/>
    <x v="1"/>
  </r>
  <r>
    <x v="132"/>
    <n v="-0.23"/>
    <x v="263"/>
    <n v="733.91"/>
    <s v="Complete Access"/>
    <x v="10"/>
    <x v="0"/>
    <x v="0"/>
    <d v="1900-01-20T00:00:00"/>
    <n v="34"/>
    <x v="6"/>
    <x v="1"/>
  </r>
  <r>
    <x v="132"/>
    <n v="-6.66"/>
    <x v="264"/>
    <n v="734.14"/>
    <s v="Complete Access"/>
    <x v="103"/>
    <x v="8"/>
    <x v="40"/>
    <d v="1900-01-20T00:00:00"/>
    <n v="34"/>
    <x v="6"/>
    <x v="1"/>
  </r>
  <r>
    <x v="132"/>
    <n v="-2.38"/>
    <x v="263"/>
    <n v="740.8"/>
    <s v="Complete Access"/>
    <x v="10"/>
    <x v="0"/>
    <x v="0"/>
    <d v="1900-01-20T00:00:00"/>
    <n v="34"/>
    <x v="6"/>
    <x v="1"/>
  </r>
  <r>
    <x v="132"/>
    <n v="-68.12"/>
    <x v="265"/>
    <n v="743.18"/>
    <s v="Complete Access"/>
    <x v="105"/>
    <x v="8"/>
    <x v="40"/>
    <d v="1900-01-20T00:00:00"/>
    <n v="34"/>
    <x v="6"/>
    <x v="1"/>
  </r>
  <r>
    <x v="132"/>
    <n v="-0.89"/>
    <x v="263"/>
    <n v="811.3"/>
    <s v="Complete Access"/>
    <x v="10"/>
    <x v="0"/>
    <x v="0"/>
    <d v="1900-01-20T00:00:00"/>
    <n v="34"/>
    <x v="6"/>
    <x v="1"/>
  </r>
  <r>
    <x v="132"/>
    <n v="-25.31"/>
    <x v="266"/>
    <n v="812.19"/>
    <s v="Complete Access"/>
    <x v="106"/>
    <x v="5"/>
    <x v="41"/>
    <d v="1900-01-20T00:00:00"/>
    <n v="34"/>
    <x v="6"/>
    <x v="1"/>
  </r>
  <r>
    <x v="132"/>
    <n v="-1.1299999999999999"/>
    <x v="263"/>
    <n v="837.5"/>
    <s v="Complete Access"/>
    <x v="10"/>
    <x v="0"/>
    <x v="0"/>
    <d v="1900-01-20T00:00:00"/>
    <n v="34"/>
    <x v="6"/>
    <x v="1"/>
  </r>
  <r>
    <x v="132"/>
    <n v="-32.229999999999997"/>
    <x v="267"/>
    <n v="838.63"/>
    <s v="Complete Access"/>
    <x v="106"/>
    <x v="5"/>
    <x v="41"/>
    <d v="1900-01-20T00:00:00"/>
    <n v="34"/>
    <x v="6"/>
    <x v="1"/>
  </r>
  <r>
    <x v="132"/>
    <n v="-3.96"/>
    <x v="259"/>
    <n v="870.86"/>
    <s v="Complete Access"/>
    <x v="10"/>
    <x v="0"/>
    <x v="0"/>
    <d v="1900-01-20T00:00:00"/>
    <n v="34"/>
    <x v="6"/>
    <x v="1"/>
  </r>
  <r>
    <x v="132"/>
    <n v="-113.2"/>
    <x v="268"/>
    <n v="874.82"/>
    <s v="Complete Access"/>
    <x v="106"/>
    <x v="5"/>
    <x v="41"/>
    <d v="1900-01-20T00:00:00"/>
    <n v="34"/>
    <x v="6"/>
    <x v="1"/>
  </r>
  <r>
    <x v="133"/>
    <n v="-1.4"/>
    <x v="269"/>
    <n v="988.02"/>
    <s v="Complete Access"/>
    <x v="10"/>
    <x v="0"/>
    <x v="0"/>
    <d v="1900-01-19T00:00:00"/>
    <n v="34"/>
    <x v="6"/>
    <x v="1"/>
  </r>
  <r>
    <x v="133"/>
    <n v="-39.96"/>
    <x v="270"/>
    <n v="989.42"/>
    <s v="Complete Access"/>
    <x v="107"/>
    <x v="8"/>
    <x v="40"/>
    <d v="1900-01-19T00:00:00"/>
    <n v="34"/>
    <x v="6"/>
    <x v="1"/>
  </r>
  <r>
    <x v="133"/>
    <n v="-2.77"/>
    <x v="269"/>
    <n v="1029.3800000000001"/>
    <s v="Complete Access"/>
    <x v="10"/>
    <x v="0"/>
    <x v="0"/>
    <d v="1900-01-19T00:00:00"/>
    <n v="34"/>
    <x v="6"/>
    <x v="1"/>
  </r>
  <r>
    <x v="133"/>
    <n v="-79.22"/>
    <x v="271"/>
    <n v="1032.1500000000001"/>
    <s v="Complete Access"/>
    <x v="108"/>
    <x v="8"/>
    <x v="40"/>
    <d v="1900-01-19T00:00:00"/>
    <n v="34"/>
    <x v="6"/>
    <x v="1"/>
  </r>
  <r>
    <x v="133"/>
    <n v="-0.15"/>
    <x v="269"/>
    <n v="1111.3699999999999"/>
    <s v="Complete Access"/>
    <x v="10"/>
    <x v="0"/>
    <x v="0"/>
    <d v="1900-01-19T00:00:00"/>
    <n v="34"/>
    <x v="6"/>
    <x v="1"/>
  </r>
  <r>
    <x v="133"/>
    <n v="-4.41"/>
    <x v="272"/>
    <n v="1111.52"/>
    <s v="Complete Access"/>
    <x v="109"/>
    <x v="8"/>
    <x v="40"/>
    <d v="1900-01-19T00:00:00"/>
    <n v="34"/>
    <x v="6"/>
    <x v="1"/>
  </r>
  <r>
    <x v="133"/>
    <n v="-0.15"/>
    <x v="269"/>
    <n v="1115.93"/>
    <s v="Complete Access"/>
    <x v="10"/>
    <x v="0"/>
    <x v="0"/>
    <d v="1900-01-19T00:00:00"/>
    <n v="34"/>
    <x v="6"/>
    <x v="1"/>
  </r>
  <r>
    <x v="133"/>
    <n v="-4.41"/>
    <x v="272"/>
    <n v="1116.08"/>
    <s v="Complete Access"/>
    <x v="109"/>
    <x v="8"/>
    <x v="40"/>
    <d v="1900-01-19T00:00:00"/>
    <n v="34"/>
    <x v="6"/>
    <x v="1"/>
  </r>
  <r>
    <x v="133"/>
    <n v="-0.15"/>
    <x v="269"/>
    <n v="1120.49"/>
    <s v="Complete Access"/>
    <x v="10"/>
    <x v="0"/>
    <x v="0"/>
    <d v="1900-01-19T00:00:00"/>
    <n v="34"/>
    <x v="6"/>
    <x v="1"/>
  </r>
  <r>
    <x v="133"/>
    <n v="-4.41"/>
    <x v="272"/>
    <n v="1120.6400000000001"/>
    <s v="Complete Access"/>
    <x v="109"/>
    <x v="8"/>
    <x v="40"/>
    <d v="1900-01-19T00:00:00"/>
    <n v="34"/>
    <x v="6"/>
    <x v="1"/>
  </r>
  <r>
    <x v="133"/>
    <n v="-0.15"/>
    <x v="269"/>
    <n v="1125.05"/>
    <s v="Complete Access"/>
    <x v="10"/>
    <x v="0"/>
    <x v="0"/>
    <d v="1900-01-19T00:00:00"/>
    <n v="34"/>
    <x v="6"/>
    <x v="1"/>
  </r>
  <r>
    <x v="133"/>
    <n v="-4.3899999999999997"/>
    <x v="272"/>
    <n v="1125.2"/>
    <s v="Complete Access"/>
    <x v="109"/>
    <x v="8"/>
    <x v="40"/>
    <d v="1900-01-19T00:00:00"/>
    <n v="34"/>
    <x v="6"/>
    <x v="1"/>
  </r>
  <r>
    <x v="133"/>
    <n v="-11.75"/>
    <x v="269"/>
    <n v="1129.5899999999999"/>
    <s v="Complete Access"/>
    <x v="10"/>
    <x v="0"/>
    <x v="0"/>
    <d v="1900-01-19T00:00:00"/>
    <n v="34"/>
    <x v="6"/>
    <x v="1"/>
  </r>
  <r>
    <x v="133"/>
    <n v="-335.69"/>
    <x v="273"/>
    <n v="1141.3399999999999"/>
    <s v="Complete Access"/>
    <x v="110"/>
    <x v="8"/>
    <x v="40"/>
    <d v="1900-01-19T00:00:00"/>
    <n v="34"/>
    <x v="6"/>
    <x v="1"/>
  </r>
  <r>
    <x v="133"/>
    <n v="-1.92"/>
    <x v="274"/>
    <n v="1477.03"/>
    <s v="Complete Access"/>
    <x v="10"/>
    <x v="0"/>
    <x v="0"/>
    <d v="1900-01-19T00:00:00"/>
    <n v="34"/>
    <x v="6"/>
    <x v="1"/>
  </r>
  <r>
    <x v="133"/>
    <n v="-54.96"/>
    <x v="275"/>
    <n v="1478.95"/>
    <s v="Complete Access"/>
    <x v="111"/>
    <x v="8"/>
    <x v="40"/>
    <d v="1900-01-19T00:00:00"/>
    <n v="34"/>
    <x v="6"/>
    <x v="1"/>
  </r>
  <r>
    <x v="133"/>
    <n v="-1.87"/>
    <x v="269"/>
    <n v="1533.91"/>
    <s v="Complete Access"/>
    <x v="10"/>
    <x v="0"/>
    <x v="0"/>
    <d v="1900-01-19T00:00:00"/>
    <n v="34"/>
    <x v="6"/>
    <x v="1"/>
  </r>
  <r>
    <x v="133"/>
    <n v="-53.44"/>
    <x v="276"/>
    <n v="1535.78"/>
    <s v="Complete Access"/>
    <x v="111"/>
    <x v="8"/>
    <x v="40"/>
    <d v="1900-01-19T00:00:00"/>
    <n v="34"/>
    <x v="6"/>
    <x v="1"/>
  </r>
  <r>
    <x v="133"/>
    <n v="-0.11"/>
    <x v="277"/>
    <n v="1589.22"/>
    <s v="Complete Access"/>
    <x v="10"/>
    <x v="0"/>
    <x v="0"/>
    <d v="1900-01-19T00:00:00"/>
    <n v="34"/>
    <x v="6"/>
    <x v="1"/>
  </r>
  <r>
    <x v="133"/>
    <n v="-3.2"/>
    <x v="278"/>
    <n v="1589.33"/>
    <s v="Complete Access"/>
    <x v="112"/>
    <x v="8"/>
    <x v="40"/>
    <d v="1900-01-19T00:00:00"/>
    <n v="34"/>
    <x v="6"/>
    <x v="1"/>
  </r>
  <r>
    <x v="133"/>
    <n v="-14.34"/>
    <x v="279"/>
    <n v="1592.53"/>
    <s v="Complete Access"/>
    <x v="10"/>
    <x v="0"/>
    <x v="0"/>
    <d v="1900-01-19T00:00:00"/>
    <n v="34"/>
    <x v="6"/>
    <x v="1"/>
  </r>
  <r>
    <x v="133"/>
    <n v="-409.61"/>
    <x v="280"/>
    <n v="1606.87"/>
    <s v="Complete Access"/>
    <x v="113"/>
    <x v="8"/>
    <x v="40"/>
    <d v="1900-01-19T00:00:00"/>
    <n v="34"/>
    <x v="6"/>
    <x v="1"/>
  </r>
  <r>
    <x v="133"/>
    <n v="-59.99"/>
    <x v="281"/>
    <n v="2016.48"/>
    <s v="Complete Access"/>
    <x v="114"/>
    <x v="16"/>
    <x v="7"/>
    <d v="1900-01-19T00:00:00"/>
    <n v="34"/>
    <x v="6"/>
    <x v="1"/>
  </r>
  <r>
    <x v="133"/>
    <n v="-1.82"/>
    <x v="279"/>
    <n v="2076.4699999999998"/>
    <s v="Complete Access"/>
    <x v="10"/>
    <x v="0"/>
    <x v="0"/>
    <d v="1900-01-19T00:00:00"/>
    <n v="34"/>
    <x v="6"/>
    <x v="1"/>
  </r>
  <r>
    <x v="133"/>
    <n v="-52.09"/>
    <x v="282"/>
    <n v="2078.29"/>
    <s v="Complete Access"/>
    <x v="115"/>
    <x v="8"/>
    <x v="40"/>
    <d v="1900-01-19T00:00:00"/>
    <n v="34"/>
    <x v="6"/>
    <x v="1"/>
  </r>
  <r>
    <x v="133"/>
    <n v="-2.2200000000000002"/>
    <x v="263"/>
    <n v="2130.38"/>
    <s v="Complete Access"/>
    <x v="10"/>
    <x v="0"/>
    <x v="0"/>
    <d v="1900-01-19T00:00:00"/>
    <n v="34"/>
    <x v="6"/>
    <x v="1"/>
  </r>
  <r>
    <x v="133"/>
    <n v="-63.41"/>
    <x v="283"/>
    <n v="2132.6"/>
    <s v="Complete Access"/>
    <x v="116"/>
    <x v="8"/>
    <x v="40"/>
    <d v="1900-01-19T00:00:00"/>
    <n v="34"/>
    <x v="6"/>
    <x v="1"/>
  </r>
  <r>
    <x v="133"/>
    <n v="-0.5"/>
    <x v="279"/>
    <n v="2196.0100000000002"/>
    <s v="Complete Access"/>
    <x v="10"/>
    <x v="0"/>
    <x v="0"/>
    <d v="1900-01-19T00:00:00"/>
    <n v="34"/>
    <x v="6"/>
    <x v="1"/>
  </r>
  <r>
    <x v="133"/>
    <n v="-14.23"/>
    <x v="284"/>
    <n v="2196.5100000000002"/>
    <s v="Complete Access"/>
    <x v="106"/>
    <x v="5"/>
    <x v="41"/>
    <d v="1900-01-19T00:00:00"/>
    <n v="34"/>
    <x v="6"/>
    <x v="1"/>
  </r>
  <r>
    <x v="133"/>
    <n v="-3.18"/>
    <x v="279"/>
    <n v="2210.7399999999998"/>
    <s v="Complete Access"/>
    <x v="10"/>
    <x v="0"/>
    <x v="0"/>
    <d v="1900-01-19T00:00:00"/>
    <n v="34"/>
    <x v="6"/>
    <x v="1"/>
  </r>
  <r>
    <x v="133"/>
    <n v="-90.83"/>
    <x v="285"/>
    <n v="2213.92"/>
    <s v="Complete Access"/>
    <x v="117"/>
    <x v="8"/>
    <x v="40"/>
    <d v="1900-01-19T00:00:00"/>
    <n v="34"/>
    <x v="6"/>
    <x v="1"/>
  </r>
  <r>
    <x v="133"/>
    <n v="-0.85"/>
    <x v="279"/>
    <n v="2304.75"/>
    <s v="Complete Access"/>
    <x v="10"/>
    <x v="0"/>
    <x v="0"/>
    <d v="1900-01-19T00:00:00"/>
    <n v="34"/>
    <x v="6"/>
    <x v="1"/>
  </r>
  <r>
    <x v="133"/>
    <n v="-24.39"/>
    <x v="286"/>
    <n v="2305.6"/>
    <s v="Complete Access"/>
    <x v="106"/>
    <x v="5"/>
    <x v="41"/>
    <d v="1900-01-19T00:00:00"/>
    <n v="34"/>
    <x v="6"/>
    <x v="1"/>
  </r>
  <r>
    <x v="134"/>
    <n v="-1.98"/>
    <x v="269"/>
    <n v="2329.9899999999998"/>
    <s v="Complete Access"/>
    <x v="10"/>
    <x v="0"/>
    <x v="0"/>
    <d v="1900-01-16T00:00:00"/>
    <n v="33"/>
    <x v="6"/>
    <x v="1"/>
  </r>
  <r>
    <x v="134"/>
    <n v="-56.71"/>
    <x v="287"/>
    <n v="2331.9699999999998"/>
    <s v="Complete Access"/>
    <x v="118"/>
    <x v="8"/>
    <x v="40"/>
    <d v="1900-01-16T00:00:00"/>
    <n v="33"/>
    <x v="6"/>
    <x v="1"/>
  </r>
  <r>
    <x v="134"/>
    <n v="-0.21"/>
    <x v="274"/>
    <n v="2388.6799999999998"/>
    <s v="Complete Access"/>
    <x v="10"/>
    <x v="0"/>
    <x v="0"/>
    <d v="1900-01-16T00:00:00"/>
    <n v="33"/>
    <x v="6"/>
    <x v="1"/>
  </r>
  <r>
    <x v="134"/>
    <n v="-6.05"/>
    <x v="288"/>
    <n v="2388.89"/>
    <s v="Complete Access"/>
    <x v="119"/>
    <x v="8"/>
    <x v="40"/>
    <d v="1900-01-16T00:00:00"/>
    <n v="33"/>
    <x v="6"/>
    <x v="1"/>
  </r>
  <r>
    <x v="134"/>
    <n v="-0.15"/>
    <x v="274"/>
    <n v="2394.94"/>
    <s v="Complete Access"/>
    <x v="10"/>
    <x v="0"/>
    <x v="0"/>
    <d v="1900-01-16T00:00:00"/>
    <n v="33"/>
    <x v="6"/>
    <x v="1"/>
  </r>
  <r>
    <x v="134"/>
    <n v="-4.3899999999999997"/>
    <x v="289"/>
    <n v="2395.09"/>
    <s v="Complete Access"/>
    <x v="109"/>
    <x v="8"/>
    <x v="40"/>
    <d v="1900-01-16T00:00:00"/>
    <n v="33"/>
    <x v="6"/>
    <x v="1"/>
  </r>
  <r>
    <x v="134"/>
    <n v="-0.15"/>
    <x v="274"/>
    <n v="2399.48"/>
    <s v="Complete Access"/>
    <x v="10"/>
    <x v="0"/>
    <x v="0"/>
    <d v="1900-01-16T00:00:00"/>
    <n v="33"/>
    <x v="6"/>
    <x v="1"/>
  </r>
  <r>
    <x v="134"/>
    <n v="-4.41"/>
    <x v="289"/>
    <n v="2399.63"/>
    <s v="Complete Access"/>
    <x v="109"/>
    <x v="8"/>
    <x v="40"/>
    <d v="1900-01-16T00:00:00"/>
    <n v="33"/>
    <x v="6"/>
    <x v="1"/>
  </r>
  <r>
    <x v="134"/>
    <n v="-0.15"/>
    <x v="274"/>
    <n v="2404.04"/>
    <s v="Complete Access"/>
    <x v="10"/>
    <x v="0"/>
    <x v="0"/>
    <d v="1900-01-16T00:00:00"/>
    <n v="33"/>
    <x v="6"/>
    <x v="1"/>
  </r>
  <r>
    <x v="134"/>
    <n v="-4.41"/>
    <x v="290"/>
    <n v="2404.19"/>
    <s v="Complete Access"/>
    <x v="109"/>
    <x v="8"/>
    <x v="40"/>
    <d v="1900-01-16T00:00:00"/>
    <n v="33"/>
    <x v="6"/>
    <x v="1"/>
  </r>
  <r>
    <x v="134"/>
    <n v="-0.77"/>
    <x v="274"/>
    <n v="2408.6"/>
    <s v="Complete Access"/>
    <x v="10"/>
    <x v="0"/>
    <x v="0"/>
    <d v="1900-01-16T00:00:00"/>
    <n v="33"/>
    <x v="6"/>
    <x v="1"/>
  </r>
  <r>
    <x v="134"/>
    <n v="-21.99"/>
    <x v="291"/>
    <n v="2409.37"/>
    <s v="Complete Access"/>
    <x v="106"/>
    <x v="5"/>
    <x v="41"/>
    <d v="1900-01-16T00:00:00"/>
    <n v="33"/>
    <x v="6"/>
    <x v="1"/>
  </r>
  <r>
    <x v="134"/>
    <n v="-5.33"/>
    <x v="292"/>
    <n v="2431.36"/>
    <s v="Complete Access"/>
    <x v="10"/>
    <x v="0"/>
    <x v="0"/>
    <d v="1900-01-16T00:00:00"/>
    <n v="33"/>
    <x v="6"/>
    <x v="1"/>
  </r>
  <r>
    <x v="134"/>
    <n v="-152.22"/>
    <x v="293"/>
    <n v="2436.69"/>
    <s v="Complete Access"/>
    <x v="120"/>
    <x v="8"/>
    <x v="40"/>
    <d v="1900-01-16T00:00:00"/>
    <n v="33"/>
    <x v="6"/>
    <x v="1"/>
  </r>
  <r>
    <x v="134"/>
    <n v="-1.05"/>
    <x v="292"/>
    <n v="2588.91"/>
    <s v="Complete Access"/>
    <x v="10"/>
    <x v="0"/>
    <x v="0"/>
    <d v="1900-01-16T00:00:00"/>
    <n v="33"/>
    <x v="6"/>
    <x v="1"/>
  </r>
  <r>
    <x v="134"/>
    <n v="-29.94"/>
    <x v="294"/>
    <n v="2589.96"/>
    <s v="Complete Access"/>
    <x v="121"/>
    <x v="8"/>
    <x v="40"/>
    <d v="1900-01-16T00:00:00"/>
    <n v="33"/>
    <x v="6"/>
    <x v="1"/>
  </r>
  <r>
    <x v="134"/>
    <n v="-0.65"/>
    <x v="292"/>
    <n v="2619.9"/>
    <s v="Complete Access"/>
    <x v="10"/>
    <x v="0"/>
    <x v="0"/>
    <d v="1900-01-16T00:00:00"/>
    <n v="33"/>
    <x v="6"/>
    <x v="1"/>
  </r>
  <r>
    <x v="134"/>
    <n v="-18.66"/>
    <x v="295"/>
    <n v="2620.5500000000002"/>
    <s v="Complete Access"/>
    <x v="122"/>
    <x v="8"/>
    <x v="40"/>
    <d v="1900-01-16T00:00:00"/>
    <n v="33"/>
    <x v="6"/>
    <x v="1"/>
  </r>
  <r>
    <x v="134"/>
    <n v="-0.11"/>
    <x v="292"/>
    <n v="2639.21"/>
    <s v="Complete Access"/>
    <x v="10"/>
    <x v="0"/>
    <x v="0"/>
    <d v="1900-01-16T00:00:00"/>
    <n v="33"/>
    <x v="6"/>
    <x v="1"/>
  </r>
  <r>
    <x v="134"/>
    <n v="-3.16"/>
    <x v="296"/>
    <n v="2639.32"/>
    <s v="Complete Access"/>
    <x v="123"/>
    <x v="8"/>
    <x v="40"/>
    <d v="1900-01-16T00:00:00"/>
    <n v="33"/>
    <x v="6"/>
    <x v="1"/>
  </r>
  <r>
    <x v="134"/>
    <n v="-24.99"/>
    <x v="297"/>
    <n v="2642.48"/>
    <s v="Complete Access"/>
    <x v="114"/>
    <x v="16"/>
    <x v="7"/>
    <d v="1900-01-16T00:00:00"/>
    <n v="33"/>
    <x v="6"/>
    <x v="1"/>
  </r>
  <r>
    <x v="134"/>
    <n v="-2.27"/>
    <x v="269"/>
    <n v="2667.47"/>
    <s v="Complete Access"/>
    <x v="10"/>
    <x v="0"/>
    <x v="0"/>
    <d v="1900-01-16T00:00:00"/>
    <n v="33"/>
    <x v="6"/>
    <x v="1"/>
  </r>
  <r>
    <x v="134"/>
    <n v="-64.81"/>
    <x v="298"/>
    <n v="2669.74"/>
    <s v="Complete Access"/>
    <x v="124"/>
    <x v="8"/>
    <x v="40"/>
    <d v="1900-01-16T00:00:00"/>
    <n v="33"/>
    <x v="6"/>
    <x v="1"/>
  </r>
  <r>
    <x v="135"/>
    <n v="-0.15"/>
    <x v="292"/>
    <n v="2734.55"/>
    <s v="Complete Access"/>
    <x v="10"/>
    <x v="0"/>
    <x v="0"/>
    <d v="1900-01-15T00:00:00"/>
    <n v="33"/>
    <x v="6"/>
    <x v="1"/>
  </r>
  <r>
    <x v="135"/>
    <n v="-4.41"/>
    <x v="290"/>
    <n v="2734.7"/>
    <s v="Complete Access"/>
    <x v="109"/>
    <x v="8"/>
    <x v="40"/>
    <d v="1900-01-15T00:00:00"/>
    <n v="33"/>
    <x v="6"/>
    <x v="1"/>
  </r>
  <r>
    <x v="135"/>
    <n v="-0.15"/>
    <x v="292"/>
    <n v="2739.11"/>
    <s v="Complete Access"/>
    <x v="10"/>
    <x v="0"/>
    <x v="0"/>
    <d v="1900-01-15T00:00:00"/>
    <n v="33"/>
    <x v="6"/>
    <x v="1"/>
  </r>
  <r>
    <x v="135"/>
    <n v="-4.41"/>
    <x v="290"/>
    <n v="2739.26"/>
    <s v="Complete Access"/>
    <x v="109"/>
    <x v="8"/>
    <x v="40"/>
    <d v="1900-01-15T00:00:00"/>
    <n v="33"/>
    <x v="6"/>
    <x v="1"/>
  </r>
  <r>
    <x v="135"/>
    <n v="-0.15"/>
    <x v="292"/>
    <n v="2743.67"/>
    <s v="Complete Access"/>
    <x v="10"/>
    <x v="0"/>
    <x v="0"/>
    <d v="1900-01-15T00:00:00"/>
    <n v="33"/>
    <x v="6"/>
    <x v="1"/>
  </r>
  <r>
    <x v="135"/>
    <n v="-4.42"/>
    <x v="290"/>
    <n v="2743.82"/>
    <s v="Complete Access"/>
    <x v="109"/>
    <x v="8"/>
    <x v="40"/>
    <d v="1900-01-15T00:00:00"/>
    <n v="33"/>
    <x v="6"/>
    <x v="1"/>
  </r>
  <r>
    <x v="135"/>
    <n v="-0.41"/>
    <x v="292"/>
    <n v="2748.24"/>
    <s v="Complete Access"/>
    <x v="10"/>
    <x v="0"/>
    <x v="0"/>
    <d v="1900-01-15T00:00:00"/>
    <n v="33"/>
    <x v="6"/>
    <x v="1"/>
  </r>
  <r>
    <x v="135"/>
    <n v="-11.58"/>
    <x v="299"/>
    <n v="2748.65"/>
    <s v="Complete Access"/>
    <x v="125"/>
    <x v="8"/>
    <x v="40"/>
    <d v="1900-01-15T00:00:00"/>
    <n v="33"/>
    <x v="6"/>
    <x v="1"/>
  </r>
  <r>
    <x v="135"/>
    <n v="-4.0599999999999996"/>
    <x v="292"/>
    <n v="2760.23"/>
    <s v="Complete Access"/>
    <x v="10"/>
    <x v="0"/>
    <x v="0"/>
    <d v="1900-01-15T00:00:00"/>
    <n v="33"/>
    <x v="6"/>
    <x v="1"/>
  </r>
  <r>
    <x v="135"/>
    <n v="-115.86"/>
    <x v="300"/>
    <n v="2764.29"/>
    <s v="Complete Access"/>
    <x v="126"/>
    <x v="8"/>
    <x v="40"/>
    <d v="1900-01-15T00:00:00"/>
    <n v="33"/>
    <x v="6"/>
    <x v="1"/>
  </r>
  <r>
    <x v="135"/>
    <n v="-0.5"/>
    <x v="301"/>
    <n v="2880.15"/>
    <s v="Complete Access"/>
    <x v="10"/>
    <x v="0"/>
    <x v="0"/>
    <d v="1900-01-15T00:00:00"/>
    <n v="33"/>
    <x v="6"/>
    <x v="1"/>
  </r>
  <r>
    <x v="135"/>
    <n v="-14.26"/>
    <x v="302"/>
    <n v="2880.65"/>
    <s v="Complete Access"/>
    <x v="127"/>
    <x v="8"/>
    <x v="40"/>
    <d v="1900-01-15T00:00:00"/>
    <n v="33"/>
    <x v="6"/>
    <x v="1"/>
  </r>
  <r>
    <x v="135"/>
    <n v="-0.11"/>
    <x v="301"/>
    <n v="2894.91"/>
    <s v="Complete Access"/>
    <x v="10"/>
    <x v="0"/>
    <x v="0"/>
    <d v="1900-01-15T00:00:00"/>
    <n v="33"/>
    <x v="6"/>
    <x v="1"/>
  </r>
  <r>
    <x v="135"/>
    <n v="-3.17"/>
    <x v="303"/>
    <n v="2895.02"/>
    <s v="Complete Access"/>
    <x v="127"/>
    <x v="8"/>
    <x v="40"/>
    <d v="1900-01-15T00:00:00"/>
    <n v="33"/>
    <x v="6"/>
    <x v="1"/>
  </r>
  <r>
    <x v="135"/>
    <n v="-1.5"/>
    <x v="292"/>
    <n v="2898.19"/>
    <s v="Complete Access"/>
    <x v="10"/>
    <x v="0"/>
    <x v="0"/>
    <d v="1900-01-15T00:00:00"/>
    <n v="33"/>
    <x v="6"/>
    <x v="1"/>
  </r>
  <r>
    <x v="135"/>
    <n v="-42.73"/>
    <x v="304"/>
    <n v="2899.69"/>
    <s v="Complete Access"/>
    <x v="128"/>
    <x v="8"/>
    <x v="40"/>
    <d v="1900-01-15T00:00:00"/>
    <n v="33"/>
    <x v="6"/>
    <x v="1"/>
  </r>
  <r>
    <x v="135"/>
    <n v="-1.39"/>
    <x v="274"/>
    <n v="2942.42"/>
    <s v="Complete Access"/>
    <x v="10"/>
    <x v="0"/>
    <x v="0"/>
    <d v="1900-01-15T00:00:00"/>
    <n v="33"/>
    <x v="6"/>
    <x v="1"/>
  </r>
  <r>
    <x v="135"/>
    <n v="-39.75"/>
    <x v="305"/>
    <n v="2943.81"/>
    <s v="Complete Access"/>
    <x v="106"/>
    <x v="5"/>
    <x v="41"/>
    <d v="1900-01-15T00:00:00"/>
    <n v="33"/>
    <x v="6"/>
    <x v="1"/>
  </r>
  <r>
    <x v="136"/>
    <n v="-11.8"/>
    <x v="11"/>
    <n v="2983.56"/>
    <s v="Complete Access"/>
    <x v="9"/>
    <x v="4"/>
    <x v="6"/>
    <d v="1900-01-14T00:00:00"/>
    <n v="33"/>
    <x v="6"/>
    <x v="1"/>
  </r>
  <r>
    <x v="136"/>
    <n v="-6.15"/>
    <x v="306"/>
    <n v="2995.36"/>
    <s v="Complete Access"/>
    <x v="129"/>
    <x v="0"/>
    <x v="42"/>
    <d v="1900-01-14T00:00:00"/>
    <n v="33"/>
    <x v="6"/>
    <x v="1"/>
  </r>
  <r>
    <x v="136"/>
    <n v="-32.83"/>
    <x v="307"/>
    <n v="3001.51"/>
    <s v="Complete Access"/>
    <x v="130"/>
    <x v="0"/>
    <x v="0"/>
    <d v="1900-01-14T00:00:00"/>
    <n v="33"/>
    <x v="6"/>
    <x v="1"/>
  </r>
  <r>
    <x v="136"/>
    <n v="-1408.62"/>
    <x v="15"/>
    <n v="3034.34"/>
    <s v="Complete Access"/>
    <x v="13"/>
    <x v="0"/>
    <x v="0"/>
    <d v="1900-01-14T00:00:00"/>
    <n v="33"/>
    <x v="6"/>
    <x v="1"/>
  </r>
  <r>
    <x v="136"/>
    <n v="-0.23"/>
    <x v="301"/>
    <n v="4442.96"/>
    <s v="Complete Access"/>
    <x v="10"/>
    <x v="0"/>
    <x v="0"/>
    <d v="1900-01-14T00:00:00"/>
    <n v="33"/>
    <x v="6"/>
    <x v="1"/>
  </r>
  <r>
    <x v="136"/>
    <n v="-6.47"/>
    <x v="308"/>
    <n v="4443.1899999999996"/>
    <s v="Complete Access"/>
    <x v="109"/>
    <x v="8"/>
    <x v="40"/>
    <d v="1900-01-14T00:00:00"/>
    <n v="33"/>
    <x v="6"/>
    <x v="1"/>
  </r>
  <r>
    <x v="136"/>
    <n v="-0.15"/>
    <x v="301"/>
    <n v="4449.66"/>
    <s v="Complete Access"/>
    <x v="10"/>
    <x v="0"/>
    <x v="0"/>
    <d v="1900-01-14T00:00:00"/>
    <n v="33"/>
    <x v="6"/>
    <x v="1"/>
  </r>
  <r>
    <x v="136"/>
    <n v="-4.42"/>
    <x v="309"/>
    <n v="4449.8100000000004"/>
    <s v="Complete Access"/>
    <x v="109"/>
    <x v="8"/>
    <x v="40"/>
    <d v="1900-01-14T00:00:00"/>
    <n v="33"/>
    <x v="6"/>
    <x v="1"/>
  </r>
  <r>
    <x v="136"/>
    <n v="-0.3"/>
    <x v="301"/>
    <n v="4454.2299999999996"/>
    <s v="Complete Access"/>
    <x v="10"/>
    <x v="0"/>
    <x v="0"/>
    <d v="1900-01-14T00:00:00"/>
    <n v="33"/>
    <x v="6"/>
    <x v="1"/>
  </r>
  <r>
    <x v="136"/>
    <n v="-8.64"/>
    <x v="310"/>
    <n v="4454.53"/>
    <s v="Complete Access"/>
    <x v="131"/>
    <x v="8"/>
    <x v="40"/>
    <d v="1900-01-14T00:00:00"/>
    <n v="33"/>
    <x v="6"/>
    <x v="1"/>
  </r>
  <r>
    <x v="136"/>
    <n v="-0.53"/>
    <x v="301"/>
    <n v="4463.17"/>
    <s v="Complete Access"/>
    <x v="10"/>
    <x v="0"/>
    <x v="0"/>
    <d v="1900-01-14T00:00:00"/>
    <n v="33"/>
    <x v="6"/>
    <x v="1"/>
  </r>
  <r>
    <x v="136"/>
    <n v="-15.05"/>
    <x v="311"/>
    <n v="4463.7"/>
    <s v="Complete Access"/>
    <x v="132"/>
    <x v="8"/>
    <x v="40"/>
    <d v="1900-01-14T00:00:00"/>
    <n v="33"/>
    <x v="6"/>
    <x v="1"/>
  </r>
  <r>
    <x v="136"/>
    <n v="-1.71"/>
    <x v="292"/>
    <n v="4478.75"/>
    <s v="Complete Access"/>
    <x v="10"/>
    <x v="0"/>
    <x v="0"/>
    <d v="1900-01-14T00:00:00"/>
    <n v="33"/>
    <x v="6"/>
    <x v="1"/>
  </r>
  <r>
    <x v="136"/>
    <n v="-48.94"/>
    <x v="312"/>
    <n v="4480.46"/>
    <s v="Complete Access"/>
    <x v="128"/>
    <x v="8"/>
    <x v="40"/>
    <d v="1900-01-14T00:00:00"/>
    <n v="33"/>
    <x v="6"/>
    <x v="1"/>
  </r>
  <r>
    <x v="136"/>
    <n v="-1.86"/>
    <x v="301"/>
    <n v="4529.3999999999996"/>
    <s v="Complete Access"/>
    <x v="10"/>
    <x v="0"/>
    <x v="0"/>
    <d v="1900-01-14T00:00:00"/>
    <n v="33"/>
    <x v="6"/>
    <x v="1"/>
  </r>
  <r>
    <x v="136"/>
    <n v="-53.02"/>
    <x v="313"/>
    <n v="4531.26"/>
    <s v="Complete Access"/>
    <x v="133"/>
    <x v="8"/>
    <x v="40"/>
    <d v="1900-01-14T00:00:00"/>
    <n v="33"/>
    <x v="6"/>
    <x v="1"/>
  </r>
  <r>
    <x v="136"/>
    <n v="-0.8"/>
    <x v="292"/>
    <n v="4584.28"/>
    <s v="Complete Access"/>
    <x v="10"/>
    <x v="0"/>
    <x v="0"/>
    <d v="1900-01-14T00:00:00"/>
    <n v="33"/>
    <x v="6"/>
    <x v="1"/>
  </r>
  <r>
    <x v="136"/>
    <n v="-22.96"/>
    <x v="314"/>
    <n v="4585.08"/>
    <s v="Complete Access"/>
    <x v="106"/>
    <x v="5"/>
    <x v="41"/>
    <d v="1900-01-14T00:00:00"/>
    <n v="33"/>
    <x v="6"/>
    <x v="1"/>
  </r>
  <r>
    <x v="136"/>
    <n v="2672"/>
    <x v="315"/>
    <n v="4608.04"/>
    <s v="Complete Access"/>
    <x v="14"/>
    <x v="6"/>
    <x v="9"/>
    <d v="1900-01-14T00:00:00"/>
    <n v="33"/>
    <x v="6"/>
    <x v="1"/>
  </r>
  <r>
    <x v="137"/>
    <n v="-3.73"/>
    <x v="316"/>
    <n v="1936.04"/>
    <s v="Complete Access"/>
    <x v="10"/>
    <x v="0"/>
    <x v="0"/>
    <d v="1900-01-12T00:00:00"/>
    <n v="33"/>
    <x v="6"/>
    <x v="1"/>
  </r>
  <r>
    <x v="137"/>
    <n v="-106.7"/>
    <x v="317"/>
    <n v="1939.77"/>
    <s v="Complete Access"/>
    <x v="134"/>
    <x v="8"/>
    <x v="40"/>
    <d v="1900-01-12T00:00:00"/>
    <n v="33"/>
    <x v="6"/>
    <x v="1"/>
  </r>
  <r>
    <x v="137"/>
    <n v="-12.69"/>
    <x v="318"/>
    <n v="2046.47"/>
    <s v="Complete Access"/>
    <x v="10"/>
    <x v="0"/>
    <x v="0"/>
    <d v="1900-01-12T00:00:00"/>
    <n v="33"/>
    <x v="6"/>
    <x v="1"/>
  </r>
  <r>
    <x v="137"/>
    <n v="-362.63"/>
    <x v="319"/>
    <n v="2059.16"/>
    <s v="Complete Access"/>
    <x v="135"/>
    <x v="8"/>
    <x v="40"/>
    <d v="1900-01-12T00:00:00"/>
    <n v="33"/>
    <x v="6"/>
    <x v="1"/>
  </r>
  <r>
    <x v="137"/>
    <n v="-1.17"/>
    <x v="320"/>
    <n v="2421.79"/>
    <s v="Complete Access"/>
    <x v="10"/>
    <x v="0"/>
    <x v="0"/>
    <d v="1900-01-12T00:00:00"/>
    <n v="33"/>
    <x v="6"/>
    <x v="1"/>
  </r>
  <r>
    <x v="137"/>
    <n v="-33.520000000000003"/>
    <x v="321"/>
    <n v="2422.96"/>
    <s v="Complete Access"/>
    <x v="11"/>
    <x v="4"/>
    <x v="7"/>
    <d v="1900-01-12T00:00:00"/>
    <n v="33"/>
    <x v="6"/>
    <x v="1"/>
  </r>
  <r>
    <x v="138"/>
    <n v="-4.2699999999999996"/>
    <x v="322"/>
    <n v="2456.48"/>
    <s v="Complete Access"/>
    <x v="10"/>
    <x v="0"/>
    <x v="0"/>
    <d v="1900-01-09T00:00:00"/>
    <n v="32"/>
    <x v="6"/>
    <x v="1"/>
  </r>
  <r>
    <x v="138"/>
    <n v="-121.9"/>
    <x v="323"/>
    <n v="2460.75"/>
    <s v="Complete Access"/>
    <x v="136"/>
    <x v="8"/>
    <x v="40"/>
    <d v="1900-01-09T00:00:00"/>
    <n v="32"/>
    <x v="6"/>
    <x v="1"/>
  </r>
  <r>
    <x v="138"/>
    <n v="-2.1"/>
    <x v="324"/>
    <n v="2582.65"/>
    <s v="Complete Access"/>
    <x v="10"/>
    <x v="0"/>
    <x v="0"/>
    <d v="1900-01-09T00:00:00"/>
    <n v="32"/>
    <x v="6"/>
    <x v="1"/>
  </r>
  <r>
    <x v="138"/>
    <n v="-60.03"/>
    <x v="325"/>
    <n v="2584.75"/>
    <s v="Complete Access"/>
    <x v="137"/>
    <x v="8"/>
    <x v="40"/>
    <d v="1900-01-09T00:00:00"/>
    <n v="32"/>
    <x v="6"/>
    <x v="1"/>
  </r>
  <r>
    <x v="138"/>
    <n v="-2.89"/>
    <x v="324"/>
    <n v="2644.78"/>
    <s v="Complete Access"/>
    <x v="10"/>
    <x v="0"/>
    <x v="0"/>
    <d v="1900-01-09T00:00:00"/>
    <n v="32"/>
    <x v="6"/>
    <x v="1"/>
  </r>
  <r>
    <x v="138"/>
    <n v="-82.49"/>
    <x v="326"/>
    <n v="2647.67"/>
    <s v="Complete Access"/>
    <x v="138"/>
    <x v="8"/>
    <x v="40"/>
    <d v="1900-01-09T00:00:00"/>
    <n v="32"/>
    <x v="6"/>
    <x v="1"/>
  </r>
  <r>
    <x v="139"/>
    <n v="-89"/>
    <x v="327"/>
    <n v="2730.16"/>
    <s v="Complete Access"/>
    <x v="17"/>
    <x v="7"/>
    <x v="11"/>
    <d v="1900-01-08T00:00:00"/>
    <n v="32"/>
    <x v="6"/>
    <x v="1"/>
  </r>
  <r>
    <x v="140"/>
    <n v="-3.61"/>
    <x v="324"/>
    <n v="2819.16"/>
    <s v="Complete Access"/>
    <x v="10"/>
    <x v="0"/>
    <x v="0"/>
    <d v="1900-01-07T00:00:00"/>
    <n v="32"/>
    <x v="6"/>
    <x v="1"/>
  </r>
  <r>
    <x v="140"/>
    <n v="-103.02"/>
    <x v="328"/>
    <n v="2822.77"/>
    <s v="Complete Access"/>
    <x v="8"/>
    <x v="1"/>
    <x v="5"/>
    <d v="1900-01-07T00:00:00"/>
    <n v="32"/>
    <x v="6"/>
    <x v="1"/>
  </r>
  <r>
    <x v="141"/>
    <n v="-6.74"/>
    <x v="329"/>
    <n v="2925.79"/>
    <s v="Complete Access"/>
    <x v="10"/>
    <x v="0"/>
    <x v="0"/>
    <d v="1900-01-05T00:00:00"/>
    <n v="32"/>
    <x v="6"/>
    <x v="1"/>
  </r>
  <r>
    <x v="141"/>
    <n v="-192.53"/>
    <x v="330"/>
    <n v="2932.53"/>
    <s v="Complete Access"/>
    <x v="139"/>
    <x v="8"/>
    <x v="40"/>
    <d v="1900-01-05T00:00:00"/>
    <n v="32"/>
    <x v="6"/>
    <x v="1"/>
  </r>
  <r>
    <x v="141"/>
    <n v="-1.08"/>
    <x v="331"/>
    <n v="3125.06"/>
    <s v="Complete Access"/>
    <x v="10"/>
    <x v="0"/>
    <x v="0"/>
    <d v="1900-01-05T00:00:00"/>
    <n v="32"/>
    <x v="6"/>
    <x v="1"/>
  </r>
  <r>
    <x v="141"/>
    <n v="-30.85"/>
    <x v="332"/>
    <n v="3126.14"/>
    <s v="Complete Access"/>
    <x v="106"/>
    <x v="5"/>
    <x v="41"/>
    <d v="1900-01-05T00:00:00"/>
    <n v="32"/>
    <x v="6"/>
    <x v="1"/>
  </r>
  <r>
    <x v="141"/>
    <n v="-0.75"/>
    <x v="331"/>
    <n v="3156.99"/>
    <s v="Complete Access"/>
    <x v="10"/>
    <x v="0"/>
    <x v="0"/>
    <d v="1900-01-05T00:00:00"/>
    <n v="32"/>
    <x v="6"/>
    <x v="1"/>
  </r>
  <r>
    <x v="141"/>
    <n v="-21.47"/>
    <x v="333"/>
    <n v="3157.74"/>
    <s v="Complete Access"/>
    <x v="106"/>
    <x v="5"/>
    <x v="41"/>
    <d v="1900-01-05T00:00:00"/>
    <n v="32"/>
    <x v="6"/>
    <x v="1"/>
  </r>
  <r>
    <x v="141"/>
    <n v="-1.04"/>
    <x v="331"/>
    <n v="3179.21"/>
    <s v="Complete Access"/>
    <x v="10"/>
    <x v="0"/>
    <x v="0"/>
    <d v="1900-01-05T00:00:00"/>
    <n v="32"/>
    <x v="6"/>
    <x v="1"/>
  </r>
  <r>
    <x v="141"/>
    <n v="-29.61"/>
    <x v="334"/>
    <n v="3180.25"/>
    <s v="Complete Access"/>
    <x v="140"/>
    <x v="8"/>
    <x v="40"/>
    <d v="1900-01-05T00:00:00"/>
    <n v="32"/>
    <x v="6"/>
    <x v="1"/>
  </r>
  <r>
    <x v="141"/>
    <n v="-8.64"/>
    <x v="335"/>
    <n v="3209.86"/>
    <s v="Complete Access"/>
    <x v="10"/>
    <x v="0"/>
    <x v="0"/>
    <d v="1900-01-05T00:00:00"/>
    <n v="32"/>
    <x v="6"/>
    <x v="1"/>
  </r>
  <r>
    <x v="141"/>
    <n v="-246.93"/>
    <x v="336"/>
    <n v="3218.5"/>
    <s v="Complete Access"/>
    <x v="141"/>
    <x v="8"/>
    <x v="40"/>
    <d v="1900-01-05T00:00:00"/>
    <n v="32"/>
    <x v="6"/>
    <x v="1"/>
  </r>
  <r>
    <x v="141"/>
    <n v="-3.8"/>
    <x v="331"/>
    <n v="3465.43"/>
    <s v="Complete Access"/>
    <x v="10"/>
    <x v="0"/>
    <x v="0"/>
    <d v="1900-01-05T00:00:00"/>
    <n v="32"/>
    <x v="6"/>
    <x v="1"/>
  </r>
  <r>
    <x v="141"/>
    <n v="-108.56"/>
    <x v="337"/>
    <n v="3469.23"/>
    <s v="Complete Access"/>
    <x v="142"/>
    <x v="8"/>
    <x v="40"/>
    <d v="1900-01-05T00:00:00"/>
    <n v="32"/>
    <x v="6"/>
    <x v="1"/>
  </r>
  <r>
    <x v="141"/>
    <n v="-0.86"/>
    <x v="331"/>
    <n v="3577.79"/>
    <s v="Complete Access"/>
    <x v="10"/>
    <x v="0"/>
    <x v="0"/>
    <d v="1900-01-05T00:00:00"/>
    <n v="32"/>
    <x v="6"/>
    <x v="1"/>
  </r>
  <r>
    <x v="141"/>
    <n v="-24.68"/>
    <x v="338"/>
    <n v="3578.65"/>
    <s v="Complete Access"/>
    <x v="143"/>
    <x v="8"/>
    <x v="40"/>
    <d v="1900-01-05T00:00:00"/>
    <n v="32"/>
    <x v="6"/>
    <x v="1"/>
  </r>
  <r>
    <x v="141"/>
    <n v="-0.38"/>
    <x v="331"/>
    <n v="3603.33"/>
    <s v="Complete Access"/>
    <x v="10"/>
    <x v="0"/>
    <x v="0"/>
    <d v="1900-01-05T00:00:00"/>
    <n v="32"/>
    <x v="6"/>
    <x v="1"/>
  </r>
  <r>
    <x v="141"/>
    <n v="-10.8"/>
    <x v="339"/>
    <n v="3603.71"/>
    <s v="Complete Access"/>
    <x v="144"/>
    <x v="8"/>
    <x v="40"/>
    <d v="1900-01-05T00:00:00"/>
    <n v="32"/>
    <x v="6"/>
    <x v="1"/>
  </r>
  <r>
    <x v="141"/>
    <n v="-0.65"/>
    <x v="331"/>
    <n v="3614.51"/>
    <s v="Complete Access"/>
    <x v="10"/>
    <x v="0"/>
    <x v="0"/>
    <d v="1900-01-05T00:00:00"/>
    <n v="32"/>
    <x v="6"/>
    <x v="1"/>
  </r>
  <r>
    <x v="141"/>
    <n v="-18.600000000000001"/>
    <x v="340"/>
    <n v="3615.16"/>
    <s v="Complete Access"/>
    <x v="145"/>
    <x v="8"/>
    <x v="40"/>
    <d v="1900-01-05T00:00:00"/>
    <n v="32"/>
    <x v="6"/>
    <x v="1"/>
  </r>
  <r>
    <x v="141"/>
    <n v="-5.84"/>
    <x v="331"/>
    <n v="3633.76"/>
    <s v="Complete Access"/>
    <x v="10"/>
    <x v="0"/>
    <x v="0"/>
    <d v="1900-01-05T00:00:00"/>
    <n v="32"/>
    <x v="6"/>
    <x v="1"/>
  </r>
  <r>
    <x v="141"/>
    <n v="-166.93"/>
    <x v="341"/>
    <n v="3639.6"/>
    <s v="Complete Access"/>
    <x v="146"/>
    <x v="8"/>
    <x v="40"/>
    <d v="1900-01-05T00:00:00"/>
    <n v="32"/>
    <x v="6"/>
    <x v="1"/>
  </r>
  <r>
    <x v="141"/>
    <n v="-0.59"/>
    <x v="331"/>
    <n v="3806.53"/>
    <s v="Complete Access"/>
    <x v="10"/>
    <x v="0"/>
    <x v="0"/>
    <d v="1900-01-05T00:00:00"/>
    <n v="32"/>
    <x v="6"/>
    <x v="1"/>
  </r>
  <r>
    <x v="141"/>
    <n v="-16.93"/>
    <x v="342"/>
    <n v="3807.12"/>
    <s v="Complete Access"/>
    <x v="106"/>
    <x v="5"/>
    <x v="41"/>
    <d v="1900-01-05T00:00:00"/>
    <n v="32"/>
    <x v="6"/>
    <x v="1"/>
  </r>
  <r>
    <x v="141"/>
    <n v="-2.5"/>
    <x v="331"/>
    <n v="3824.05"/>
    <s v="Complete Access"/>
    <x v="10"/>
    <x v="0"/>
    <x v="0"/>
    <d v="1900-01-05T00:00:00"/>
    <n v="32"/>
    <x v="6"/>
    <x v="1"/>
  </r>
  <r>
    <x v="141"/>
    <n v="-71.44"/>
    <x v="343"/>
    <n v="3826.55"/>
    <s v="Complete Access"/>
    <x v="147"/>
    <x v="8"/>
    <x v="40"/>
    <d v="1900-01-05T00:00:00"/>
    <n v="32"/>
    <x v="6"/>
    <x v="1"/>
  </r>
  <r>
    <x v="141"/>
    <n v="-0.61"/>
    <x v="331"/>
    <n v="3897.99"/>
    <s v="Complete Access"/>
    <x v="10"/>
    <x v="0"/>
    <x v="0"/>
    <d v="1900-01-05T00:00:00"/>
    <n v="32"/>
    <x v="6"/>
    <x v="1"/>
  </r>
  <r>
    <x v="141"/>
    <n v="-17.57"/>
    <x v="344"/>
    <n v="3898.6"/>
    <s v="Complete Access"/>
    <x v="148"/>
    <x v="8"/>
    <x v="40"/>
    <d v="1900-01-05T00:00:00"/>
    <n v="32"/>
    <x v="6"/>
    <x v="1"/>
  </r>
  <r>
    <x v="141"/>
    <n v="-22.82"/>
    <x v="331"/>
    <n v="3916.17"/>
    <s v="Complete Access"/>
    <x v="10"/>
    <x v="0"/>
    <x v="0"/>
    <d v="1900-01-05T00:00:00"/>
    <n v="32"/>
    <x v="6"/>
    <x v="1"/>
  </r>
  <r>
    <x v="141"/>
    <n v="-652.08000000000004"/>
    <x v="345"/>
    <n v="3938.99"/>
    <s v="Complete Access"/>
    <x v="149"/>
    <x v="8"/>
    <x v="40"/>
    <d v="1900-01-05T00:00:00"/>
    <n v="32"/>
    <x v="6"/>
    <x v="1"/>
  </r>
  <r>
    <x v="142"/>
    <n v="-1.08"/>
    <x v="346"/>
    <n v="4591.07"/>
    <s v="Complete Access"/>
    <x v="10"/>
    <x v="0"/>
    <x v="0"/>
    <d v="1900-01-02T00:00:00"/>
    <n v="31"/>
    <x v="6"/>
    <x v="1"/>
  </r>
  <r>
    <x v="142"/>
    <n v="-30.88"/>
    <x v="347"/>
    <n v="4592.1499999999996"/>
    <s v="Complete Access"/>
    <x v="150"/>
    <x v="8"/>
    <x v="40"/>
    <d v="1900-01-02T00:00:00"/>
    <n v="31"/>
    <x v="6"/>
    <x v="1"/>
  </r>
  <r>
    <x v="142"/>
    <n v="-3.38"/>
    <x v="346"/>
    <n v="4623.03"/>
    <s v="Complete Access"/>
    <x v="10"/>
    <x v="0"/>
    <x v="0"/>
    <d v="1900-01-02T00:00:00"/>
    <n v="31"/>
    <x v="6"/>
    <x v="1"/>
  </r>
  <r>
    <x v="142"/>
    <n v="-96.67"/>
    <x v="348"/>
    <n v="4626.41"/>
    <s v="Complete Access"/>
    <x v="151"/>
    <x v="8"/>
    <x v="40"/>
    <d v="1900-01-02T00:00:00"/>
    <n v="31"/>
    <x v="6"/>
    <x v="1"/>
  </r>
  <r>
    <x v="143"/>
    <n v="-11.8"/>
    <x v="11"/>
    <n v="4723.08"/>
    <s v="Complete Access"/>
    <x v="9"/>
    <x v="4"/>
    <x v="6"/>
    <d v="1899-12-31T00:00:00"/>
    <n v="31"/>
    <x v="6"/>
    <x v="1"/>
  </r>
  <r>
    <x v="143"/>
    <n v="-5.4"/>
    <x v="349"/>
    <n v="4734.88"/>
    <s v="Complete Access"/>
    <x v="76"/>
    <x v="2"/>
    <x v="2"/>
    <d v="1899-12-31T00:00:00"/>
    <n v="31"/>
    <x v="6"/>
    <x v="1"/>
  </r>
  <r>
    <x v="143"/>
    <n v="-1408.62"/>
    <x v="15"/>
    <n v="4740.28"/>
    <s v="Complete Access"/>
    <x v="13"/>
    <x v="0"/>
    <x v="0"/>
    <d v="1899-12-31T00:00:00"/>
    <n v="31"/>
    <x v="6"/>
    <x v="1"/>
  </r>
  <r>
    <x v="143"/>
    <n v="-1.98"/>
    <x v="350"/>
    <n v="6148.9"/>
    <s v="Complete Access"/>
    <x v="10"/>
    <x v="0"/>
    <x v="0"/>
    <d v="1899-12-31T00:00:00"/>
    <n v="31"/>
    <x v="6"/>
    <x v="1"/>
  </r>
  <r>
    <x v="143"/>
    <n v="-56.55"/>
    <x v="351"/>
    <n v="6150.88"/>
    <s v="Complete Access"/>
    <x v="27"/>
    <x v="1"/>
    <x v="5"/>
    <d v="1899-12-31T00:00:00"/>
    <n v="31"/>
    <x v="6"/>
    <x v="1"/>
  </r>
  <r>
    <x v="143"/>
    <n v="2672"/>
    <x v="352"/>
    <n v="6207.43"/>
    <s v="Complete Access"/>
    <x v="14"/>
    <x v="6"/>
    <x v="9"/>
    <d v="1899-12-31T00:00:00"/>
    <n v="31"/>
    <x v="6"/>
    <x v="1"/>
  </r>
  <r>
    <x v="144"/>
    <n v="-26.63"/>
    <x v="353"/>
    <n v="3535.43"/>
    <s v="Complete Access"/>
    <x v="10"/>
    <x v="0"/>
    <x v="0"/>
    <d v="1900-01-30T00:00:00"/>
    <n v="31"/>
    <x v="7"/>
    <x v="1"/>
  </r>
  <r>
    <x v="144"/>
    <n v="-760.78"/>
    <x v="354"/>
    <n v="3562.06"/>
    <s v="Complete Access"/>
    <x v="152"/>
    <x v="8"/>
    <x v="40"/>
    <d v="1900-01-30T00:00:00"/>
    <n v="31"/>
    <x v="7"/>
    <x v="1"/>
  </r>
  <r>
    <x v="144"/>
    <n v="-12.99"/>
    <x v="355"/>
    <n v="4322.84"/>
    <s v="Complete Access"/>
    <x v="77"/>
    <x v="4"/>
    <x v="27"/>
    <d v="1900-01-30T00:00:00"/>
    <n v="31"/>
    <x v="7"/>
    <x v="1"/>
  </r>
  <r>
    <x v="145"/>
    <n v="-1"/>
    <x v="356"/>
    <n v="4335.83"/>
    <s v="Complete Access"/>
    <x v="10"/>
    <x v="0"/>
    <x v="0"/>
    <d v="1900-01-29T00:00:00"/>
    <n v="31"/>
    <x v="7"/>
    <x v="1"/>
  </r>
  <r>
    <x v="145"/>
    <n v="-28.65"/>
    <x v="357"/>
    <n v="4336.83"/>
    <s v="Complete Access"/>
    <x v="153"/>
    <x v="8"/>
    <x v="40"/>
    <d v="1900-01-29T00:00:00"/>
    <n v="31"/>
    <x v="7"/>
    <x v="1"/>
  </r>
  <r>
    <x v="145"/>
    <n v="-1.03"/>
    <x v="356"/>
    <n v="4365.4799999999996"/>
    <s v="Complete Access"/>
    <x v="10"/>
    <x v="0"/>
    <x v="0"/>
    <d v="1900-01-29T00:00:00"/>
    <n v="31"/>
    <x v="7"/>
    <x v="1"/>
  </r>
  <r>
    <x v="145"/>
    <n v="-29.38"/>
    <x v="358"/>
    <n v="4366.51"/>
    <s v="Complete Access"/>
    <x v="27"/>
    <x v="1"/>
    <x v="5"/>
    <d v="1900-01-29T00:00:00"/>
    <n v="31"/>
    <x v="7"/>
    <x v="1"/>
  </r>
  <r>
    <x v="145"/>
    <n v="-4.78"/>
    <x v="359"/>
    <n v="4395.8900000000003"/>
    <s v="Complete Access"/>
    <x v="10"/>
    <x v="0"/>
    <x v="0"/>
    <d v="1900-01-29T00:00:00"/>
    <n v="31"/>
    <x v="7"/>
    <x v="1"/>
  </r>
  <r>
    <x v="145"/>
    <n v="-136.58000000000001"/>
    <x v="360"/>
    <n v="4400.67"/>
    <s v="Complete Access"/>
    <x v="154"/>
    <x v="8"/>
    <x v="40"/>
    <d v="1900-01-29T00:00:00"/>
    <n v="31"/>
    <x v="7"/>
    <x v="1"/>
  </r>
  <r>
    <x v="145"/>
    <n v="-0.11"/>
    <x v="359"/>
    <n v="4537.25"/>
    <s v="Complete Access"/>
    <x v="10"/>
    <x v="0"/>
    <x v="0"/>
    <d v="1900-01-29T00:00:00"/>
    <n v="31"/>
    <x v="7"/>
    <x v="1"/>
  </r>
  <r>
    <x v="145"/>
    <n v="-3.06"/>
    <x v="361"/>
    <n v="4537.3599999999997"/>
    <s v="Complete Access"/>
    <x v="155"/>
    <x v="8"/>
    <x v="40"/>
    <d v="1900-01-29T00:00:00"/>
    <n v="31"/>
    <x v="7"/>
    <x v="1"/>
  </r>
  <r>
    <x v="145"/>
    <n v="-1.38"/>
    <x v="359"/>
    <n v="4540.42"/>
    <s v="Complete Access"/>
    <x v="10"/>
    <x v="0"/>
    <x v="0"/>
    <d v="1900-01-29T00:00:00"/>
    <n v="31"/>
    <x v="7"/>
    <x v="1"/>
  </r>
  <r>
    <x v="145"/>
    <n v="-39.57"/>
    <x v="362"/>
    <n v="4541.8"/>
    <s v="Complete Access"/>
    <x v="156"/>
    <x v="8"/>
    <x v="40"/>
    <d v="1900-01-29T00:00:00"/>
    <n v="31"/>
    <x v="7"/>
    <x v="1"/>
  </r>
  <r>
    <x v="145"/>
    <n v="-2.4700000000000002"/>
    <x v="359"/>
    <n v="4581.37"/>
    <s v="Complete Access"/>
    <x v="10"/>
    <x v="0"/>
    <x v="0"/>
    <d v="1900-01-29T00:00:00"/>
    <n v="31"/>
    <x v="7"/>
    <x v="1"/>
  </r>
  <r>
    <x v="145"/>
    <n v="-70.510000000000005"/>
    <x v="363"/>
    <n v="4583.84"/>
    <s v="Complete Access"/>
    <x v="157"/>
    <x v="8"/>
    <x v="40"/>
    <d v="1900-01-29T00:00:00"/>
    <n v="31"/>
    <x v="7"/>
    <x v="1"/>
  </r>
  <r>
    <x v="145"/>
    <n v="-0.2"/>
    <x v="359"/>
    <n v="4654.3500000000004"/>
    <s v="Complete Access"/>
    <x v="10"/>
    <x v="0"/>
    <x v="0"/>
    <d v="1900-01-29T00:00:00"/>
    <n v="31"/>
    <x v="7"/>
    <x v="1"/>
  </r>
  <r>
    <x v="145"/>
    <n v="-5.65"/>
    <x v="364"/>
    <n v="4654.55"/>
    <s v="Complete Access"/>
    <x v="157"/>
    <x v="8"/>
    <x v="40"/>
    <d v="1900-01-29T00:00:00"/>
    <n v="31"/>
    <x v="7"/>
    <x v="1"/>
  </r>
  <r>
    <x v="145"/>
    <n v="-2.36"/>
    <x v="356"/>
    <n v="4660.2"/>
    <s v="Complete Access"/>
    <x v="10"/>
    <x v="0"/>
    <x v="0"/>
    <d v="1900-01-29T00:00:00"/>
    <n v="31"/>
    <x v="7"/>
    <x v="1"/>
  </r>
  <r>
    <x v="145"/>
    <n v="-67.34"/>
    <x v="365"/>
    <n v="4662.5600000000004"/>
    <s v="Complete Access"/>
    <x v="158"/>
    <x v="8"/>
    <x v="40"/>
    <d v="1900-01-29T00:00:00"/>
    <n v="31"/>
    <x v="7"/>
    <x v="1"/>
  </r>
  <r>
    <x v="145"/>
    <n v="-0.54"/>
    <x v="359"/>
    <n v="4729.8999999999996"/>
    <s v="Complete Access"/>
    <x v="10"/>
    <x v="0"/>
    <x v="0"/>
    <d v="1900-01-29T00:00:00"/>
    <n v="31"/>
    <x v="7"/>
    <x v="1"/>
  </r>
  <r>
    <x v="145"/>
    <n v="-15.36"/>
    <x v="366"/>
    <n v="4730.4399999999996"/>
    <s v="Complete Access"/>
    <x v="159"/>
    <x v="8"/>
    <x v="40"/>
    <d v="1900-01-29T00:00:00"/>
    <n v="31"/>
    <x v="7"/>
    <x v="1"/>
  </r>
  <r>
    <x v="145"/>
    <n v="-67.540000000000006"/>
    <x v="367"/>
    <n v="4745.8"/>
    <s v="Complete Access"/>
    <x v="10"/>
    <x v="0"/>
    <x v="0"/>
    <d v="1900-01-29T00:00:00"/>
    <n v="31"/>
    <x v="7"/>
    <x v="1"/>
  </r>
  <r>
    <x v="145"/>
    <n v="-1929.62"/>
    <x v="368"/>
    <n v="4813.34"/>
    <s v="Complete Access"/>
    <x v="160"/>
    <x v="17"/>
    <x v="43"/>
    <d v="1900-01-29T00:00:00"/>
    <n v="31"/>
    <x v="7"/>
    <x v="1"/>
  </r>
  <r>
    <x v="145"/>
    <n v="-19.95"/>
    <x v="359"/>
    <n v="6742.96"/>
    <s v="Complete Access"/>
    <x v="10"/>
    <x v="0"/>
    <x v="0"/>
    <d v="1900-01-29T00:00:00"/>
    <n v="31"/>
    <x v="7"/>
    <x v="1"/>
  </r>
  <r>
    <x v="145"/>
    <n v="-569.92999999999995"/>
    <x v="369"/>
    <n v="6762.91"/>
    <s v="Complete Access"/>
    <x v="161"/>
    <x v="8"/>
    <x v="40"/>
    <d v="1900-01-29T00:00:00"/>
    <n v="31"/>
    <x v="7"/>
    <x v="1"/>
  </r>
  <r>
    <x v="146"/>
    <n v="1107"/>
    <x v="370"/>
    <n v="7332.84"/>
    <s v="Complete Access"/>
    <x v="36"/>
    <x v="0"/>
    <x v="0"/>
    <d v="1900-01-27T00:00:00"/>
    <n v="31"/>
    <x v="7"/>
    <x v="1"/>
  </r>
  <r>
    <x v="147"/>
    <n v="-1.71"/>
    <x v="371"/>
    <n v="6225.84"/>
    <s v="Complete Access"/>
    <x v="10"/>
    <x v="0"/>
    <x v="0"/>
    <d v="1900-01-25T00:00:00"/>
    <n v="30"/>
    <x v="7"/>
    <x v="1"/>
  </r>
  <r>
    <x v="147"/>
    <n v="-48.98"/>
    <x v="372"/>
    <n v="6227.55"/>
    <s v="Complete Access"/>
    <x v="27"/>
    <x v="1"/>
    <x v="5"/>
    <d v="1900-01-25T00:00:00"/>
    <n v="30"/>
    <x v="7"/>
    <x v="1"/>
  </r>
  <r>
    <x v="147"/>
    <n v="-0.12"/>
    <x v="371"/>
    <n v="6276.53"/>
    <s v="Complete Access"/>
    <x v="10"/>
    <x v="0"/>
    <x v="0"/>
    <d v="1900-01-25T00:00:00"/>
    <n v="30"/>
    <x v="7"/>
    <x v="1"/>
  </r>
  <r>
    <x v="147"/>
    <n v="-3.39"/>
    <x v="373"/>
    <n v="6276.65"/>
    <s v="Complete Access"/>
    <x v="157"/>
    <x v="8"/>
    <x v="40"/>
    <d v="1900-01-25T00:00:00"/>
    <n v="30"/>
    <x v="7"/>
    <x v="1"/>
  </r>
  <r>
    <x v="147"/>
    <n v="-5"/>
    <x v="374"/>
    <n v="6280.04"/>
    <s v="Complete Access"/>
    <x v="17"/>
    <x v="7"/>
    <x v="11"/>
    <d v="1900-01-25T00:00:00"/>
    <n v="30"/>
    <x v="7"/>
    <x v="1"/>
  </r>
  <r>
    <x v="147"/>
    <n v="-4.6100000000000003"/>
    <x v="371"/>
    <n v="6285.04"/>
    <s v="Complete Access"/>
    <x v="10"/>
    <x v="0"/>
    <x v="0"/>
    <d v="1900-01-25T00:00:00"/>
    <n v="30"/>
    <x v="7"/>
    <x v="1"/>
  </r>
  <r>
    <x v="147"/>
    <n v="-131.59"/>
    <x v="375"/>
    <n v="6289.65"/>
    <s v="Complete Access"/>
    <x v="148"/>
    <x v="8"/>
    <x v="40"/>
    <d v="1900-01-25T00:00:00"/>
    <n v="30"/>
    <x v="7"/>
    <x v="1"/>
  </r>
  <r>
    <x v="148"/>
    <n v="-75.45"/>
    <x v="376"/>
    <n v="6421.24"/>
    <s v="Complete Access"/>
    <x v="5"/>
    <x v="3"/>
    <x v="3"/>
    <d v="1900-01-24T00:00:00"/>
    <n v="30"/>
    <x v="7"/>
    <x v="1"/>
  </r>
  <r>
    <x v="148"/>
    <n v="-29.5"/>
    <x v="377"/>
    <n v="6496.69"/>
    <s v="Complete Access"/>
    <x v="17"/>
    <x v="7"/>
    <x v="11"/>
    <d v="1900-01-24T00:00:00"/>
    <n v="30"/>
    <x v="7"/>
    <x v="1"/>
  </r>
  <r>
    <x v="149"/>
    <n v="-67.37"/>
    <x v="378"/>
    <n v="6526.19"/>
    <s v="Complete Access"/>
    <x v="162"/>
    <x v="8"/>
    <x v="40"/>
    <d v="1900-01-23T00:00:00"/>
    <n v="30"/>
    <x v="7"/>
    <x v="1"/>
  </r>
  <r>
    <x v="150"/>
    <n v="-5"/>
    <x v="379"/>
    <n v="6593.56"/>
    <s v="Complete Access"/>
    <x v="17"/>
    <x v="7"/>
    <x v="11"/>
    <d v="1900-01-22T00:00:00"/>
    <n v="30"/>
    <x v="7"/>
    <x v="1"/>
  </r>
  <r>
    <x v="150"/>
    <n v="-138.87"/>
    <x v="380"/>
    <n v="6598.56"/>
    <s v="Complete Access"/>
    <x v="3"/>
    <x v="2"/>
    <x v="2"/>
    <d v="1900-01-22T00:00:00"/>
    <n v="30"/>
    <x v="7"/>
    <x v="1"/>
  </r>
  <r>
    <x v="150"/>
    <n v="-0.16"/>
    <x v="381"/>
    <n v="6737.43"/>
    <s v="Complete Access"/>
    <x v="10"/>
    <x v="0"/>
    <x v="0"/>
    <d v="1900-01-22T00:00:00"/>
    <n v="30"/>
    <x v="7"/>
    <x v="1"/>
  </r>
  <r>
    <x v="150"/>
    <n v="-4.47"/>
    <x v="382"/>
    <n v="6737.59"/>
    <s v="Complete Access"/>
    <x v="157"/>
    <x v="8"/>
    <x v="40"/>
    <d v="1900-01-22T00:00:00"/>
    <n v="30"/>
    <x v="7"/>
    <x v="1"/>
  </r>
  <r>
    <x v="151"/>
    <n v="-59.99"/>
    <x v="383"/>
    <n v="6742.06"/>
    <s v="Complete Access"/>
    <x v="114"/>
    <x v="16"/>
    <x v="7"/>
    <d v="1900-01-19T00:00:00"/>
    <n v="29"/>
    <x v="7"/>
    <x v="1"/>
  </r>
  <r>
    <x v="152"/>
    <n v="-10.1"/>
    <x v="384"/>
    <n v="6802.05"/>
    <s v="Complete Access"/>
    <x v="163"/>
    <x v="11"/>
    <x v="44"/>
    <d v="1900-01-18T00:00:00"/>
    <n v="29"/>
    <x v="7"/>
    <x v="1"/>
  </r>
  <r>
    <x v="152"/>
    <n v="-16.989999999999998"/>
    <x v="385"/>
    <n v="6812.15"/>
    <s v="Complete Access"/>
    <x v="164"/>
    <x v="16"/>
    <x v="7"/>
    <d v="1900-01-18T00:00:00"/>
    <n v="29"/>
    <x v="7"/>
    <x v="1"/>
  </r>
  <r>
    <x v="153"/>
    <n v="-11.8"/>
    <x v="11"/>
    <n v="6829.14"/>
    <s v="Complete Access"/>
    <x v="9"/>
    <x v="4"/>
    <x v="6"/>
    <d v="1900-01-17T00:00:00"/>
    <n v="29"/>
    <x v="7"/>
    <x v="1"/>
  </r>
  <r>
    <x v="153"/>
    <n v="-1408.62"/>
    <x v="15"/>
    <n v="6840.94"/>
    <s v="Complete Access"/>
    <x v="13"/>
    <x v="0"/>
    <x v="0"/>
    <d v="1900-01-17T00:00:00"/>
    <n v="29"/>
    <x v="7"/>
    <x v="1"/>
  </r>
  <r>
    <x v="153"/>
    <n v="-29.5"/>
    <x v="386"/>
    <n v="8249.56"/>
    <s v="Complete Access"/>
    <x v="165"/>
    <x v="8"/>
    <x v="22"/>
    <d v="1900-01-17T00:00:00"/>
    <n v="29"/>
    <x v="7"/>
    <x v="1"/>
  </r>
  <r>
    <x v="153"/>
    <n v="-472.6"/>
    <x v="387"/>
    <n v="8279.06"/>
    <s v="Complete Access"/>
    <x v="166"/>
    <x v="2"/>
    <x v="2"/>
    <d v="1900-01-17T00:00:00"/>
    <n v="29"/>
    <x v="7"/>
    <x v="1"/>
  </r>
  <r>
    <x v="153"/>
    <n v="2671.99"/>
    <x v="388"/>
    <n v="8751.66"/>
    <s v="Complete Access"/>
    <x v="14"/>
    <x v="6"/>
    <x v="9"/>
    <d v="1900-01-17T00:00:00"/>
    <n v="29"/>
    <x v="7"/>
    <x v="1"/>
  </r>
  <r>
    <x v="154"/>
    <n v="-229.93"/>
    <x v="389"/>
    <n v="6079.67"/>
    <s v="Complete Access"/>
    <x v="73"/>
    <x v="1"/>
    <x v="23"/>
    <d v="1900-01-16T00:00:00"/>
    <n v="29"/>
    <x v="7"/>
    <x v="1"/>
  </r>
  <r>
    <x v="154"/>
    <n v="-35"/>
    <x v="390"/>
    <n v="6309.6"/>
    <s v="Complete Access"/>
    <x v="61"/>
    <x v="1"/>
    <x v="1"/>
    <d v="1900-01-16T00:00:00"/>
    <n v="29"/>
    <x v="7"/>
    <x v="1"/>
  </r>
  <r>
    <x v="154"/>
    <n v="-39.24"/>
    <x v="391"/>
    <n v="6344.6"/>
    <s v="Complete Access"/>
    <x v="1"/>
    <x v="1"/>
    <x v="1"/>
    <d v="1900-01-16T00:00:00"/>
    <n v="29"/>
    <x v="7"/>
    <x v="1"/>
  </r>
  <r>
    <x v="154"/>
    <n v="23.8"/>
    <x v="392"/>
    <n v="6383.84"/>
    <s v="Complete Access"/>
    <x v="167"/>
    <x v="4"/>
    <x v="20"/>
    <d v="1900-01-16T00:00:00"/>
    <n v="29"/>
    <x v="7"/>
    <x v="1"/>
  </r>
  <r>
    <x v="155"/>
    <n v="-11.65"/>
    <x v="393"/>
    <n v="6360.04"/>
    <s v="Complete Access"/>
    <x v="47"/>
    <x v="1"/>
    <x v="5"/>
    <d v="1900-01-15T00:00:00"/>
    <n v="29"/>
    <x v="7"/>
    <x v="1"/>
  </r>
  <r>
    <x v="155"/>
    <n v="-19.25"/>
    <x v="394"/>
    <n v="6371.69"/>
    <s v="Complete Access"/>
    <x v="168"/>
    <x v="1"/>
    <x v="5"/>
    <d v="1900-01-15T00:00:00"/>
    <n v="29"/>
    <x v="7"/>
    <x v="1"/>
  </r>
  <r>
    <x v="155"/>
    <n v="-47.15"/>
    <x v="395"/>
    <n v="6390.94"/>
    <s v="Complete Access"/>
    <x v="169"/>
    <x v="3"/>
    <x v="15"/>
    <d v="1900-01-15T00:00:00"/>
    <n v="29"/>
    <x v="7"/>
    <x v="1"/>
  </r>
  <r>
    <x v="155"/>
    <n v="-1.5"/>
    <x v="396"/>
    <n v="6438.09"/>
    <s v="Complete Access"/>
    <x v="60"/>
    <x v="14"/>
    <x v="32"/>
    <d v="1900-01-15T00:00:00"/>
    <n v="29"/>
    <x v="7"/>
    <x v="1"/>
  </r>
  <r>
    <x v="155"/>
    <n v="-40"/>
    <x v="397"/>
    <n v="6439.59"/>
    <s v="Complete Access"/>
    <x v="12"/>
    <x v="5"/>
    <x v="8"/>
    <d v="1900-01-15T00:00:00"/>
    <n v="29"/>
    <x v="7"/>
    <x v="1"/>
  </r>
  <r>
    <x v="156"/>
    <n v="-49.6"/>
    <x v="398"/>
    <n v="6479.59"/>
    <s v="Complete Access"/>
    <x v="170"/>
    <x v="3"/>
    <x v="15"/>
    <d v="1900-01-14T00:00:00"/>
    <n v="29"/>
    <x v="7"/>
    <x v="1"/>
  </r>
  <r>
    <x v="156"/>
    <n v="-18.190000000000001"/>
    <x v="399"/>
    <n v="6529.19"/>
    <s v="Complete Access"/>
    <x v="171"/>
    <x v="11"/>
    <x v="14"/>
    <d v="1900-01-14T00:00:00"/>
    <n v="29"/>
    <x v="7"/>
    <x v="1"/>
  </r>
  <r>
    <x v="156"/>
    <n v="-12.94"/>
    <x v="30"/>
    <n v="6547.38"/>
    <s v="Complete Access"/>
    <x v="21"/>
    <x v="10"/>
    <x v="13"/>
    <d v="1900-01-14T00:00:00"/>
    <n v="29"/>
    <x v="7"/>
    <x v="1"/>
  </r>
  <r>
    <x v="157"/>
    <n v="-8.15"/>
    <x v="400"/>
    <n v="6560.32"/>
    <s v="Complete Access"/>
    <x v="172"/>
    <x v="1"/>
    <x v="5"/>
    <d v="1900-01-13T00:00:00"/>
    <n v="29"/>
    <x v="7"/>
    <x v="1"/>
  </r>
  <r>
    <x v="157"/>
    <n v="-12.08"/>
    <x v="401"/>
    <n v="6568.47"/>
    <s v="Complete Access"/>
    <x v="173"/>
    <x v="1"/>
    <x v="5"/>
    <d v="1900-01-13T00:00:00"/>
    <n v="29"/>
    <x v="7"/>
    <x v="1"/>
  </r>
  <r>
    <x v="157"/>
    <n v="-25"/>
    <x v="402"/>
    <n v="6580.55"/>
    <s v="Complete Access"/>
    <x v="174"/>
    <x v="1"/>
    <x v="5"/>
    <d v="1900-01-13T00:00:00"/>
    <n v="29"/>
    <x v="7"/>
    <x v="1"/>
  </r>
  <r>
    <x v="157"/>
    <n v="-11"/>
    <x v="403"/>
    <n v="6605.55"/>
    <s v="Complete Access"/>
    <x v="175"/>
    <x v="1"/>
    <x v="5"/>
    <d v="1900-01-13T00:00:00"/>
    <n v="29"/>
    <x v="7"/>
    <x v="1"/>
  </r>
  <r>
    <x v="157"/>
    <n v="-30"/>
    <x v="404"/>
    <n v="6616.55"/>
    <s v="Complete Access"/>
    <x v="176"/>
    <x v="1"/>
    <x v="5"/>
    <d v="1900-01-13T00:00:00"/>
    <n v="29"/>
    <x v="7"/>
    <x v="1"/>
  </r>
  <r>
    <x v="158"/>
    <n v="-61.96"/>
    <x v="405"/>
    <n v="6646.55"/>
    <s v="Complete Access"/>
    <x v="177"/>
    <x v="1"/>
    <x v="1"/>
    <d v="1900-01-12T00:00:00"/>
    <n v="28"/>
    <x v="7"/>
    <x v="1"/>
  </r>
  <r>
    <x v="158"/>
    <n v="-40"/>
    <x v="406"/>
    <n v="6708.51"/>
    <s v="Complete Access"/>
    <x v="178"/>
    <x v="3"/>
    <x v="15"/>
    <d v="1900-01-12T00:00:00"/>
    <n v="28"/>
    <x v="7"/>
    <x v="1"/>
  </r>
  <r>
    <x v="158"/>
    <n v="-1.1399999999999999"/>
    <x v="407"/>
    <n v="6748.51"/>
    <s v="Complete Access"/>
    <x v="10"/>
    <x v="0"/>
    <x v="0"/>
    <d v="1900-01-12T00:00:00"/>
    <n v="28"/>
    <x v="7"/>
    <x v="1"/>
  </r>
  <r>
    <x v="158"/>
    <n v="-32.69"/>
    <x v="408"/>
    <n v="6749.65"/>
    <s v="Complete Access"/>
    <x v="11"/>
    <x v="4"/>
    <x v="7"/>
    <d v="1900-01-12T00:00:00"/>
    <n v="28"/>
    <x v="7"/>
    <x v="1"/>
  </r>
  <r>
    <x v="159"/>
    <n v="-19.45"/>
    <x v="104"/>
    <n v="6782.34"/>
    <s v="Complete Access"/>
    <x v="30"/>
    <x v="4"/>
    <x v="20"/>
    <d v="1900-01-11T00:00:00"/>
    <n v="28"/>
    <x v="7"/>
    <x v="1"/>
  </r>
  <r>
    <x v="159"/>
    <n v="-26.86"/>
    <x v="394"/>
    <n v="6801.79"/>
    <s v="Complete Access"/>
    <x v="168"/>
    <x v="1"/>
    <x v="5"/>
    <d v="1900-01-11T00:00:00"/>
    <n v="28"/>
    <x v="7"/>
    <x v="1"/>
  </r>
  <r>
    <x v="160"/>
    <n v="-84"/>
    <x v="409"/>
    <n v="6828.65"/>
    <s v="Complete Access"/>
    <x v="17"/>
    <x v="7"/>
    <x v="11"/>
    <d v="1900-01-09T00:00:00"/>
    <n v="28"/>
    <x v="7"/>
    <x v="1"/>
  </r>
  <r>
    <x v="160"/>
    <n v="-23.8"/>
    <x v="410"/>
    <n v="6912.65"/>
    <s v="Complete Access"/>
    <x v="167"/>
    <x v="4"/>
    <x v="20"/>
    <d v="1900-01-09T00:00:00"/>
    <n v="28"/>
    <x v="7"/>
    <x v="1"/>
  </r>
  <r>
    <x v="160"/>
    <n v="-44.3"/>
    <x v="411"/>
    <n v="6936.45"/>
    <s v="Complete Access"/>
    <x v="179"/>
    <x v="1"/>
    <x v="1"/>
    <d v="1900-01-09T00:00:00"/>
    <n v="28"/>
    <x v="7"/>
    <x v="1"/>
  </r>
  <r>
    <x v="161"/>
    <n v="-15"/>
    <x v="18"/>
    <n v="6980.75"/>
    <s v="Complete Access"/>
    <x v="16"/>
    <x v="1"/>
    <x v="5"/>
    <d v="1900-01-08T00:00:00"/>
    <n v="28"/>
    <x v="7"/>
    <x v="1"/>
  </r>
  <r>
    <x v="162"/>
    <n v="-15"/>
    <x v="412"/>
    <n v="6995.75"/>
    <s v="Complete Access"/>
    <x v="180"/>
    <x v="1"/>
    <x v="1"/>
    <d v="1900-01-06T00:00:00"/>
    <n v="28"/>
    <x v="7"/>
    <x v="1"/>
  </r>
  <r>
    <x v="163"/>
    <n v="-97.65"/>
    <x v="70"/>
    <n v="7010.75"/>
    <s v="Complete Access"/>
    <x v="8"/>
    <x v="1"/>
    <x v="5"/>
    <d v="1900-01-04T00:00:00"/>
    <n v="27"/>
    <x v="7"/>
    <x v="1"/>
  </r>
  <r>
    <x v="164"/>
    <n v="-1408.62"/>
    <x v="15"/>
    <n v="7120.2"/>
    <s v="Complete Access"/>
    <x v="13"/>
    <x v="0"/>
    <x v="0"/>
    <d v="1900-01-03T00:00:00"/>
    <n v="27"/>
    <x v="7"/>
    <x v="1"/>
  </r>
  <r>
    <x v="164"/>
    <n v="2671.99"/>
    <x v="413"/>
    <n v="8528.82"/>
    <s v="Complete Access"/>
    <x v="14"/>
    <x v="6"/>
    <x v="9"/>
    <d v="1900-01-03T00:00:00"/>
    <n v="27"/>
    <x v="7"/>
    <x v="1"/>
  </r>
  <r>
    <x v="164"/>
    <n v="-11.8"/>
    <x v="11"/>
    <n v="7108.4"/>
    <s v="Complete Access"/>
    <x v="9"/>
    <x v="4"/>
    <x v="6"/>
    <d v="1900-01-03T00:00:00"/>
    <n v="27"/>
    <x v="7"/>
    <x v="1"/>
  </r>
  <r>
    <x v="165"/>
    <n v="-16"/>
    <x v="8"/>
    <n v="5856.83"/>
    <s v="Complete Access"/>
    <x v="7"/>
    <x v="1"/>
    <x v="5"/>
    <d v="1900-01-01T00:00:00"/>
    <n v="27"/>
    <x v="7"/>
    <x v="1"/>
  </r>
  <r>
    <x v="165"/>
    <n v="-27.45"/>
    <x v="414"/>
    <n v="5872.83"/>
    <s v="Complete Access"/>
    <x v="46"/>
    <x v="1"/>
    <x v="1"/>
    <d v="1900-01-01T00:00:00"/>
    <n v="27"/>
    <x v="7"/>
    <x v="1"/>
  </r>
  <r>
    <x v="165"/>
    <n v="-12.99"/>
    <x v="415"/>
    <n v="5900.28"/>
    <s v="Complete Access"/>
    <x v="77"/>
    <x v="4"/>
    <x v="27"/>
    <d v="1900-01-01T00:00:00"/>
    <n v="27"/>
    <x v="7"/>
    <x v="1"/>
  </r>
  <r>
    <x v="165"/>
    <n v="-38.14"/>
    <x v="416"/>
    <n v="5913.27"/>
    <s v="Complete Access"/>
    <x v="181"/>
    <x v="15"/>
    <x v="41"/>
    <d v="1900-01-01T00:00:00"/>
    <n v="27"/>
    <x v="7"/>
    <x v="1"/>
  </r>
  <r>
    <x v="166"/>
    <n v="-5.4"/>
    <x v="417"/>
    <n v="5951.41"/>
    <s v="Complete Access"/>
    <x v="76"/>
    <x v="2"/>
    <x v="2"/>
    <d v="1899-12-31T00:00:00"/>
    <n v="27"/>
    <x v="7"/>
    <x v="1"/>
  </r>
  <r>
    <x v="166"/>
    <n v="-447.26"/>
    <x v="418"/>
    <n v="5956.81"/>
    <s v="Complete Access"/>
    <x v="40"/>
    <x v="13"/>
    <x v="24"/>
    <d v="1899-12-31T00:00:00"/>
    <n v="27"/>
    <x v="7"/>
    <x v="1"/>
  </r>
  <r>
    <x v="167"/>
    <n v="-13.5"/>
    <x v="419"/>
    <n v="6404.07"/>
    <s v="Complete Access"/>
    <x v="182"/>
    <x v="8"/>
    <x v="29"/>
    <d v="1900-01-29T00:00:00"/>
    <n v="27"/>
    <x v="8"/>
    <x v="1"/>
  </r>
  <r>
    <x v="168"/>
    <n v="-13.72"/>
    <x v="420"/>
    <n v="6417.57"/>
    <s v="Complete Access"/>
    <x v="183"/>
    <x v="8"/>
    <x v="29"/>
    <d v="1900-01-28T00:00:00"/>
    <n v="26"/>
    <x v="8"/>
    <x v="1"/>
  </r>
  <r>
    <x v="169"/>
    <n v="-50.25"/>
    <x v="421"/>
    <n v="6431.29"/>
    <s v="Complete Access"/>
    <x v="1"/>
    <x v="1"/>
    <x v="1"/>
    <d v="1900-01-27T00:00:00"/>
    <n v="26"/>
    <x v="8"/>
    <x v="1"/>
  </r>
  <r>
    <x v="170"/>
    <n v="-71.86"/>
    <x v="422"/>
    <n v="6481.54"/>
    <s v="Complete Access"/>
    <x v="1"/>
    <x v="1"/>
    <x v="1"/>
    <d v="1900-01-25T00:00:00"/>
    <n v="26"/>
    <x v="8"/>
    <x v="1"/>
  </r>
  <r>
    <x v="170"/>
    <n v="-40"/>
    <x v="423"/>
    <n v="6553.4"/>
    <s v="Complete Access"/>
    <x v="12"/>
    <x v="5"/>
    <x v="8"/>
    <d v="1900-01-25T00:00:00"/>
    <n v="26"/>
    <x v="8"/>
    <x v="1"/>
  </r>
  <r>
    <x v="171"/>
    <n v="-3"/>
    <x v="424"/>
    <n v="6593.4"/>
    <s v="Complete Access"/>
    <x v="0"/>
    <x v="0"/>
    <x v="0"/>
    <d v="1900-01-24T00:00:00"/>
    <n v="26"/>
    <x v="8"/>
    <x v="1"/>
  </r>
  <r>
    <x v="171"/>
    <n v="-16"/>
    <x v="8"/>
    <n v="6596.4"/>
    <s v="Complete Access"/>
    <x v="7"/>
    <x v="1"/>
    <x v="5"/>
    <d v="1900-01-24T00:00:00"/>
    <n v="26"/>
    <x v="8"/>
    <x v="1"/>
  </r>
  <r>
    <x v="171"/>
    <n v="-29.5"/>
    <x v="425"/>
    <n v="6612.4"/>
    <s v="Complete Access"/>
    <x v="17"/>
    <x v="7"/>
    <x v="11"/>
    <d v="1900-01-24T00:00:00"/>
    <n v="26"/>
    <x v="8"/>
    <x v="1"/>
  </r>
  <r>
    <x v="172"/>
    <n v="-138.87"/>
    <x v="426"/>
    <n v="6641.9"/>
    <s v="Complete Access"/>
    <x v="3"/>
    <x v="2"/>
    <x v="2"/>
    <d v="1900-01-20T00:00:00"/>
    <n v="25"/>
    <x v="8"/>
    <x v="1"/>
  </r>
  <r>
    <x v="173"/>
    <n v="-11.35"/>
    <x v="11"/>
    <n v="6780.77"/>
    <s v="Complete Access"/>
    <x v="9"/>
    <x v="4"/>
    <x v="6"/>
    <d v="1900-01-19T00:00:00"/>
    <n v="25"/>
    <x v="8"/>
    <x v="1"/>
  </r>
  <r>
    <x v="173"/>
    <n v="-14.23"/>
    <x v="427"/>
    <n v="6792.12"/>
    <s v="Complete Access"/>
    <x v="184"/>
    <x v="1"/>
    <x v="5"/>
    <d v="1900-01-19T00:00:00"/>
    <n v="25"/>
    <x v="8"/>
    <x v="1"/>
  </r>
  <r>
    <x v="173"/>
    <n v="-85.37"/>
    <x v="7"/>
    <n v="6806.35"/>
    <s v="Complete Access"/>
    <x v="1"/>
    <x v="1"/>
    <x v="1"/>
    <d v="1900-01-19T00:00:00"/>
    <n v="25"/>
    <x v="8"/>
    <x v="1"/>
  </r>
  <r>
    <x v="173"/>
    <n v="-1408.62"/>
    <x v="15"/>
    <n v="6891.72"/>
    <s v="Complete Access"/>
    <x v="13"/>
    <x v="0"/>
    <x v="0"/>
    <d v="1900-01-19T00:00:00"/>
    <n v="25"/>
    <x v="8"/>
    <x v="1"/>
  </r>
  <r>
    <x v="173"/>
    <n v="2599.9899999999998"/>
    <x v="428"/>
    <n v="8300.34"/>
    <s v="Complete Access"/>
    <x v="14"/>
    <x v="6"/>
    <x v="9"/>
    <d v="1900-01-19T00:00:00"/>
    <n v="25"/>
    <x v="8"/>
    <x v="1"/>
  </r>
  <r>
    <x v="174"/>
    <n v="-30.65"/>
    <x v="7"/>
    <n v="5700.35"/>
    <s v="Complete Access"/>
    <x v="1"/>
    <x v="1"/>
    <x v="1"/>
    <d v="1900-01-17T00:00:00"/>
    <n v="25"/>
    <x v="8"/>
    <x v="1"/>
  </r>
  <r>
    <x v="174"/>
    <n v="-15"/>
    <x v="18"/>
    <n v="5731"/>
    <s v="Complete Access"/>
    <x v="16"/>
    <x v="1"/>
    <x v="5"/>
    <d v="1900-01-17T00:00:00"/>
    <n v="25"/>
    <x v="8"/>
    <x v="1"/>
  </r>
  <r>
    <x v="174"/>
    <n v="-109.62"/>
    <x v="429"/>
    <n v="5746"/>
    <s v="Complete Access"/>
    <x v="185"/>
    <x v="8"/>
    <x v="22"/>
    <d v="1900-01-17T00:00:00"/>
    <n v="25"/>
    <x v="8"/>
    <x v="1"/>
  </r>
  <r>
    <x v="174"/>
    <n v="-34.549999999999997"/>
    <x v="430"/>
    <n v="5855.62"/>
    <s v="Complete Access"/>
    <x v="8"/>
    <x v="1"/>
    <x v="5"/>
    <d v="1900-01-17T00:00:00"/>
    <n v="25"/>
    <x v="8"/>
    <x v="1"/>
  </r>
  <r>
    <x v="175"/>
    <n v="-71"/>
    <x v="431"/>
    <n v="5890.17"/>
    <s v="Complete Access"/>
    <x v="0"/>
    <x v="0"/>
    <x v="0"/>
    <d v="1900-01-14T00:00:00"/>
    <n v="24"/>
    <x v="8"/>
    <x v="1"/>
  </r>
  <r>
    <x v="175"/>
    <n v="-30"/>
    <x v="432"/>
    <n v="5961.17"/>
    <s v="Complete Access"/>
    <x v="0"/>
    <x v="0"/>
    <x v="0"/>
    <d v="1900-01-14T00:00:00"/>
    <n v="24"/>
    <x v="8"/>
    <x v="1"/>
  </r>
  <r>
    <x v="176"/>
    <n v="-37.74"/>
    <x v="433"/>
    <n v="5991.17"/>
    <s v="Complete Access"/>
    <x v="1"/>
    <x v="1"/>
    <x v="1"/>
    <d v="1900-01-13T00:00:00"/>
    <n v="24"/>
    <x v="8"/>
    <x v="1"/>
  </r>
  <r>
    <x v="177"/>
    <n v="-1.17"/>
    <x v="434"/>
    <n v="6028.91"/>
    <s v="Complete Access"/>
    <x v="10"/>
    <x v="0"/>
    <x v="0"/>
    <d v="1900-01-12T00:00:00"/>
    <n v="24"/>
    <x v="8"/>
    <x v="1"/>
  </r>
  <r>
    <x v="177"/>
    <n v="-33.47"/>
    <x v="435"/>
    <n v="6030.08"/>
    <s v="Complete Access"/>
    <x v="11"/>
    <x v="4"/>
    <x v="7"/>
    <d v="1900-01-12T00:00:00"/>
    <n v="24"/>
    <x v="8"/>
    <x v="1"/>
  </r>
  <r>
    <x v="178"/>
    <n v="-26.06"/>
    <x v="436"/>
    <n v="6063.55"/>
    <s v="Complete Access"/>
    <x v="186"/>
    <x v="1"/>
    <x v="5"/>
    <d v="1900-01-10T00:00:00"/>
    <n v="24"/>
    <x v="8"/>
    <x v="1"/>
  </r>
  <r>
    <x v="178"/>
    <n v="-83.54"/>
    <x v="437"/>
    <n v="6089.61"/>
    <s v="Complete Access"/>
    <x v="17"/>
    <x v="7"/>
    <x v="11"/>
    <d v="1900-01-10T00:00:00"/>
    <n v="24"/>
    <x v="8"/>
    <x v="1"/>
  </r>
  <r>
    <x v="178"/>
    <n v="-29.47"/>
    <x v="438"/>
    <n v="6173.15"/>
    <s v="Complete Access"/>
    <x v="21"/>
    <x v="10"/>
    <x v="13"/>
    <d v="1900-01-10T00:00:00"/>
    <n v="24"/>
    <x v="8"/>
    <x v="1"/>
  </r>
  <r>
    <x v="179"/>
    <n v="-27.87"/>
    <x v="394"/>
    <n v="6202.62"/>
    <s v="Complete Access"/>
    <x v="168"/>
    <x v="1"/>
    <x v="5"/>
    <d v="1900-01-09T00:00:00"/>
    <n v="24"/>
    <x v="8"/>
    <x v="1"/>
  </r>
  <r>
    <x v="180"/>
    <n v="-39"/>
    <x v="439"/>
    <n v="6230.49"/>
    <s v="Complete Access"/>
    <x v="0"/>
    <x v="0"/>
    <x v="0"/>
    <d v="1900-01-06T00:00:00"/>
    <n v="23"/>
    <x v="8"/>
    <x v="1"/>
  </r>
  <r>
    <x v="181"/>
    <n v="-11.35"/>
    <x v="11"/>
    <n v="6269.49"/>
    <s v="Complete Access"/>
    <x v="9"/>
    <x v="4"/>
    <x v="6"/>
    <d v="1900-01-05T00:00:00"/>
    <n v="23"/>
    <x v="8"/>
    <x v="1"/>
  </r>
  <r>
    <x v="181"/>
    <n v="-1408.62"/>
    <x v="15"/>
    <n v="6280.84"/>
    <s v="Complete Access"/>
    <x v="13"/>
    <x v="0"/>
    <x v="0"/>
    <d v="1900-01-05T00:00:00"/>
    <n v="23"/>
    <x v="8"/>
    <x v="1"/>
  </r>
  <r>
    <x v="181"/>
    <n v="-84"/>
    <x v="440"/>
    <n v="7689.46"/>
    <s v="Complete Access"/>
    <x v="1"/>
    <x v="1"/>
    <x v="1"/>
    <d v="1900-01-05T00:00:00"/>
    <n v="23"/>
    <x v="8"/>
    <x v="1"/>
  </r>
  <r>
    <x v="181"/>
    <n v="-40"/>
    <x v="441"/>
    <n v="7773.46"/>
    <s v="Complete Access"/>
    <x v="12"/>
    <x v="5"/>
    <x v="8"/>
    <d v="1900-01-05T00:00:00"/>
    <n v="23"/>
    <x v="8"/>
    <x v="1"/>
  </r>
  <r>
    <x v="181"/>
    <n v="2599.9899999999998"/>
    <x v="442"/>
    <n v="7813.46"/>
    <s v="Complete Access"/>
    <x v="14"/>
    <x v="6"/>
    <x v="9"/>
    <d v="1900-01-05T00:00:00"/>
    <n v="23"/>
    <x v="8"/>
    <x v="1"/>
  </r>
  <r>
    <x v="182"/>
    <n v="70"/>
    <x v="443"/>
    <n v="5213.47"/>
    <s v="Complete Access"/>
    <x v="36"/>
    <x v="0"/>
    <x v="0"/>
    <d v="1900-01-04T00:00:00"/>
    <n v="23"/>
    <x v="8"/>
    <x v="1"/>
  </r>
  <r>
    <x v="182"/>
    <n v="-67.81"/>
    <x v="444"/>
    <n v="5143.47"/>
    <s v="Complete Access"/>
    <x v="187"/>
    <x v="9"/>
    <x v="12"/>
    <d v="1900-01-04T00:00:00"/>
    <n v="23"/>
    <x v="8"/>
    <x v="1"/>
  </r>
  <r>
    <x v="183"/>
    <n v="-33.93"/>
    <x v="445"/>
    <n v="5211.28"/>
    <s v="Complete Access"/>
    <x v="104"/>
    <x v="1"/>
    <x v="5"/>
    <d v="1900-01-03T00:00:00"/>
    <n v="23"/>
    <x v="8"/>
    <x v="1"/>
  </r>
  <r>
    <x v="184"/>
    <n v="-5.4"/>
    <x v="446"/>
    <n v="5245.21"/>
    <s v="Complete Access"/>
    <x v="76"/>
    <x v="2"/>
    <x v="2"/>
    <d v="1900-01-02T00:00:00"/>
    <n v="23"/>
    <x v="8"/>
    <x v="1"/>
  </r>
  <r>
    <x v="185"/>
    <n v="-14.9"/>
    <x v="447"/>
    <n v="5250.61"/>
    <s v="Complete Access"/>
    <x v="21"/>
    <x v="10"/>
    <x v="13"/>
    <d v="1900-01-01T00:00:00"/>
    <n v="23"/>
    <x v="8"/>
    <x v="1"/>
  </r>
  <r>
    <x v="186"/>
    <n v="-16.73"/>
    <x v="448"/>
    <n v="5265.51"/>
    <s v="Complete Access"/>
    <x v="46"/>
    <x v="1"/>
    <x v="1"/>
    <d v="1899-12-31T00:00:00"/>
    <n v="22"/>
    <x v="8"/>
    <x v="1"/>
  </r>
  <r>
    <x v="187"/>
    <n v="-4.2"/>
    <x v="449"/>
    <n v="5282.24"/>
    <s v="Complete Access"/>
    <x v="188"/>
    <x v="1"/>
    <x v="1"/>
    <d v="1900-01-29T00:00:00"/>
    <n v="22"/>
    <x v="9"/>
    <x v="1"/>
  </r>
  <r>
    <x v="188"/>
    <n v="-15.22"/>
    <x v="450"/>
    <n v="5286.44"/>
    <s v="Complete Access"/>
    <x v="189"/>
    <x v="1"/>
    <x v="5"/>
    <d v="1900-01-28T00:00:00"/>
    <n v="22"/>
    <x v="9"/>
    <x v="1"/>
  </r>
  <r>
    <x v="189"/>
    <n v="-14.5"/>
    <x v="155"/>
    <n v="5301.66"/>
    <s v="Complete Access"/>
    <x v="62"/>
    <x v="1"/>
    <x v="5"/>
    <d v="1900-01-26T00:00:00"/>
    <n v="22"/>
    <x v="9"/>
    <x v="1"/>
  </r>
  <r>
    <x v="190"/>
    <n v="-45.16"/>
    <x v="119"/>
    <n v="5316.16"/>
    <s v="Complete Access"/>
    <x v="8"/>
    <x v="1"/>
    <x v="5"/>
    <d v="1900-01-25T00:00:00"/>
    <n v="22"/>
    <x v="9"/>
    <x v="1"/>
  </r>
  <r>
    <x v="191"/>
    <n v="-31.87"/>
    <x v="451"/>
    <n v="5361.32"/>
    <s v="Complete Access"/>
    <x v="190"/>
    <x v="8"/>
    <x v="29"/>
    <d v="1900-01-24T00:00:00"/>
    <n v="21"/>
    <x v="9"/>
    <x v="1"/>
  </r>
  <r>
    <x v="191"/>
    <n v="-22.84"/>
    <x v="451"/>
    <n v="5393.19"/>
    <s v="Complete Access"/>
    <x v="190"/>
    <x v="8"/>
    <x v="29"/>
    <d v="1900-01-24T00:00:00"/>
    <n v="21"/>
    <x v="9"/>
    <x v="1"/>
  </r>
  <r>
    <x v="191"/>
    <n v="-10.66"/>
    <x v="451"/>
    <n v="5416.03"/>
    <s v="Complete Access"/>
    <x v="190"/>
    <x v="8"/>
    <x v="29"/>
    <d v="1900-01-24T00:00:00"/>
    <n v="21"/>
    <x v="9"/>
    <x v="1"/>
  </r>
  <r>
    <x v="191"/>
    <n v="-10.66"/>
    <x v="451"/>
    <n v="5426.69"/>
    <s v="Complete Access"/>
    <x v="190"/>
    <x v="8"/>
    <x v="29"/>
    <d v="1900-01-24T00:00:00"/>
    <n v="21"/>
    <x v="9"/>
    <x v="1"/>
  </r>
  <r>
    <x v="191"/>
    <n v="-25.38"/>
    <x v="451"/>
    <n v="5437.35"/>
    <s v="Complete Access"/>
    <x v="190"/>
    <x v="8"/>
    <x v="29"/>
    <d v="1900-01-24T00:00:00"/>
    <n v="21"/>
    <x v="9"/>
    <x v="1"/>
  </r>
  <r>
    <x v="191"/>
    <n v="-10.66"/>
    <x v="451"/>
    <n v="5462.73"/>
    <s v="Complete Access"/>
    <x v="190"/>
    <x v="8"/>
    <x v="29"/>
    <d v="1900-01-24T00:00:00"/>
    <n v="21"/>
    <x v="9"/>
    <x v="1"/>
  </r>
  <r>
    <x v="192"/>
    <n v="-20"/>
    <x v="141"/>
    <n v="5473.39"/>
    <s v="Complete Access"/>
    <x v="58"/>
    <x v="8"/>
    <x v="29"/>
    <d v="1900-01-23T00:00:00"/>
    <n v="21"/>
    <x v="9"/>
    <x v="1"/>
  </r>
  <r>
    <x v="192"/>
    <n v="-18.989999999999998"/>
    <x v="452"/>
    <n v="5493.39"/>
    <s v="Complete Access"/>
    <x v="46"/>
    <x v="1"/>
    <x v="1"/>
    <d v="1900-01-23T00:00:00"/>
    <n v="21"/>
    <x v="9"/>
    <x v="1"/>
  </r>
  <r>
    <x v="192"/>
    <n v="-29.5"/>
    <x v="453"/>
    <n v="5512.38"/>
    <s v="Complete Access"/>
    <x v="17"/>
    <x v="7"/>
    <x v="11"/>
    <d v="1900-01-23T00:00:00"/>
    <n v="21"/>
    <x v="9"/>
    <x v="1"/>
  </r>
  <r>
    <x v="193"/>
    <n v="-11.35"/>
    <x v="454"/>
    <n v="5541.88"/>
    <s v="Complete Access"/>
    <x v="9"/>
    <x v="4"/>
    <x v="6"/>
    <d v="1900-01-22T00:00:00"/>
    <n v="21"/>
    <x v="9"/>
    <x v="1"/>
  </r>
  <r>
    <x v="193"/>
    <n v="-1408.62"/>
    <x v="15"/>
    <n v="5553.23"/>
    <s v="Complete Access"/>
    <x v="13"/>
    <x v="0"/>
    <x v="0"/>
    <d v="1900-01-22T00:00:00"/>
    <n v="21"/>
    <x v="9"/>
    <x v="1"/>
  </r>
  <r>
    <x v="193"/>
    <n v="-37.11"/>
    <x v="455"/>
    <n v="6961.85"/>
    <s v="Complete Access"/>
    <x v="1"/>
    <x v="1"/>
    <x v="1"/>
    <d v="1900-01-22T00:00:00"/>
    <n v="21"/>
    <x v="9"/>
    <x v="1"/>
  </r>
  <r>
    <x v="193"/>
    <n v="-40"/>
    <x v="456"/>
    <n v="6998.96"/>
    <s v="Complete Access"/>
    <x v="12"/>
    <x v="5"/>
    <x v="8"/>
    <d v="1900-01-22T00:00:00"/>
    <n v="21"/>
    <x v="9"/>
    <x v="1"/>
  </r>
  <r>
    <x v="193"/>
    <n v="2599.9899999999998"/>
    <x v="457"/>
    <n v="7038.96"/>
    <s v="Complete Access"/>
    <x v="14"/>
    <x v="6"/>
    <x v="9"/>
    <d v="1900-01-22T00:00:00"/>
    <n v="21"/>
    <x v="9"/>
    <x v="1"/>
  </r>
  <r>
    <x v="194"/>
    <n v="-12.5"/>
    <x v="18"/>
    <n v="4438.97"/>
    <s v="Complete Access"/>
    <x v="16"/>
    <x v="1"/>
    <x v="5"/>
    <d v="1900-01-21T00:00:00"/>
    <n v="21"/>
    <x v="9"/>
    <x v="1"/>
  </r>
  <r>
    <x v="195"/>
    <n v="-23.38"/>
    <x v="427"/>
    <n v="4451.47"/>
    <s v="Complete Access"/>
    <x v="184"/>
    <x v="1"/>
    <x v="5"/>
    <d v="1900-01-20T00:00:00"/>
    <n v="21"/>
    <x v="9"/>
    <x v="1"/>
  </r>
  <r>
    <x v="195"/>
    <n v="-15"/>
    <x v="18"/>
    <n v="4474.8500000000004"/>
    <s v="Complete Access"/>
    <x v="16"/>
    <x v="1"/>
    <x v="5"/>
    <d v="1900-01-20T00:00:00"/>
    <n v="21"/>
    <x v="9"/>
    <x v="1"/>
  </r>
  <r>
    <x v="195"/>
    <n v="-57.03"/>
    <x v="458"/>
    <n v="4489.8500000000004"/>
    <s v="Complete Access"/>
    <x v="1"/>
    <x v="1"/>
    <x v="1"/>
    <d v="1900-01-20T00:00:00"/>
    <n v="21"/>
    <x v="9"/>
    <x v="1"/>
  </r>
  <r>
    <x v="195"/>
    <n v="-69.95"/>
    <x v="459"/>
    <n v="4546.88"/>
    <s v="Complete Access"/>
    <x v="21"/>
    <x v="10"/>
    <x v="13"/>
    <d v="1900-01-20T00:00:00"/>
    <n v="21"/>
    <x v="9"/>
    <x v="1"/>
  </r>
  <r>
    <x v="196"/>
    <n v="-198"/>
    <x v="460"/>
    <n v="4616.83"/>
    <s v="Complete Access"/>
    <x v="191"/>
    <x v="10"/>
    <x v="13"/>
    <d v="1900-01-17T00:00:00"/>
    <n v="20"/>
    <x v="9"/>
    <x v="1"/>
  </r>
  <r>
    <x v="196"/>
    <n v="-5.3"/>
    <x v="460"/>
    <n v="4814.83"/>
    <s v="Complete Access"/>
    <x v="191"/>
    <x v="10"/>
    <x v="13"/>
    <d v="1900-01-17T00:00:00"/>
    <n v="20"/>
    <x v="9"/>
    <x v="1"/>
  </r>
  <r>
    <x v="196"/>
    <n v="-339"/>
    <x v="129"/>
    <n v="4820.13"/>
    <s v="Complete Access"/>
    <x v="50"/>
    <x v="4"/>
    <x v="25"/>
    <d v="1900-01-17T00:00:00"/>
    <n v="20"/>
    <x v="9"/>
    <x v="1"/>
  </r>
  <r>
    <x v="197"/>
    <n v="-138.47"/>
    <x v="461"/>
    <n v="5159.13"/>
    <s v="Complete Access"/>
    <x v="192"/>
    <x v="4"/>
    <x v="20"/>
    <d v="1900-01-16T00:00:00"/>
    <n v="20"/>
    <x v="9"/>
    <x v="1"/>
  </r>
  <r>
    <x v="198"/>
    <n v="-22.35"/>
    <x v="30"/>
    <n v="5297.6"/>
    <s v="Complete Access"/>
    <x v="21"/>
    <x v="10"/>
    <x v="13"/>
    <d v="1900-01-15T00:00:00"/>
    <n v="20"/>
    <x v="9"/>
    <x v="1"/>
  </r>
  <r>
    <x v="198"/>
    <n v="-30"/>
    <x v="462"/>
    <n v="5319.95"/>
    <s v="Complete Access"/>
    <x v="0"/>
    <x v="0"/>
    <x v="0"/>
    <d v="1900-01-15T00:00:00"/>
    <n v="20"/>
    <x v="9"/>
    <x v="1"/>
  </r>
  <r>
    <x v="198"/>
    <n v="-220.09"/>
    <x v="463"/>
    <n v="5349.95"/>
    <s v="Complete Access"/>
    <x v="193"/>
    <x v="4"/>
    <x v="45"/>
    <d v="1900-01-15T00:00:00"/>
    <n v="20"/>
    <x v="9"/>
    <x v="1"/>
  </r>
  <r>
    <x v="199"/>
    <n v="-12.78"/>
    <x v="30"/>
    <n v="5570.04"/>
    <s v="Complete Access"/>
    <x v="21"/>
    <x v="10"/>
    <x v="13"/>
    <d v="1900-01-13T00:00:00"/>
    <n v="20"/>
    <x v="9"/>
    <x v="1"/>
  </r>
  <r>
    <x v="199"/>
    <n v="30.17"/>
    <x v="464"/>
    <n v="5582.82"/>
    <s v="Complete Access"/>
    <x v="21"/>
    <x v="10"/>
    <x v="13"/>
    <d v="1900-01-13T00:00:00"/>
    <n v="20"/>
    <x v="9"/>
    <x v="1"/>
  </r>
  <r>
    <x v="199"/>
    <n v="-70.5"/>
    <x v="465"/>
    <n v="5552.65"/>
    <s v="Complete Access"/>
    <x v="21"/>
    <x v="10"/>
    <x v="13"/>
    <d v="1900-01-13T00:00:00"/>
    <n v="20"/>
    <x v="9"/>
    <x v="1"/>
  </r>
  <r>
    <x v="199"/>
    <n v="-11.9"/>
    <x v="18"/>
    <n v="5623.15"/>
    <s v="Complete Access"/>
    <x v="16"/>
    <x v="1"/>
    <x v="5"/>
    <d v="1900-01-13T00:00:00"/>
    <n v="20"/>
    <x v="9"/>
    <x v="1"/>
  </r>
  <r>
    <x v="199"/>
    <n v="-75.900000000000006"/>
    <x v="466"/>
    <n v="5635.05"/>
    <s v="Complete Access"/>
    <x v="73"/>
    <x v="1"/>
    <x v="23"/>
    <d v="1900-01-13T00:00:00"/>
    <n v="20"/>
    <x v="9"/>
    <x v="1"/>
  </r>
  <r>
    <x v="199"/>
    <n v="-102"/>
    <x v="467"/>
    <n v="5710.95"/>
    <s v="Complete Access"/>
    <x v="17"/>
    <x v="7"/>
    <x v="11"/>
    <d v="1900-01-13T00:00:00"/>
    <n v="20"/>
    <x v="9"/>
    <x v="1"/>
  </r>
  <r>
    <x v="199"/>
    <n v="-558"/>
    <x v="468"/>
    <n v="5812.95"/>
    <s v="Complete Access"/>
    <x v="191"/>
    <x v="10"/>
    <x v="13"/>
    <d v="1900-01-13T00:00:00"/>
    <n v="20"/>
    <x v="9"/>
    <x v="1"/>
  </r>
  <r>
    <x v="199"/>
    <n v="-409"/>
    <x v="469"/>
    <n v="6370.95"/>
    <s v="Complete Access"/>
    <x v="77"/>
    <x v="4"/>
    <x v="27"/>
    <d v="1900-01-13T00:00:00"/>
    <n v="20"/>
    <x v="9"/>
    <x v="1"/>
  </r>
  <r>
    <x v="199"/>
    <n v="-1"/>
    <x v="470"/>
    <n v="6779.95"/>
    <s v="Complete Access"/>
    <x v="10"/>
    <x v="0"/>
    <x v="0"/>
    <d v="1900-01-13T00:00:00"/>
    <n v="20"/>
    <x v="9"/>
    <x v="1"/>
  </r>
  <r>
    <x v="199"/>
    <n v="-33.36"/>
    <x v="471"/>
    <n v="6780.95"/>
    <s v="Complete Access"/>
    <x v="11"/>
    <x v="4"/>
    <x v="7"/>
    <d v="1900-01-13T00:00:00"/>
    <n v="20"/>
    <x v="9"/>
    <x v="1"/>
  </r>
  <r>
    <x v="199"/>
    <n v="-1699"/>
    <x v="472"/>
    <n v="6814.31"/>
    <s v="Complete Access"/>
    <x v="194"/>
    <x v="4"/>
    <x v="45"/>
    <d v="1900-01-13T00:00:00"/>
    <n v="20"/>
    <x v="9"/>
    <x v="1"/>
  </r>
  <r>
    <x v="199"/>
    <n v="-50.19"/>
    <x v="473"/>
    <n v="8513.31"/>
    <s v="Complete Access"/>
    <x v="56"/>
    <x v="9"/>
    <x v="31"/>
    <d v="1900-01-13T00:00:00"/>
    <n v="20"/>
    <x v="9"/>
    <x v="1"/>
  </r>
  <r>
    <x v="200"/>
    <n v="-127"/>
    <x v="190"/>
    <n v="8563.5"/>
    <s v="Complete Access"/>
    <x v="75"/>
    <x v="1"/>
    <x v="5"/>
    <d v="1900-01-11T00:00:00"/>
    <n v="20"/>
    <x v="9"/>
    <x v="1"/>
  </r>
  <r>
    <x v="201"/>
    <n v="-28.42"/>
    <x v="161"/>
    <n v="8690.5"/>
    <s v="Complete Access"/>
    <x v="66"/>
    <x v="1"/>
    <x v="5"/>
    <d v="1900-01-10T00:00:00"/>
    <n v="19"/>
    <x v="9"/>
    <x v="1"/>
  </r>
  <r>
    <x v="201"/>
    <n v="-11.65"/>
    <x v="474"/>
    <n v="8718.92"/>
    <s v="Complete Access"/>
    <x v="195"/>
    <x v="1"/>
    <x v="1"/>
    <d v="1900-01-10T00:00:00"/>
    <n v="19"/>
    <x v="9"/>
    <x v="1"/>
  </r>
  <r>
    <x v="201"/>
    <n v="-11.3"/>
    <x v="475"/>
    <n v="8730.57"/>
    <s v="Complete Access"/>
    <x v="47"/>
    <x v="1"/>
    <x v="5"/>
    <d v="1900-01-10T00:00:00"/>
    <n v="19"/>
    <x v="9"/>
    <x v="1"/>
  </r>
  <r>
    <x v="202"/>
    <n v="-300"/>
    <x v="476"/>
    <n v="8741.8700000000008"/>
    <s v="Complete Access"/>
    <x v="0"/>
    <x v="0"/>
    <x v="0"/>
    <d v="1900-01-09T00:00:00"/>
    <n v="19"/>
    <x v="9"/>
    <x v="1"/>
  </r>
  <r>
    <x v="203"/>
    <n v="-11.35"/>
    <x v="454"/>
    <n v="9041.8700000000008"/>
    <s v="Complete Access"/>
    <x v="9"/>
    <x v="4"/>
    <x v="6"/>
    <d v="1900-01-08T00:00:00"/>
    <n v="19"/>
    <x v="9"/>
    <x v="1"/>
  </r>
  <r>
    <x v="203"/>
    <n v="-14.05"/>
    <x v="477"/>
    <n v="9053.2199999999993"/>
    <s v="Complete Access"/>
    <x v="188"/>
    <x v="1"/>
    <x v="1"/>
    <d v="1900-01-08T00:00:00"/>
    <n v="19"/>
    <x v="9"/>
    <x v="1"/>
  </r>
  <r>
    <x v="203"/>
    <n v="-1849"/>
    <x v="478"/>
    <n v="9067.27"/>
    <s v="Complete Access"/>
    <x v="50"/>
    <x v="4"/>
    <x v="25"/>
    <d v="1900-01-08T00:00:00"/>
    <n v="19"/>
    <x v="9"/>
    <x v="1"/>
  </r>
  <r>
    <x v="203"/>
    <n v="-40"/>
    <x v="479"/>
    <n v="10916.27"/>
    <s v="Complete Access"/>
    <x v="12"/>
    <x v="5"/>
    <x v="8"/>
    <d v="1900-01-08T00:00:00"/>
    <n v="19"/>
    <x v="9"/>
    <x v="1"/>
  </r>
  <r>
    <x v="203"/>
    <n v="-1408.62"/>
    <x v="15"/>
    <n v="10956.27"/>
    <s v="Complete Access"/>
    <x v="13"/>
    <x v="0"/>
    <x v="0"/>
    <d v="1900-01-08T00:00:00"/>
    <n v="19"/>
    <x v="9"/>
    <x v="1"/>
  </r>
  <r>
    <x v="203"/>
    <n v="2599.9899999999998"/>
    <x v="480"/>
    <n v="12364.89"/>
    <s v="Complete Access"/>
    <x v="14"/>
    <x v="6"/>
    <x v="9"/>
    <d v="1900-01-08T00:00:00"/>
    <n v="19"/>
    <x v="9"/>
    <x v="1"/>
  </r>
  <r>
    <x v="204"/>
    <n v="-16"/>
    <x v="8"/>
    <n v="9764.9"/>
    <s v="Complete Access"/>
    <x v="7"/>
    <x v="1"/>
    <x v="5"/>
    <d v="1900-01-07T00:00:00"/>
    <n v="19"/>
    <x v="9"/>
    <x v="1"/>
  </r>
  <r>
    <x v="204"/>
    <n v="472.77"/>
    <x v="481"/>
    <n v="9780.9"/>
    <s v="Complete Access"/>
    <x v="76"/>
    <x v="2"/>
    <x v="2"/>
    <d v="1900-01-07T00:00:00"/>
    <n v="19"/>
    <x v="9"/>
    <x v="1"/>
  </r>
  <r>
    <x v="204"/>
    <n v="-50.98"/>
    <x v="482"/>
    <n v="9308.1299999999992"/>
    <s v="Complete Access"/>
    <x v="196"/>
    <x v="11"/>
    <x v="14"/>
    <d v="1900-01-07T00:00:00"/>
    <n v="19"/>
    <x v="9"/>
    <x v="1"/>
  </r>
  <r>
    <x v="205"/>
    <n v="-1514.59"/>
    <x v="418"/>
    <n v="9359.11"/>
    <s v="Complete Access"/>
    <x v="40"/>
    <x v="13"/>
    <x v="24"/>
    <d v="1900-01-05T00:00:00"/>
    <n v="19"/>
    <x v="9"/>
    <x v="1"/>
  </r>
  <r>
    <x v="206"/>
    <n v="-11.37"/>
    <x v="483"/>
    <n v="10873.7"/>
    <s v="Complete Access"/>
    <x v="197"/>
    <x v="1"/>
    <x v="1"/>
    <d v="1900-01-04T00:00:00"/>
    <n v="19"/>
    <x v="9"/>
    <x v="1"/>
  </r>
  <r>
    <x v="206"/>
    <n v="-32.1"/>
    <x v="30"/>
    <n v="10885.07"/>
    <s v="Complete Access"/>
    <x v="21"/>
    <x v="10"/>
    <x v="13"/>
    <d v="1900-01-04T00:00:00"/>
    <n v="19"/>
    <x v="9"/>
    <x v="1"/>
  </r>
  <r>
    <x v="207"/>
    <n v="-70.38"/>
    <x v="484"/>
    <n v="10917.17"/>
    <s v="Complete Access"/>
    <x v="187"/>
    <x v="9"/>
    <x v="12"/>
    <d v="1900-01-02T00:00:00"/>
    <n v="18"/>
    <x v="9"/>
    <x v="1"/>
  </r>
  <r>
    <x v="207"/>
    <n v="-12"/>
    <x v="460"/>
    <n v="10987.55"/>
    <s v="Complete Access"/>
    <x v="191"/>
    <x v="10"/>
    <x v="13"/>
    <d v="1900-01-02T00:00:00"/>
    <n v="18"/>
    <x v="9"/>
    <x v="1"/>
  </r>
  <r>
    <x v="208"/>
    <n v="-201.79"/>
    <x v="485"/>
    <n v="10999.55"/>
    <s v="Complete Access"/>
    <x v="76"/>
    <x v="2"/>
    <x v="2"/>
    <d v="1899-12-31T00:00:00"/>
    <n v="18"/>
    <x v="9"/>
    <x v="1"/>
  </r>
  <r>
    <x v="208"/>
    <n v="-10.8"/>
    <x v="486"/>
    <n v="11201.34"/>
    <s v="Complete Access"/>
    <x v="198"/>
    <x v="1"/>
    <x v="5"/>
    <d v="1899-12-31T00:00:00"/>
    <n v="18"/>
    <x v="9"/>
    <x v="1"/>
  </r>
  <r>
    <x v="208"/>
    <n v="-53.4"/>
    <x v="487"/>
    <n v="11212.14"/>
    <s v="Complete Access"/>
    <x v="199"/>
    <x v="14"/>
    <x v="46"/>
    <d v="1899-12-31T00:00:00"/>
    <n v="18"/>
    <x v="9"/>
    <x v="1"/>
  </r>
  <r>
    <x v="208"/>
    <n v="-132.19999999999999"/>
    <x v="488"/>
    <n v="11265.54"/>
    <s v="Complete Access"/>
    <x v="200"/>
    <x v="3"/>
    <x v="3"/>
    <d v="1899-12-31T00:00:00"/>
    <n v="18"/>
    <x v="9"/>
    <x v="1"/>
  </r>
  <r>
    <x v="208"/>
    <n v="-31.73"/>
    <x v="489"/>
    <n v="11397.74"/>
    <s v="Complete Access"/>
    <x v="5"/>
    <x v="3"/>
    <x v="3"/>
    <d v="1899-12-31T00:00:00"/>
    <n v="18"/>
    <x v="9"/>
    <x v="1"/>
  </r>
  <r>
    <x v="208"/>
    <n v="-35.99"/>
    <x v="489"/>
    <n v="11429.47"/>
    <s v="Complete Access"/>
    <x v="5"/>
    <x v="3"/>
    <x v="3"/>
    <d v="1899-12-31T00:00:00"/>
    <n v="18"/>
    <x v="9"/>
    <x v="1"/>
  </r>
  <r>
    <x v="209"/>
    <n v="-15"/>
    <x v="18"/>
    <n v="11465.46"/>
    <s v="Complete Access"/>
    <x v="16"/>
    <x v="1"/>
    <x v="5"/>
    <d v="1900-01-29T00:00:00"/>
    <n v="18"/>
    <x v="10"/>
    <x v="1"/>
  </r>
  <r>
    <x v="209"/>
    <n v="-28.6"/>
    <x v="490"/>
    <n v="11480.46"/>
    <s v="Complete Access"/>
    <x v="1"/>
    <x v="1"/>
    <x v="1"/>
    <d v="1900-01-29T00:00:00"/>
    <n v="18"/>
    <x v="10"/>
    <x v="1"/>
  </r>
  <r>
    <x v="209"/>
    <n v="-48.93"/>
    <x v="491"/>
    <n v="11509.06"/>
    <s v="Complete Access"/>
    <x v="19"/>
    <x v="3"/>
    <x v="3"/>
    <d v="1900-01-29T00:00:00"/>
    <n v="18"/>
    <x v="10"/>
    <x v="1"/>
  </r>
  <r>
    <x v="209"/>
    <n v="-0.34"/>
    <x v="492"/>
    <n v="11557.99"/>
    <s v="Complete Access"/>
    <x v="10"/>
    <x v="0"/>
    <x v="0"/>
    <d v="1900-01-29T00:00:00"/>
    <n v="18"/>
    <x v="10"/>
    <x v="1"/>
  </r>
  <r>
    <x v="209"/>
    <n v="-11.38"/>
    <x v="493"/>
    <n v="11558.33"/>
    <s v="Complete Access"/>
    <x v="201"/>
    <x v="4"/>
    <x v="47"/>
    <d v="1900-01-29T00:00:00"/>
    <n v="18"/>
    <x v="10"/>
    <x v="1"/>
  </r>
  <r>
    <x v="210"/>
    <n v="-31.15"/>
    <x v="494"/>
    <n v="11569.71"/>
    <s v="Complete Access"/>
    <x v="202"/>
    <x v="1"/>
    <x v="5"/>
    <d v="1900-01-26T00:00:00"/>
    <n v="17"/>
    <x v="10"/>
    <x v="1"/>
  </r>
  <r>
    <x v="210"/>
    <n v="-48"/>
    <x v="495"/>
    <n v="11600.86"/>
    <s v="Complete Access"/>
    <x v="203"/>
    <x v="13"/>
    <x v="48"/>
    <d v="1900-01-26T00:00:00"/>
    <n v="17"/>
    <x v="10"/>
    <x v="1"/>
  </r>
  <r>
    <x v="210"/>
    <n v="48"/>
    <x v="496"/>
    <n v="11648.86"/>
    <s v="Complete Access"/>
    <x v="203"/>
    <x v="13"/>
    <x v="48"/>
    <d v="1900-01-26T00:00:00"/>
    <n v="17"/>
    <x v="10"/>
    <x v="1"/>
  </r>
  <r>
    <x v="211"/>
    <n v="-11.35"/>
    <x v="454"/>
    <n v="11600.86"/>
    <s v="Complete Access"/>
    <x v="9"/>
    <x v="4"/>
    <x v="6"/>
    <d v="1900-01-25T00:00:00"/>
    <n v="17"/>
    <x v="10"/>
    <x v="1"/>
  </r>
  <r>
    <x v="211"/>
    <n v="-1408.62"/>
    <x v="15"/>
    <n v="11612.21"/>
    <s v="Complete Access"/>
    <x v="13"/>
    <x v="0"/>
    <x v="0"/>
    <d v="1900-01-25T00:00:00"/>
    <n v="17"/>
    <x v="10"/>
    <x v="1"/>
  </r>
  <r>
    <x v="212"/>
    <n v="-2.6"/>
    <x v="72"/>
    <n v="13020.83"/>
    <s v="Complete Access"/>
    <x v="37"/>
    <x v="0"/>
    <x v="0"/>
    <d v="1900-01-24T00:00:00"/>
    <n v="17"/>
    <x v="10"/>
    <x v="1"/>
  </r>
  <r>
    <x v="212"/>
    <n v="-40"/>
    <x v="497"/>
    <n v="13023.43"/>
    <s v="Complete Access"/>
    <x v="130"/>
    <x v="0"/>
    <x v="0"/>
    <d v="1900-01-24T00:00:00"/>
    <n v="17"/>
    <x v="10"/>
    <x v="1"/>
  </r>
  <r>
    <x v="212"/>
    <n v="-13.2"/>
    <x v="498"/>
    <n v="13063.43"/>
    <s v="Complete Access"/>
    <x v="204"/>
    <x v="8"/>
    <x v="29"/>
    <d v="1900-01-24T00:00:00"/>
    <n v="17"/>
    <x v="10"/>
    <x v="1"/>
  </r>
  <r>
    <x v="212"/>
    <n v="-704.31"/>
    <x v="15"/>
    <n v="13076.63"/>
    <s v="Complete Access"/>
    <x v="13"/>
    <x v="0"/>
    <x v="0"/>
    <d v="1900-01-24T00:00:00"/>
    <n v="17"/>
    <x v="10"/>
    <x v="1"/>
  </r>
  <r>
    <x v="212"/>
    <n v="-48"/>
    <x v="499"/>
    <n v="13780.94"/>
    <s v="Complete Access"/>
    <x v="203"/>
    <x v="13"/>
    <x v="48"/>
    <d v="1900-01-24T00:00:00"/>
    <n v="17"/>
    <x v="10"/>
    <x v="1"/>
  </r>
  <r>
    <x v="212"/>
    <n v="-40"/>
    <x v="500"/>
    <n v="13828.94"/>
    <s v="Complete Access"/>
    <x v="12"/>
    <x v="5"/>
    <x v="8"/>
    <d v="1900-01-24T00:00:00"/>
    <n v="17"/>
    <x v="10"/>
    <x v="1"/>
  </r>
  <r>
    <x v="213"/>
    <n v="-60.18"/>
    <x v="501"/>
    <n v="13868.94"/>
    <s v="Complete Access"/>
    <x v="205"/>
    <x v="11"/>
    <x v="49"/>
    <d v="1900-01-23T00:00:00"/>
    <n v="17"/>
    <x v="10"/>
    <x v="1"/>
  </r>
  <r>
    <x v="213"/>
    <n v="-20.07"/>
    <x v="502"/>
    <n v="13881.12"/>
    <s v="Complete Access"/>
    <x v="56"/>
    <x v="9"/>
    <x v="31"/>
    <d v="1900-01-23T00:00:00"/>
    <n v="17"/>
    <x v="10"/>
    <x v="1"/>
  </r>
  <r>
    <x v="213"/>
    <n v="2599.98"/>
    <x v="503"/>
    <n v="13901.19"/>
    <s v="Complete Access"/>
    <x v="14"/>
    <x v="6"/>
    <x v="9"/>
    <d v="1900-01-23T00:00:00"/>
    <n v="17"/>
    <x v="10"/>
    <x v="1"/>
  </r>
  <r>
    <x v="213"/>
    <n v="48"/>
    <x v="504"/>
    <n v="13929.12"/>
    <s v="Complete Access"/>
    <x v="203"/>
    <x v="13"/>
    <x v="48"/>
    <d v="1900-01-23T00:00:00"/>
    <n v="17"/>
    <x v="10"/>
    <x v="1"/>
  </r>
  <r>
    <x v="214"/>
    <n v="-15.35"/>
    <x v="7"/>
    <n v="11301.21"/>
    <s v="Complete Access"/>
    <x v="1"/>
    <x v="1"/>
    <x v="1"/>
    <d v="1900-01-22T00:00:00"/>
    <n v="17"/>
    <x v="10"/>
    <x v="1"/>
  </r>
  <r>
    <x v="214"/>
    <n v="-15"/>
    <x v="18"/>
    <n v="11337.56"/>
    <s v="Complete Access"/>
    <x v="16"/>
    <x v="1"/>
    <x v="5"/>
    <d v="1900-01-22T00:00:00"/>
    <n v="17"/>
    <x v="10"/>
    <x v="1"/>
  </r>
  <r>
    <x v="214"/>
    <n v="-21"/>
    <x v="207"/>
    <n v="11316.56"/>
    <s v="Complete Access"/>
    <x v="81"/>
    <x v="16"/>
    <x v="35"/>
    <d v="1900-01-22T00:00:00"/>
    <n v="17"/>
    <x v="10"/>
    <x v="1"/>
  </r>
  <r>
    <x v="214"/>
    <n v="-48"/>
    <x v="505"/>
    <n v="11352.56"/>
    <s v="Complete Access"/>
    <x v="203"/>
    <x v="13"/>
    <x v="48"/>
    <d v="1900-01-22T00:00:00"/>
    <n v="17"/>
    <x v="10"/>
    <x v="1"/>
  </r>
  <r>
    <x v="214"/>
    <n v="-8"/>
    <x v="506"/>
    <n v="11400.56"/>
    <s v="Complete Access"/>
    <x v="60"/>
    <x v="14"/>
    <x v="32"/>
    <d v="1900-01-22T00:00:00"/>
    <n v="17"/>
    <x v="10"/>
    <x v="1"/>
  </r>
  <r>
    <x v="215"/>
    <n v="-11.34"/>
    <x v="465"/>
    <n v="11408.56"/>
    <s v="Complete Access"/>
    <x v="21"/>
    <x v="10"/>
    <x v="13"/>
    <d v="1900-01-20T00:00:00"/>
    <n v="17"/>
    <x v="10"/>
    <x v="1"/>
  </r>
  <r>
    <x v="215"/>
    <n v="-220"/>
    <x v="507"/>
    <n v="11419.9"/>
    <s v="Complete Access"/>
    <x v="206"/>
    <x v="13"/>
    <x v="50"/>
    <d v="1900-01-20T00:00:00"/>
    <n v="17"/>
    <x v="10"/>
    <x v="1"/>
  </r>
  <r>
    <x v="216"/>
    <n v="-73.709999999999994"/>
    <x v="7"/>
    <n v="11639.9"/>
    <s v="Complete Access"/>
    <x v="1"/>
    <x v="1"/>
    <x v="1"/>
    <d v="1900-01-19T00:00:00"/>
    <n v="16"/>
    <x v="10"/>
    <x v="1"/>
  </r>
  <r>
    <x v="216"/>
    <n v="-17.72"/>
    <x v="30"/>
    <n v="11713.61"/>
    <s v="Complete Access"/>
    <x v="21"/>
    <x v="10"/>
    <x v="13"/>
    <d v="1900-01-19T00:00:00"/>
    <n v="16"/>
    <x v="10"/>
    <x v="1"/>
  </r>
  <r>
    <x v="216"/>
    <n v="-22.99"/>
    <x v="508"/>
    <n v="11731.33"/>
    <s v="Complete Access"/>
    <x v="5"/>
    <x v="3"/>
    <x v="3"/>
    <d v="1900-01-19T00:00:00"/>
    <n v="16"/>
    <x v="10"/>
    <x v="1"/>
  </r>
  <r>
    <x v="217"/>
    <n v="-13.36"/>
    <x v="509"/>
    <n v="11754.32"/>
    <s v="Complete Access"/>
    <x v="207"/>
    <x v="7"/>
    <x v="11"/>
    <d v="1900-01-18T00:00:00"/>
    <n v="16"/>
    <x v="10"/>
    <x v="1"/>
  </r>
  <r>
    <x v="218"/>
    <n v="-25.38"/>
    <x v="161"/>
    <n v="11767.68"/>
    <s v="Complete Access"/>
    <x v="66"/>
    <x v="1"/>
    <x v="5"/>
    <d v="1900-01-17T00:00:00"/>
    <n v="16"/>
    <x v="10"/>
    <x v="1"/>
  </r>
  <r>
    <x v="218"/>
    <n v="-4.84"/>
    <x v="30"/>
    <n v="11793.06"/>
    <s v="Complete Access"/>
    <x v="21"/>
    <x v="10"/>
    <x v="13"/>
    <d v="1900-01-17T00:00:00"/>
    <n v="16"/>
    <x v="10"/>
    <x v="1"/>
  </r>
  <r>
    <x v="219"/>
    <n v="-28.83"/>
    <x v="510"/>
    <n v="12005.21"/>
    <s v="Complete Access"/>
    <x v="208"/>
    <x v="8"/>
    <x v="29"/>
    <d v="1900-01-16T00:00:00"/>
    <n v="16"/>
    <x v="10"/>
    <x v="1"/>
  </r>
  <r>
    <x v="219"/>
    <n v="-33.5"/>
    <x v="510"/>
    <n v="12034.04"/>
    <s v="Complete Access"/>
    <x v="208"/>
    <x v="8"/>
    <x v="29"/>
    <d v="1900-01-16T00:00:00"/>
    <n v="16"/>
    <x v="10"/>
    <x v="1"/>
  </r>
  <r>
    <x v="219"/>
    <n v="-35.130000000000003"/>
    <x v="511"/>
    <n v="12067.54"/>
    <s v="Complete Access"/>
    <x v="187"/>
    <x v="9"/>
    <x v="12"/>
    <d v="1900-01-16T00:00:00"/>
    <n v="16"/>
    <x v="10"/>
    <x v="1"/>
  </r>
  <r>
    <x v="219"/>
    <n v="-97.58"/>
    <x v="30"/>
    <n v="11797.9"/>
    <s v="Complete Access"/>
    <x v="21"/>
    <x v="10"/>
    <x v="13"/>
    <d v="1900-01-16T00:00:00"/>
    <n v="16"/>
    <x v="10"/>
    <x v="1"/>
  </r>
  <r>
    <x v="219"/>
    <n v="-97.23"/>
    <x v="30"/>
    <n v="11895.48"/>
    <s v="Complete Access"/>
    <x v="21"/>
    <x v="10"/>
    <x v="13"/>
    <d v="1900-01-16T00:00:00"/>
    <n v="16"/>
    <x v="10"/>
    <x v="1"/>
  </r>
  <r>
    <x v="219"/>
    <n v="-12.5"/>
    <x v="18"/>
    <n v="11992.71"/>
    <s v="Complete Access"/>
    <x v="16"/>
    <x v="1"/>
    <x v="5"/>
    <d v="1900-01-16T00:00:00"/>
    <n v="16"/>
    <x v="10"/>
    <x v="1"/>
  </r>
  <r>
    <x v="220"/>
    <n v="-67.5"/>
    <x v="512"/>
    <n v="12262.04"/>
    <s v="Complete Access"/>
    <x v="209"/>
    <x v="1"/>
    <x v="5"/>
    <d v="1900-01-15T00:00:00"/>
    <n v="16"/>
    <x v="10"/>
    <x v="1"/>
  </r>
  <r>
    <x v="220"/>
    <n v="-10"/>
    <x v="7"/>
    <n v="12102.67"/>
    <s v="Complete Access"/>
    <x v="1"/>
    <x v="1"/>
    <x v="1"/>
    <d v="1900-01-15T00:00:00"/>
    <n v="16"/>
    <x v="10"/>
    <x v="1"/>
  </r>
  <r>
    <x v="220"/>
    <n v="-15"/>
    <x v="18"/>
    <n v="12112.67"/>
    <s v="Complete Access"/>
    <x v="16"/>
    <x v="1"/>
    <x v="5"/>
    <d v="1900-01-15T00:00:00"/>
    <n v="16"/>
    <x v="10"/>
    <x v="1"/>
  </r>
  <r>
    <x v="220"/>
    <n v="-134.37"/>
    <x v="513"/>
    <n v="12127.67"/>
    <s v="Complete Access"/>
    <x v="210"/>
    <x v="3"/>
    <x v="15"/>
    <d v="1900-01-15T00:00:00"/>
    <n v="16"/>
    <x v="10"/>
    <x v="1"/>
  </r>
  <r>
    <x v="221"/>
    <n v="-13.3"/>
    <x v="514"/>
    <n v="12329.54"/>
    <s v="Complete Access"/>
    <x v="35"/>
    <x v="1"/>
    <x v="23"/>
    <d v="1900-01-14T00:00:00"/>
    <n v="16"/>
    <x v="10"/>
    <x v="1"/>
  </r>
  <r>
    <x v="222"/>
    <n v="-31.28"/>
    <x v="515"/>
    <n v="12342.84"/>
    <s v="Complete Access"/>
    <x v="21"/>
    <x v="10"/>
    <x v="13"/>
    <d v="1900-01-13T00:00:00"/>
    <n v="16"/>
    <x v="10"/>
    <x v="1"/>
  </r>
  <r>
    <x v="223"/>
    <n v="-3419.9"/>
    <x v="516"/>
    <n v="12374.12"/>
    <s v="Complete Access"/>
    <x v="211"/>
    <x v="13"/>
    <x v="51"/>
    <d v="1900-01-12T00:00:00"/>
    <n v="15"/>
    <x v="10"/>
    <x v="1"/>
  </r>
  <r>
    <x v="223"/>
    <n v="-51.53"/>
    <x v="447"/>
    <n v="15794.02"/>
    <s v="Complete Access"/>
    <x v="21"/>
    <x v="10"/>
    <x v="13"/>
    <d v="1900-01-12T00:00:00"/>
    <n v="15"/>
    <x v="10"/>
    <x v="1"/>
  </r>
  <r>
    <x v="223"/>
    <n v="-10.3"/>
    <x v="517"/>
    <n v="15845.55"/>
    <s v="Complete Access"/>
    <x v="34"/>
    <x v="9"/>
    <x v="12"/>
    <d v="1900-01-12T00:00:00"/>
    <n v="15"/>
    <x v="10"/>
    <x v="1"/>
  </r>
  <r>
    <x v="223"/>
    <n v="-1.01"/>
    <x v="518"/>
    <n v="15855.85"/>
    <s v="Complete Access"/>
    <x v="10"/>
    <x v="0"/>
    <x v="0"/>
    <d v="1900-01-12T00:00:00"/>
    <n v="15"/>
    <x v="10"/>
    <x v="1"/>
  </r>
  <r>
    <x v="223"/>
    <n v="-33.83"/>
    <x v="519"/>
    <n v="15856.86"/>
    <s v="Complete Access"/>
    <x v="11"/>
    <x v="4"/>
    <x v="7"/>
    <d v="1900-01-12T00:00:00"/>
    <n v="15"/>
    <x v="10"/>
    <x v="1"/>
  </r>
  <r>
    <x v="223"/>
    <n v="-129.69999999999999"/>
    <x v="520"/>
    <n v="15890.69"/>
    <s v="Complete Access"/>
    <x v="3"/>
    <x v="2"/>
    <x v="2"/>
    <d v="1900-01-12T00:00:00"/>
    <n v="15"/>
    <x v="10"/>
    <x v="1"/>
  </r>
  <r>
    <x v="224"/>
    <n v="-26.25"/>
    <x v="521"/>
    <n v="16020.39"/>
    <s v="Complete Access"/>
    <x v="212"/>
    <x v="9"/>
    <x v="12"/>
    <d v="1900-01-11T00:00:00"/>
    <n v="15"/>
    <x v="10"/>
    <x v="1"/>
  </r>
  <r>
    <x v="225"/>
    <n v="-100"/>
    <x v="522"/>
    <n v="16064.34"/>
    <s v="Complete Access"/>
    <x v="211"/>
    <x v="13"/>
    <x v="51"/>
    <d v="1900-01-10T00:00:00"/>
    <n v="15"/>
    <x v="10"/>
    <x v="1"/>
  </r>
  <r>
    <x v="225"/>
    <n v="-11.35"/>
    <x v="454"/>
    <n v="16046.64"/>
    <s v="Complete Access"/>
    <x v="9"/>
    <x v="4"/>
    <x v="6"/>
    <d v="1900-01-10T00:00:00"/>
    <n v="15"/>
    <x v="10"/>
    <x v="1"/>
  </r>
  <r>
    <x v="225"/>
    <n v="-6.35"/>
    <x v="523"/>
    <n v="16057.99"/>
    <s v="Complete Access"/>
    <x v="212"/>
    <x v="9"/>
    <x v="12"/>
    <d v="1900-01-10T00:00:00"/>
    <n v="15"/>
    <x v="10"/>
    <x v="1"/>
  </r>
  <r>
    <x v="225"/>
    <n v="-3.5"/>
    <x v="524"/>
    <n v="16164.34"/>
    <s v="Complete Access"/>
    <x v="213"/>
    <x v="1"/>
    <x v="23"/>
    <d v="1900-01-10T00:00:00"/>
    <n v="15"/>
    <x v="10"/>
    <x v="1"/>
  </r>
  <r>
    <x v="225"/>
    <n v="-3"/>
    <x v="524"/>
    <n v="16167.84"/>
    <s v="Complete Access"/>
    <x v="213"/>
    <x v="1"/>
    <x v="23"/>
    <d v="1900-01-10T00:00:00"/>
    <n v="15"/>
    <x v="10"/>
    <x v="1"/>
  </r>
  <r>
    <x v="225"/>
    <n v="-40"/>
    <x v="525"/>
    <n v="16170.84"/>
    <s v="Complete Access"/>
    <x v="12"/>
    <x v="5"/>
    <x v="8"/>
    <d v="1900-01-10T00:00:00"/>
    <n v="15"/>
    <x v="10"/>
    <x v="1"/>
  </r>
  <r>
    <x v="225"/>
    <n v="-10.49"/>
    <x v="526"/>
    <n v="16210.84"/>
    <s v="Complete Access"/>
    <x v="5"/>
    <x v="3"/>
    <x v="3"/>
    <d v="1900-01-10T00:00:00"/>
    <n v="15"/>
    <x v="10"/>
    <x v="1"/>
  </r>
  <r>
    <x v="225"/>
    <n v="-500"/>
    <x v="527"/>
    <n v="16221.33"/>
    <s v="Complete Access"/>
    <x v="13"/>
    <x v="0"/>
    <x v="0"/>
    <d v="1900-01-10T00:00:00"/>
    <n v="15"/>
    <x v="10"/>
    <x v="1"/>
  </r>
  <r>
    <x v="225"/>
    <n v="2599.9899999999998"/>
    <x v="528"/>
    <n v="16721.330000000002"/>
    <s v="Complete Access"/>
    <x v="14"/>
    <x v="6"/>
    <x v="9"/>
    <d v="1900-01-10T00:00:00"/>
    <n v="15"/>
    <x v="10"/>
    <x v="1"/>
  </r>
  <r>
    <x v="226"/>
    <n v="-16"/>
    <x v="8"/>
    <n v="14121.34"/>
    <s v="Complete Access"/>
    <x v="7"/>
    <x v="1"/>
    <x v="5"/>
    <d v="1900-01-09T00:00:00"/>
    <n v="15"/>
    <x v="10"/>
    <x v="1"/>
  </r>
  <r>
    <x v="227"/>
    <n v="-42.57"/>
    <x v="28"/>
    <n v="14137.34"/>
    <s v="Complete Access"/>
    <x v="20"/>
    <x v="9"/>
    <x v="12"/>
    <d v="1900-01-08T00:00:00"/>
    <n v="15"/>
    <x v="10"/>
    <x v="1"/>
  </r>
  <r>
    <x v="227"/>
    <n v="-16"/>
    <x v="8"/>
    <n v="14179.91"/>
    <s v="Complete Access"/>
    <x v="7"/>
    <x v="1"/>
    <x v="5"/>
    <d v="1900-01-08T00:00:00"/>
    <n v="15"/>
    <x v="10"/>
    <x v="1"/>
  </r>
  <r>
    <x v="227"/>
    <n v="-31.14"/>
    <x v="529"/>
    <n v="14195.91"/>
    <s v="Complete Access"/>
    <x v="104"/>
    <x v="1"/>
    <x v="5"/>
    <d v="1900-01-08T00:00:00"/>
    <n v="15"/>
    <x v="10"/>
    <x v="1"/>
  </r>
  <r>
    <x v="227"/>
    <n v="-139"/>
    <x v="530"/>
    <n v="14227.05"/>
    <s v="Complete Access"/>
    <x v="214"/>
    <x v="4"/>
    <x v="52"/>
    <d v="1900-01-08T00:00:00"/>
    <n v="15"/>
    <x v="10"/>
    <x v="1"/>
  </r>
  <r>
    <x v="228"/>
    <n v="-3.07"/>
    <x v="531"/>
    <n v="14366.05"/>
    <s v="Complete Access"/>
    <x v="215"/>
    <x v="1"/>
    <x v="1"/>
    <d v="1900-01-06T00:00:00"/>
    <n v="15"/>
    <x v="10"/>
    <x v="1"/>
  </r>
  <r>
    <x v="228"/>
    <n v="-5.5"/>
    <x v="532"/>
    <n v="14369.12"/>
    <s v="Complete Access"/>
    <x v="1"/>
    <x v="1"/>
    <x v="1"/>
    <d v="1900-01-06T00:00:00"/>
    <n v="15"/>
    <x v="10"/>
    <x v="1"/>
  </r>
  <r>
    <x v="228"/>
    <n v="-9"/>
    <x v="533"/>
    <n v="14374.62"/>
    <s v="Complete Access"/>
    <x v="215"/>
    <x v="1"/>
    <x v="1"/>
    <d v="1900-01-06T00:00:00"/>
    <n v="15"/>
    <x v="10"/>
    <x v="1"/>
  </r>
  <r>
    <x v="228"/>
    <n v="-43.95"/>
    <x v="405"/>
    <n v="14383.62"/>
    <s v="Complete Access"/>
    <x v="177"/>
    <x v="1"/>
    <x v="1"/>
    <d v="1900-01-06T00:00:00"/>
    <n v="15"/>
    <x v="10"/>
    <x v="1"/>
  </r>
  <r>
    <x v="229"/>
    <n v="5000"/>
    <x v="534"/>
    <n v="14427.57"/>
    <s v="Complete Access"/>
    <x v="36"/>
    <x v="0"/>
    <x v="0"/>
    <d v="1900-01-05T00:00:00"/>
    <n v="14"/>
    <x v="10"/>
    <x v="1"/>
  </r>
  <r>
    <x v="229"/>
    <n v="-23.9"/>
    <x v="535"/>
    <n v="9427.57"/>
    <s v="Complete Access"/>
    <x v="104"/>
    <x v="1"/>
    <x v="5"/>
    <d v="1900-01-05T00:00:00"/>
    <n v="14"/>
    <x v="10"/>
    <x v="1"/>
  </r>
  <r>
    <x v="230"/>
    <n v="-1045.5"/>
    <x v="536"/>
    <n v="9451.4699999999993"/>
    <s v="Complete Access"/>
    <x v="216"/>
    <x v="9"/>
    <x v="36"/>
    <d v="1900-01-04T00:00:00"/>
    <n v="14"/>
    <x v="10"/>
    <x v="1"/>
  </r>
  <r>
    <x v="230"/>
    <n v="-75000"/>
    <x v="537"/>
    <n v="10496.97"/>
    <s v="Complete Access"/>
    <x v="217"/>
    <x v="0"/>
    <x v="0"/>
    <d v="1900-01-04T00:00:00"/>
    <n v="14"/>
    <x v="10"/>
    <x v="1"/>
  </r>
  <r>
    <x v="230"/>
    <n v="75000"/>
    <x v="370"/>
    <n v="85496.97"/>
    <s v="Complete Access"/>
    <x v="36"/>
    <x v="0"/>
    <x v="0"/>
    <d v="1900-01-04T00:00:00"/>
    <n v="14"/>
    <x v="10"/>
    <x v="1"/>
  </r>
  <r>
    <x v="230"/>
    <n v="-10000"/>
    <x v="538"/>
    <n v="10496.97"/>
    <s v="Complete Access"/>
    <x v="0"/>
    <x v="0"/>
    <x v="0"/>
    <d v="1900-01-04T00:00:00"/>
    <n v="14"/>
    <x v="10"/>
    <x v="1"/>
  </r>
  <r>
    <x v="231"/>
    <n v="10000"/>
    <x v="539"/>
    <n v="20496.97"/>
    <s v="Complete Access"/>
    <x v="36"/>
    <x v="0"/>
    <x v="0"/>
    <d v="1900-01-02T00:00:00"/>
    <n v="14"/>
    <x v="10"/>
    <x v="1"/>
  </r>
  <r>
    <x v="231"/>
    <n v="-36.32"/>
    <x v="540"/>
    <n v="10496.97"/>
    <s v="Complete Access"/>
    <x v="8"/>
    <x v="1"/>
    <x v="5"/>
    <d v="1900-01-02T00:00:00"/>
    <n v="14"/>
    <x v="10"/>
    <x v="1"/>
  </r>
  <r>
    <x v="231"/>
    <n v="-8.3800000000000008"/>
    <x v="541"/>
    <n v="10533.29"/>
    <s v="Complete Access"/>
    <x v="218"/>
    <x v="8"/>
    <x v="29"/>
    <d v="1900-01-02T00:00:00"/>
    <n v="14"/>
    <x v="10"/>
    <x v="1"/>
  </r>
  <r>
    <x v="231"/>
    <n v="-9.39"/>
    <x v="541"/>
    <n v="10541.67"/>
    <s v="Complete Access"/>
    <x v="218"/>
    <x v="8"/>
    <x v="29"/>
    <d v="1900-01-02T00:00:00"/>
    <n v="14"/>
    <x v="10"/>
    <x v="1"/>
  </r>
  <r>
    <x v="231"/>
    <n v="-23.9"/>
    <x v="542"/>
    <n v="10551.06"/>
    <s v="Complete Access"/>
    <x v="104"/>
    <x v="1"/>
    <x v="5"/>
    <d v="1900-01-02T00:00:00"/>
    <n v="14"/>
    <x v="10"/>
    <x v="1"/>
  </r>
  <r>
    <x v="231"/>
    <n v="-24.2"/>
    <x v="543"/>
    <n v="10574.96"/>
    <s v="Complete Access"/>
    <x v="8"/>
    <x v="1"/>
    <x v="5"/>
    <d v="1900-01-02T00:00:00"/>
    <n v="14"/>
    <x v="10"/>
    <x v="1"/>
  </r>
  <r>
    <x v="231"/>
    <n v="-45"/>
    <x v="544"/>
    <n v="10599.16"/>
    <s v="Complete Access"/>
    <x v="219"/>
    <x v="7"/>
    <x v="53"/>
    <d v="1900-01-02T00:00:00"/>
    <n v="14"/>
    <x v="10"/>
    <x v="1"/>
  </r>
  <r>
    <x v="232"/>
    <n v="-201.79"/>
    <x v="545"/>
    <n v="10644.16"/>
    <s v="Complete Access"/>
    <x v="76"/>
    <x v="2"/>
    <x v="2"/>
    <d v="1900-01-01T00:00:00"/>
    <n v="14"/>
    <x v="10"/>
    <x v="1"/>
  </r>
  <r>
    <x v="232"/>
    <n v="-35.85"/>
    <x v="405"/>
    <n v="10845.95"/>
    <s v="Complete Access"/>
    <x v="177"/>
    <x v="1"/>
    <x v="1"/>
    <d v="1900-01-01T00:00:00"/>
    <n v="14"/>
    <x v="10"/>
    <x v="1"/>
  </r>
  <r>
    <x v="232"/>
    <n v="-15.65"/>
    <x v="546"/>
    <n v="10881.8"/>
    <s v="Complete Access"/>
    <x v="220"/>
    <x v="1"/>
    <x v="5"/>
    <d v="1900-01-01T00:00:00"/>
    <n v="14"/>
    <x v="10"/>
    <x v="1"/>
  </r>
  <r>
    <x v="233"/>
    <n v="-30.17"/>
    <x v="517"/>
    <n v="10897.45"/>
    <s v="Complete Access"/>
    <x v="34"/>
    <x v="9"/>
    <x v="12"/>
    <d v="1899-12-31T00:00:00"/>
    <n v="14"/>
    <x v="10"/>
    <x v="1"/>
  </r>
  <r>
    <x v="233"/>
    <n v="10000"/>
    <x v="547"/>
    <n v="10927.62"/>
    <s v="Complete Access"/>
    <x v="36"/>
    <x v="0"/>
    <x v="0"/>
    <d v="1899-12-31T00:00:00"/>
    <n v="14"/>
    <x v="10"/>
    <x v="1"/>
  </r>
  <r>
    <x v="234"/>
    <n v="-2"/>
    <x v="548"/>
    <n v="927.62"/>
    <s v="Complete Access"/>
    <x v="13"/>
    <x v="0"/>
    <x v="0"/>
    <d v="1900-01-29T00:00:00"/>
    <n v="13"/>
    <x v="11"/>
    <x v="1"/>
  </r>
  <r>
    <x v="234"/>
    <n v="-1"/>
    <x v="548"/>
    <n v="929.62"/>
    <s v="Complete Access"/>
    <x v="13"/>
    <x v="0"/>
    <x v="0"/>
    <d v="1900-01-29T00:00:00"/>
    <n v="13"/>
    <x v="11"/>
    <x v="1"/>
  </r>
  <r>
    <x v="234"/>
    <n v="-13"/>
    <x v="96"/>
    <n v="930.62"/>
    <s v="Complete Access"/>
    <x v="47"/>
    <x v="1"/>
    <x v="5"/>
    <d v="1900-01-29T00:00:00"/>
    <n v="13"/>
    <x v="11"/>
    <x v="1"/>
  </r>
  <r>
    <x v="235"/>
    <n v="-24000"/>
    <x v="538"/>
    <n v="943.62"/>
    <s v="Complete Access"/>
    <x v="0"/>
    <x v="0"/>
    <x v="0"/>
    <d v="1900-01-28T00:00:00"/>
    <n v="13"/>
    <x v="11"/>
    <x v="1"/>
  </r>
  <r>
    <x v="235"/>
    <n v="10000"/>
    <x v="549"/>
    <n v="24943.62"/>
    <s v="Complete Access"/>
    <x v="36"/>
    <x v="0"/>
    <x v="0"/>
    <d v="1900-01-28T00:00:00"/>
    <n v="13"/>
    <x v="11"/>
    <x v="1"/>
  </r>
  <r>
    <x v="236"/>
    <n v="-11.35"/>
    <x v="454"/>
    <n v="14943.62"/>
    <s v="Complete Access"/>
    <x v="9"/>
    <x v="4"/>
    <x v="6"/>
    <d v="1900-01-27T00:00:00"/>
    <n v="13"/>
    <x v="11"/>
    <x v="1"/>
  </r>
  <r>
    <x v="236"/>
    <n v="10000"/>
    <x v="550"/>
    <n v="14954.97"/>
    <s v="Complete Access"/>
    <x v="36"/>
    <x v="0"/>
    <x v="0"/>
    <d v="1900-01-27T00:00:00"/>
    <n v="13"/>
    <x v="11"/>
    <x v="1"/>
  </r>
  <r>
    <x v="236"/>
    <n v="-500"/>
    <x v="527"/>
    <n v="4954.97"/>
    <s v="Complete Access"/>
    <x v="13"/>
    <x v="0"/>
    <x v="0"/>
    <d v="1900-01-27T00:00:00"/>
    <n v="13"/>
    <x v="11"/>
    <x v="1"/>
  </r>
  <r>
    <x v="236"/>
    <n v="2599.9899999999998"/>
    <x v="551"/>
    <n v="5454.97"/>
    <s v="Complete Access"/>
    <x v="14"/>
    <x v="6"/>
    <x v="9"/>
    <d v="1900-01-27T00:00:00"/>
    <n v="13"/>
    <x v="11"/>
    <x v="1"/>
  </r>
  <r>
    <x v="237"/>
    <n v="-2.8"/>
    <x v="72"/>
    <n v="2854.98"/>
    <s v="Complete Access"/>
    <x v="37"/>
    <x v="0"/>
    <x v="0"/>
    <d v="1900-01-26T00:00:00"/>
    <n v="13"/>
    <x v="11"/>
    <x v="1"/>
  </r>
  <r>
    <x v="237"/>
    <n v="-50"/>
    <x v="552"/>
    <n v="2857.78"/>
    <s v="Complete Access"/>
    <x v="130"/>
    <x v="0"/>
    <x v="0"/>
    <d v="1900-01-26T00:00:00"/>
    <n v="13"/>
    <x v="11"/>
    <x v="1"/>
  </r>
  <r>
    <x v="238"/>
    <n v="-6.99"/>
    <x v="405"/>
    <n v="2907.78"/>
    <s v="Complete Access"/>
    <x v="177"/>
    <x v="1"/>
    <x v="1"/>
    <d v="1900-01-25T00:00:00"/>
    <n v="13"/>
    <x v="11"/>
    <x v="1"/>
  </r>
  <r>
    <x v="238"/>
    <n v="-36.36"/>
    <x v="553"/>
    <n v="2914.77"/>
    <s v="Complete Access"/>
    <x v="104"/>
    <x v="1"/>
    <x v="5"/>
    <d v="1900-01-25T00:00:00"/>
    <n v="13"/>
    <x v="11"/>
    <x v="1"/>
  </r>
  <r>
    <x v="238"/>
    <n v="-25.65"/>
    <x v="554"/>
    <n v="2951.13"/>
    <s v="Complete Access"/>
    <x v="104"/>
    <x v="1"/>
    <x v="5"/>
    <d v="1900-01-25T00:00:00"/>
    <n v="13"/>
    <x v="11"/>
    <x v="1"/>
  </r>
  <r>
    <x v="238"/>
    <n v="-16.47"/>
    <x v="555"/>
    <n v="2976.78"/>
    <s v="Complete Access"/>
    <x v="104"/>
    <x v="1"/>
    <x v="5"/>
    <d v="1900-01-25T00:00:00"/>
    <n v="13"/>
    <x v="11"/>
    <x v="1"/>
  </r>
  <r>
    <x v="239"/>
    <n v="-53.27"/>
    <x v="532"/>
    <n v="2993.25"/>
    <s v="Complete Access"/>
    <x v="1"/>
    <x v="1"/>
    <x v="1"/>
    <d v="1900-01-24T00:00:00"/>
    <n v="13"/>
    <x v="11"/>
    <x v="1"/>
  </r>
  <r>
    <x v="239"/>
    <n v="-20000"/>
    <x v="538"/>
    <n v="3046.52"/>
    <s v="Complete Access"/>
    <x v="0"/>
    <x v="0"/>
    <x v="0"/>
    <d v="1900-01-24T00:00:00"/>
    <n v="13"/>
    <x v="11"/>
    <x v="1"/>
  </r>
  <r>
    <x v="240"/>
    <n v="10000"/>
    <x v="556"/>
    <n v="23046.52"/>
    <s v="Complete Access"/>
    <x v="36"/>
    <x v="0"/>
    <x v="0"/>
    <d v="1900-01-23T00:00:00"/>
    <n v="13"/>
    <x v="11"/>
    <x v="1"/>
  </r>
  <r>
    <x v="240"/>
    <n v="-14.21"/>
    <x v="557"/>
    <n v="13046.52"/>
    <s v="Complete Access"/>
    <x v="221"/>
    <x v="1"/>
    <x v="5"/>
    <d v="1900-01-23T00:00:00"/>
    <n v="13"/>
    <x v="11"/>
    <x v="1"/>
  </r>
  <r>
    <x v="240"/>
    <n v="-13.52"/>
    <x v="405"/>
    <n v="13060.73"/>
    <s v="Complete Access"/>
    <x v="177"/>
    <x v="1"/>
    <x v="1"/>
    <d v="1900-01-23T00:00:00"/>
    <n v="13"/>
    <x v="11"/>
    <x v="1"/>
  </r>
  <r>
    <x v="240"/>
    <n v="-10.82"/>
    <x v="533"/>
    <n v="13074.25"/>
    <s v="Complete Access"/>
    <x v="215"/>
    <x v="1"/>
    <x v="1"/>
    <d v="1900-01-23T00:00:00"/>
    <n v="13"/>
    <x v="11"/>
    <x v="1"/>
  </r>
  <r>
    <x v="241"/>
    <n v="10000"/>
    <x v="558"/>
    <n v="13085.07"/>
    <s v="Complete Access"/>
    <x v="36"/>
    <x v="0"/>
    <x v="0"/>
    <d v="1900-01-21T00:00:00"/>
    <n v="12"/>
    <x v="11"/>
    <x v="1"/>
  </r>
  <r>
    <x v="241"/>
    <n v="-12.98"/>
    <x v="559"/>
    <n v="3085.07"/>
    <s v="Complete Access"/>
    <x v="222"/>
    <x v="11"/>
    <x v="14"/>
    <d v="1900-01-21T00:00:00"/>
    <n v="12"/>
    <x v="11"/>
    <x v="1"/>
  </r>
  <r>
    <x v="241"/>
    <n v="-69"/>
    <x v="560"/>
    <n v="3098.05"/>
    <s v="Complete Access"/>
    <x v="207"/>
    <x v="7"/>
    <x v="11"/>
    <d v="1900-01-21T00:00:00"/>
    <n v="12"/>
    <x v="11"/>
    <x v="1"/>
  </r>
  <r>
    <x v="241"/>
    <n v="-43"/>
    <x v="561"/>
    <n v="3167.05"/>
    <s v="Complete Access"/>
    <x v="223"/>
    <x v="7"/>
    <x v="53"/>
    <d v="1900-01-21T00:00:00"/>
    <n v="12"/>
    <x v="11"/>
    <x v="1"/>
  </r>
  <r>
    <x v="242"/>
    <n v="-4.5"/>
    <x v="562"/>
    <n v="3210.05"/>
    <s v="Complete Access"/>
    <x v="224"/>
    <x v="9"/>
    <x v="32"/>
    <d v="1900-01-20T00:00:00"/>
    <n v="12"/>
    <x v="11"/>
    <x v="1"/>
  </r>
  <r>
    <x v="242"/>
    <n v="-29.99"/>
    <x v="563"/>
    <n v="3214.55"/>
    <s v="Complete Access"/>
    <x v="222"/>
    <x v="11"/>
    <x v="14"/>
    <d v="1900-01-20T00:00:00"/>
    <n v="12"/>
    <x v="11"/>
    <x v="1"/>
  </r>
  <r>
    <x v="242"/>
    <n v="-134.72999999999999"/>
    <x v="564"/>
    <n v="3244.54"/>
    <s v="Complete Access"/>
    <x v="3"/>
    <x v="2"/>
    <x v="2"/>
    <d v="1900-01-20T00:00:00"/>
    <n v="12"/>
    <x v="11"/>
    <x v="1"/>
  </r>
  <r>
    <x v="243"/>
    <n v="-155"/>
    <x v="565"/>
    <n v="3379.27"/>
    <s v="Complete Access"/>
    <x v="0"/>
    <x v="0"/>
    <x v="0"/>
    <d v="1900-01-19T00:00:00"/>
    <n v="12"/>
    <x v="11"/>
    <x v="1"/>
  </r>
  <r>
    <x v="243"/>
    <n v="-20.03"/>
    <x v="566"/>
    <n v="3534.27"/>
    <s v="Complete Access"/>
    <x v="212"/>
    <x v="9"/>
    <x v="12"/>
    <d v="1900-01-19T00:00:00"/>
    <n v="12"/>
    <x v="11"/>
    <x v="1"/>
  </r>
  <r>
    <x v="243"/>
    <n v="-36.58"/>
    <x v="567"/>
    <n v="3554.3"/>
    <s v="Complete Access"/>
    <x v="79"/>
    <x v="15"/>
    <x v="34"/>
    <d v="1900-01-19T00:00:00"/>
    <n v="12"/>
    <x v="11"/>
    <x v="1"/>
  </r>
  <r>
    <x v="244"/>
    <n v="-2.8"/>
    <x v="72"/>
    <n v="3590.88"/>
    <s v="Complete Access"/>
    <x v="37"/>
    <x v="0"/>
    <x v="0"/>
    <d v="1900-01-18T00:00:00"/>
    <n v="12"/>
    <x v="11"/>
    <x v="1"/>
  </r>
  <r>
    <x v="244"/>
    <n v="-20"/>
    <x v="552"/>
    <n v="3593.68"/>
    <s v="Complete Access"/>
    <x v="130"/>
    <x v="0"/>
    <x v="0"/>
    <d v="1900-01-18T00:00:00"/>
    <n v="12"/>
    <x v="11"/>
    <x v="1"/>
  </r>
  <r>
    <x v="244"/>
    <n v="-8.6999999999999993"/>
    <x v="531"/>
    <n v="3613.68"/>
    <s v="Complete Access"/>
    <x v="215"/>
    <x v="1"/>
    <x v="1"/>
    <d v="1900-01-18T00:00:00"/>
    <n v="12"/>
    <x v="11"/>
    <x v="1"/>
  </r>
  <r>
    <x v="244"/>
    <n v="-73.88"/>
    <x v="568"/>
    <n v="3622.38"/>
    <s v="Complete Access"/>
    <x v="104"/>
    <x v="1"/>
    <x v="5"/>
    <d v="1900-01-18T00:00:00"/>
    <n v="12"/>
    <x v="11"/>
    <x v="1"/>
  </r>
  <r>
    <x v="244"/>
    <n v="-36.36"/>
    <x v="569"/>
    <n v="3696.26"/>
    <s v="Complete Access"/>
    <x v="104"/>
    <x v="1"/>
    <x v="5"/>
    <d v="1900-01-18T00:00:00"/>
    <n v="12"/>
    <x v="11"/>
    <x v="1"/>
  </r>
  <r>
    <x v="245"/>
    <n v="-8.3800000000000008"/>
    <x v="570"/>
    <n v="3732.62"/>
    <s v="Complete Access"/>
    <x v="218"/>
    <x v="8"/>
    <x v="29"/>
    <d v="1900-01-17T00:00:00"/>
    <n v="12"/>
    <x v="11"/>
    <x v="1"/>
  </r>
  <r>
    <x v="246"/>
    <n v="-8.08"/>
    <x v="571"/>
    <n v="3741"/>
    <s v="Complete Access"/>
    <x v="225"/>
    <x v="1"/>
    <x v="5"/>
    <d v="1900-01-15T00:00:00"/>
    <n v="11"/>
    <x v="11"/>
    <x v="1"/>
  </r>
  <r>
    <x v="246"/>
    <n v="-30"/>
    <x v="572"/>
    <n v="3749.08"/>
    <s v="Complete Access"/>
    <x v="226"/>
    <x v="1"/>
    <x v="29"/>
    <d v="1900-01-15T00:00:00"/>
    <n v="11"/>
    <x v="11"/>
    <x v="1"/>
  </r>
  <r>
    <x v="246"/>
    <n v="-3000"/>
    <x v="573"/>
    <n v="3779.08"/>
    <s v="Complete Access"/>
    <x v="227"/>
    <x v="13"/>
    <x v="54"/>
    <d v="1900-01-15T00:00:00"/>
    <n v="11"/>
    <x v="11"/>
    <x v="1"/>
  </r>
  <r>
    <x v="246"/>
    <n v="6.42"/>
    <x v="574"/>
    <n v="6779.08"/>
    <s v="Complete Access"/>
    <x v="228"/>
    <x v="4"/>
    <x v="7"/>
    <d v="1900-01-15T00:00:00"/>
    <n v="11"/>
    <x v="11"/>
    <x v="1"/>
  </r>
  <r>
    <x v="246"/>
    <n v="23.09"/>
    <x v="574"/>
    <n v="6772.66"/>
    <s v="Complete Access"/>
    <x v="228"/>
    <x v="4"/>
    <x v="7"/>
    <d v="1900-01-15T00:00:00"/>
    <n v="11"/>
    <x v="11"/>
    <x v="1"/>
  </r>
  <r>
    <x v="246"/>
    <n v="23.09"/>
    <x v="574"/>
    <n v="6749.57"/>
    <s v="Complete Access"/>
    <x v="228"/>
    <x v="4"/>
    <x v="7"/>
    <d v="1900-01-15T00:00:00"/>
    <n v="11"/>
    <x v="11"/>
    <x v="1"/>
  </r>
  <r>
    <x v="246"/>
    <n v="7.5"/>
    <x v="574"/>
    <n v="6726.48"/>
    <s v="Complete Access"/>
    <x v="228"/>
    <x v="4"/>
    <x v="7"/>
    <d v="1900-01-15T00:00:00"/>
    <n v="11"/>
    <x v="11"/>
    <x v="1"/>
  </r>
  <r>
    <x v="246"/>
    <n v="-23.09"/>
    <x v="575"/>
    <n v="6718.98"/>
    <s v="Complete Access"/>
    <x v="228"/>
    <x v="4"/>
    <x v="7"/>
    <d v="1900-01-15T00:00:00"/>
    <n v="11"/>
    <x v="11"/>
    <x v="1"/>
  </r>
  <r>
    <x v="246"/>
    <n v="-23.09"/>
    <x v="576"/>
    <n v="6742.07"/>
    <s v="Complete Access"/>
    <x v="228"/>
    <x v="4"/>
    <x v="7"/>
    <d v="1900-01-15T00:00:00"/>
    <n v="11"/>
    <x v="11"/>
    <x v="1"/>
  </r>
  <r>
    <x v="246"/>
    <n v="-16"/>
    <x v="577"/>
    <n v="6765.16"/>
    <s v="Complete Access"/>
    <x v="229"/>
    <x v="13"/>
    <x v="54"/>
    <d v="1900-01-15T00:00:00"/>
    <n v="11"/>
    <x v="11"/>
    <x v="1"/>
  </r>
  <r>
    <x v="246"/>
    <n v="-17.22"/>
    <x v="578"/>
    <n v="6781.16"/>
    <s v="Complete Access"/>
    <x v="177"/>
    <x v="1"/>
    <x v="1"/>
    <d v="1900-01-15T00:00:00"/>
    <n v="11"/>
    <x v="11"/>
    <x v="1"/>
  </r>
  <r>
    <x v="247"/>
    <n v="15"/>
    <x v="579"/>
    <n v="6798.38"/>
    <s v="Complete Access"/>
    <x v="36"/>
    <x v="0"/>
    <x v="0"/>
    <d v="1900-01-14T00:00:00"/>
    <n v="11"/>
    <x v="11"/>
    <x v="1"/>
  </r>
  <r>
    <x v="247"/>
    <n v="-2000"/>
    <x v="580"/>
    <n v="6783.38"/>
    <s v="Complete Access"/>
    <x v="227"/>
    <x v="13"/>
    <x v="54"/>
    <d v="1900-01-14T00:00:00"/>
    <n v="11"/>
    <x v="11"/>
    <x v="1"/>
  </r>
  <r>
    <x v="247"/>
    <n v="4000"/>
    <x v="370"/>
    <n v="8783.3799999999992"/>
    <s v="Complete Access"/>
    <x v="36"/>
    <x v="0"/>
    <x v="0"/>
    <d v="1900-01-14T00:00:00"/>
    <n v="11"/>
    <x v="11"/>
    <x v="1"/>
  </r>
  <r>
    <x v="247"/>
    <n v="-4000"/>
    <x v="581"/>
    <n v="20945.41"/>
    <s v="Netbank Saver"/>
    <x v="0"/>
    <x v="0"/>
    <x v="0"/>
    <d v="1900-01-14T00:00:00"/>
    <n v="11"/>
    <x v="11"/>
    <x v="1"/>
  </r>
  <r>
    <x v="248"/>
    <n v="-11.35"/>
    <x v="454"/>
    <n v="4783.38"/>
    <s v="Complete Access"/>
    <x v="9"/>
    <x v="4"/>
    <x v="6"/>
    <d v="1900-01-13T00:00:00"/>
    <n v="11"/>
    <x v="11"/>
    <x v="1"/>
  </r>
  <r>
    <x v="248"/>
    <n v="-7.8"/>
    <x v="533"/>
    <n v="4794.7299999999996"/>
    <s v="Complete Access"/>
    <x v="215"/>
    <x v="1"/>
    <x v="1"/>
    <d v="1900-01-13T00:00:00"/>
    <n v="11"/>
    <x v="11"/>
    <x v="1"/>
  </r>
  <r>
    <x v="248"/>
    <n v="-29307.5"/>
    <x v="582"/>
    <n v="4802.53"/>
    <s v="Complete Access"/>
    <x v="230"/>
    <x v="13"/>
    <x v="54"/>
    <d v="1900-01-13T00:00:00"/>
    <n v="11"/>
    <x v="11"/>
    <x v="1"/>
  </r>
  <r>
    <x v="248"/>
    <n v="20000"/>
    <x v="583"/>
    <n v="34110.03"/>
    <s v="Complete Access"/>
    <x v="36"/>
    <x v="0"/>
    <x v="0"/>
    <d v="1900-01-13T00:00:00"/>
    <n v="11"/>
    <x v="11"/>
    <x v="1"/>
  </r>
  <r>
    <x v="248"/>
    <n v="-27.1"/>
    <x v="584"/>
    <n v="14110.03"/>
    <s v="Complete Access"/>
    <x v="231"/>
    <x v="1"/>
    <x v="5"/>
    <d v="1900-01-13T00:00:00"/>
    <n v="11"/>
    <x v="11"/>
    <x v="1"/>
  </r>
  <r>
    <x v="248"/>
    <n v="-20000"/>
    <x v="585"/>
    <n v="24945.41"/>
    <s v="Netbank Saver"/>
    <x v="13"/>
    <x v="0"/>
    <x v="0"/>
    <d v="1900-01-13T00:00:00"/>
    <n v="11"/>
    <x v="11"/>
    <x v="1"/>
  </r>
  <r>
    <x v="248"/>
    <n v="3203.84"/>
    <x v="586"/>
    <n v="14637.13"/>
    <s v="Complete Access"/>
    <x v="14"/>
    <x v="6"/>
    <x v="9"/>
    <d v="1900-01-13T00:00:00"/>
    <n v="11"/>
    <x v="11"/>
    <x v="1"/>
  </r>
  <r>
    <x v="248"/>
    <n v="-500"/>
    <x v="527"/>
    <n v="14137.13"/>
    <s v="Complete Access"/>
    <x v="13"/>
    <x v="0"/>
    <x v="0"/>
    <d v="1900-01-13T00:00:00"/>
    <n v="11"/>
    <x v="11"/>
    <x v="1"/>
  </r>
  <r>
    <x v="249"/>
    <n v="-78.5"/>
    <x v="587"/>
    <n v="11433.29"/>
    <s v="Complete Access"/>
    <x v="232"/>
    <x v="3"/>
    <x v="15"/>
    <d v="1900-01-12T00:00:00"/>
    <n v="11"/>
    <x v="11"/>
    <x v="1"/>
  </r>
  <r>
    <x v="249"/>
    <n v="-9.3800000000000008"/>
    <x v="588"/>
    <n v="11511.79"/>
    <s v="Complete Access"/>
    <x v="233"/>
    <x v="8"/>
    <x v="29"/>
    <d v="1900-01-12T00:00:00"/>
    <n v="11"/>
    <x v="11"/>
    <x v="1"/>
  </r>
  <r>
    <x v="249"/>
    <n v="-21.49"/>
    <x v="588"/>
    <n v="11521.17"/>
    <s v="Complete Access"/>
    <x v="233"/>
    <x v="8"/>
    <x v="29"/>
    <d v="1900-01-12T00:00:00"/>
    <n v="11"/>
    <x v="11"/>
    <x v="1"/>
  </r>
  <r>
    <x v="249"/>
    <n v="-9.3800000000000008"/>
    <x v="588"/>
    <n v="11542.66"/>
    <s v="Complete Access"/>
    <x v="233"/>
    <x v="8"/>
    <x v="29"/>
    <d v="1900-01-12T00:00:00"/>
    <n v="11"/>
    <x v="11"/>
    <x v="1"/>
  </r>
  <r>
    <x v="249"/>
    <n v="-1"/>
    <x v="589"/>
    <n v="11552.04"/>
    <s v="Complete Access"/>
    <x v="10"/>
    <x v="0"/>
    <x v="0"/>
    <d v="1900-01-12T00:00:00"/>
    <n v="11"/>
    <x v="11"/>
    <x v="1"/>
  </r>
  <r>
    <x v="249"/>
    <n v="-33.28"/>
    <x v="590"/>
    <n v="11553.04"/>
    <s v="Complete Access"/>
    <x v="11"/>
    <x v="4"/>
    <x v="7"/>
    <d v="1900-01-12T00:00:00"/>
    <n v="11"/>
    <x v="11"/>
    <x v="1"/>
  </r>
  <r>
    <x v="249"/>
    <n v="-20.03"/>
    <x v="591"/>
    <n v="11586.32"/>
    <s v="Complete Access"/>
    <x v="34"/>
    <x v="9"/>
    <x v="12"/>
    <d v="1900-01-12T00:00:00"/>
    <n v="11"/>
    <x v="11"/>
    <x v="1"/>
  </r>
  <r>
    <x v="249"/>
    <n v="-29.38"/>
    <x v="592"/>
    <n v="11606.35"/>
    <s v="Complete Access"/>
    <x v="8"/>
    <x v="1"/>
    <x v="5"/>
    <d v="1900-01-12T00:00:00"/>
    <n v="11"/>
    <x v="11"/>
    <x v="1"/>
  </r>
  <r>
    <x v="249"/>
    <n v="-40"/>
    <x v="593"/>
    <n v="11635.73"/>
    <s v="Complete Access"/>
    <x v="12"/>
    <x v="5"/>
    <x v="8"/>
    <d v="1900-01-12T00:00:00"/>
    <n v="11"/>
    <x v="11"/>
    <x v="1"/>
  </r>
  <r>
    <x v="250"/>
    <n v="-23.43"/>
    <x v="578"/>
    <n v="11675.73"/>
    <s v="Complete Access"/>
    <x v="177"/>
    <x v="1"/>
    <x v="1"/>
    <d v="1900-01-11T00:00:00"/>
    <n v="11"/>
    <x v="11"/>
    <x v="1"/>
  </r>
  <r>
    <x v="250"/>
    <n v="-1.5"/>
    <x v="517"/>
    <n v="11699.16"/>
    <s v="Complete Access"/>
    <x v="34"/>
    <x v="9"/>
    <x v="12"/>
    <d v="1900-01-11T00:00:00"/>
    <n v="11"/>
    <x v="11"/>
    <x v="1"/>
  </r>
  <r>
    <x v="250"/>
    <n v="-15"/>
    <x v="18"/>
    <n v="11700.66"/>
    <s v="Complete Access"/>
    <x v="16"/>
    <x v="1"/>
    <x v="5"/>
    <d v="1900-01-11T00:00:00"/>
    <n v="11"/>
    <x v="11"/>
    <x v="1"/>
  </r>
  <r>
    <x v="250"/>
    <n v="-39.93"/>
    <x v="594"/>
    <n v="11715.66"/>
    <s v="Complete Access"/>
    <x v="8"/>
    <x v="1"/>
    <x v="5"/>
    <d v="1900-01-11T00:00:00"/>
    <n v="11"/>
    <x v="11"/>
    <x v="1"/>
  </r>
  <r>
    <x v="251"/>
    <n v="-8"/>
    <x v="532"/>
    <n v="11755.59"/>
    <s v="Complete Access"/>
    <x v="1"/>
    <x v="1"/>
    <x v="1"/>
    <d v="1900-01-10T00:00:00"/>
    <n v="11"/>
    <x v="11"/>
    <x v="1"/>
  </r>
  <r>
    <x v="252"/>
    <n v="-13.88"/>
    <x v="595"/>
    <n v="11784.59"/>
    <s v="Complete Access"/>
    <x v="234"/>
    <x v="8"/>
    <x v="29"/>
    <d v="1900-01-09T00:00:00"/>
    <n v="11"/>
    <x v="11"/>
    <x v="1"/>
  </r>
  <r>
    <x v="252"/>
    <n v="-21"/>
    <x v="596"/>
    <n v="11763.59"/>
    <s v="Complete Access"/>
    <x v="0"/>
    <x v="0"/>
    <x v="0"/>
    <d v="1900-01-09T00:00:00"/>
    <n v="11"/>
    <x v="11"/>
    <x v="1"/>
  </r>
  <r>
    <x v="253"/>
    <n v="150"/>
    <x v="597"/>
    <n v="11798.47"/>
    <s v="Complete Access"/>
    <x v="36"/>
    <x v="0"/>
    <x v="0"/>
    <d v="1900-01-08T00:00:00"/>
    <n v="10"/>
    <x v="11"/>
    <x v="1"/>
  </r>
  <r>
    <x v="253"/>
    <n v="-8.4"/>
    <x v="532"/>
    <n v="11648.47"/>
    <s v="Complete Access"/>
    <x v="1"/>
    <x v="1"/>
    <x v="1"/>
    <d v="1900-01-08T00:00:00"/>
    <n v="10"/>
    <x v="11"/>
    <x v="1"/>
  </r>
  <r>
    <x v="254"/>
    <n v="-31.17"/>
    <x v="405"/>
    <n v="11656.87"/>
    <s v="Complete Access"/>
    <x v="177"/>
    <x v="1"/>
    <x v="1"/>
    <d v="1900-01-07T00:00:00"/>
    <n v="10"/>
    <x v="11"/>
    <x v="1"/>
  </r>
  <r>
    <x v="254"/>
    <n v="-17.36"/>
    <x v="531"/>
    <n v="11688.04"/>
    <s v="Complete Access"/>
    <x v="215"/>
    <x v="1"/>
    <x v="1"/>
    <d v="1900-01-07T00:00:00"/>
    <n v="10"/>
    <x v="11"/>
    <x v="1"/>
  </r>
  <r>
    <x v="255"/>
    <n v="-11"/>
    <x v="405"/>
    <n v="11705.4"/>
    <s v="Complete Access"/>
    <x v="177"/>
    <x v="1"/>
    <x v="1"/>
    <d v="1900-01-06T00:00:00"/>
    <n v="10"/>
    <x v="11"/>
    <x v="1"/>
  </r>
  <r>
    <x v="255"/>
    <n v="-2"/>
    <x v="598"/>
    <n v="11716.4"/>
    <s v="Complete Access"/>
    <x v="235"/>
    <x v="9"/>
    <x v="32"/>
    <d v="1900-01-06T00:00:00"/>
    <n v="10"/>
    <x v="11"/>
    <x v="1"/>
  </r>
  <r>
    <x v="256"/>
    <n v="-31.94"/>
    <x v="599"/>
    <n v="11718.4"/>
    <s v="Complete Access"/>
    <x v="79"/>
    <x v="15"/>
    <x v="34"/>
    <d v="1900-01-05T00:00:00"/>
    <n v="10"/>
    <x v="11"/>
    <x v="1"/>
  </r>
  <r>
    <x v="257"/>
    <n v="-10.66"/>
    <x v="600"/>
    <n v="11750.34"/>
    <s v="Complete Access"/>
    <x v="236"/>
    <x v="8"/>
    <x v="29"/>
    <d v="1900-01-04T00:00:00"/>
    <n v="10"/>
    <x v="11"/>
    <x v="1"/>
  </r>
  <r>
    <x v="257"/>
    <n v="-19.87"/>
    <x v="601"/>
    <n v="11761"/>
    <s v="Complete Access"/>
    <x v="237"/>
    <x v="15"/>
    <x v="34"/>
    <d v="1900-01-04T00:00:00"/>
    <n v="10"/>
    <x v="11"/>
    <x v="1"/>
  </r>
  <r>
    <x v="257"/>
    <n v="-27.93"/>
    <x v="602"/>
    <n v="11780.87"/>
    <s v="Complete Access"/>
    <x v="34"/>
    <x v="9"/>
    <x v="12"/>
    <d v="1900-01-04T00:00:00"/>
    <n v="10"/>
    <x v="11"/>
    <x v="1"/>
  </r>
  <r>
    <x v="257"/>
    <n v="-25.89"/>
    <x v="603"/>
    <n v="11808.8"/>
    <s v="Complete Access"/>
    <x v="8"/>
    <x v="1"/>
    <x v="5"/>
    <d v="1900-01-04T00:00:00"/>
    <n v="10"/>
    <x v="11"/>
    <x v="1"/>
  </r>
  <r>
    <x v="258"/>
    <n v="-26.54"/>
    <x v="531"/>
    <n v="11834.69"/>
    <s v="Complete Access"/>
    <x v="215"/>
    <x v="1"/>
    <x v="1"/>
    <d v="1900-01-03T00:00:00"/>
    <n v="10"/>
    <x v="11"/>
    <x v="1"/>
  </r>
  <r>
    <x v="259"/>
    <n v="-27.04"/>
    <x v="405"/>
    <n v="11861.23"/>
    <s v="Complete Access"/>
    <x v="177"/>
    <x v="1"/>
    <x v="1"/>
    <d v="1900-01-02T00:00:00"/>
    <n v="10"/>
    <x v="11"/>
    <x v="1"/>
  </r>
  <r>
    <x v="259"/>
    <n v="10000"/>
    <x v="604"/>
    <n v="11888.27"/>
    <s v="Complete Access"/>
    <x v="36"/>
    <x v="0"/>
    <x v="0"/>
    <d v="1900-01-02T00:00:00"/>
    <n v="10"/>
    <x v="11"/>
    <x v="1"/>
  </r>
  <r>
    <x v="260"/>
    <n v="-11.42"/>
    <x v="605"/>
    <n v="1888.27"/>
    <s v="Complete Access"/>
    <x v="238"/>
    <x v="8"/>
    <x v="29"/>
    <d v="1899-12-31T00:00:00"/>
    <n v="9"/>
    <x v="11"/>
    <x v="1"/>
  </r>
  <r>
    <x v="260"/>
    <n v="-195.05"/>
    <x v="606"/>
    <n v="1899.69"/>
    <s v="Complete Access"/>
    <x v="76"/>
    <x v="2"/>
    <x v="2"/>
    <d v="1899-12-31T00:00:00"/>
    <n v="9"/>
    <x v="11"/>
    <x v="1"/>
  </r>
  <r>
    <x v="260"/>
    <n v="-18.5"/>
    <x v="607"/>
    <n v="2094.7399999999998"/>
    <s v="Complete Access"/>
    <x v="239"/>
    <x v="8"/>
    <x v="22"/>
    <d v="1899-12-31T00:00:00"/>
    <n v="9"/>
    <x v="11"/>
    <x v="1"/>
  </r>
  <r>
    <x v="260"/>
    <n v="-11.75"/>
    <x v="608"/>
    <n v="2113.2399999999998"/>
    <s v="Complete Access"/>
    <x v="236"/>
    <x v="8"/>
    <x v="29"/>
    <d v="1899-12-31T00:00:00"/>
    <n v="9"/>
    <x v="11"/>
    <x v="1"/>
  </r>
  <r>
    <x v="260"/>
    <n v="84.34"/>
    <x v="609"/>
    <n v="44945.41"/>
    <s v="Netbank Saver"/>
    <x v="240"/>
    <x v="0"/>
    <x v="55"/>
    <d v="1899-12-31T00:00:00"/>
    <n v="9"/>
    <x v="11"/>
    <x v="1"/>
  </r>
  <r>
    <x v="261"/>
    <n v="-11.35"/>
    <x v="454"/>
    <n v="2124.9899999999998"/>
    <s v="Complete Access"/>
    <x v="9"/>
    <x v="4"/>
    <x v="6"/>
    <d v="1900-01-28T00:00:00"/>
    <n v="9"/>
    <x v="0"/>
    <x v="1"/>
  </r>
  <r>
    <x v="261"/>
    <n v="2348.84"/>
    <x v="610"/>
    <n v="2636.34"/>
    <s v="Complete Access"/>
    <x v="14"/>
    <x v="6"/>
    <x v="9"/>
    <d v="1900-01-28T00:00:00"/>
    <n v="9"/>
    <x v="0"/>
    <x v="1"/>
  </r>
  <r>
    <x v="261"/>
    <n v="-500"/>
    <x v="527"/>
    <n v="2136.34"/>
    <s v="Complete Access"/>
    <x v="13"/>
    <x v="0"/>
    <x v="0"/>
    <d v="1900-01-28T00:00:00"/>
    <n v="9"/>
    <x v="0"/>
    <x v="1"/>
  </r>
  <r>
    <x v="262"/>
    <n v="-20"/>
    <x v="8"/>
    <n v="287.5"/>
    <s v="Complete Access"/>
    <x v="7"/>
    <x v="1"/>
    <x v="5"/>
    <d v="1900-01-27T00:00:00"/>
    <n v="9"/>
    <x v="0"/>
    <x v="1"/>
  </r>
  <r>
    <x v="262"/>
    <n v="-1542.5"/>
    <x v="611"/>
    <n v="307.5"/>
    <s v="Complete Access"/>
    <x v="230"/>
    <x v="13"/>
    <x v="54"/>
    <d v="1900-01-27T00:00:00"/>
    <n v="9"/>
    <x v="0"/>
    <x v="1"/>
  </r>
  <r>
    <x v="263"/>
    <n v="-13.19"/>
    <x v="578"/>
    <n v="1850"/>
    <s v="Complete Access"/>
    <x v="177"/>
    <x v="1"/>
    <x v="1"/>
    <d v="1900-01-26T00:00:00"/>
    <n v="9"/>
    <x v="0"/>
    <x v="1"/>
  </r>
  <r>
    <x v="263"/>
    <n v="-25.44"/>
    <x v="531"/>
    <n v="1863.19"/>
    <s v="Complete Access"/>
    <x v="215"/>
    <x v="1"/>
    <x v="1"/>
    <d v="1900-01-26T00:00:00"/>
    <n v="9"/>
    <x v="0"/>
    <x v="1"/>
  </r>
  <r>
    <x v="263"/>
    <n v="150"/>
    <x v="612"/>
    <n v="1888.63"/>
    <s v="Complete Access"/>
    <x v="36"/>
    <x v="0"/>
    <x v="0"/>
    <d v="1900-01-26T00:00:00"/>
    <n v="9"/>
    <x v="0"/>
    <x v="1"/>
  </r>
  <r>
    <x v="263"/>
    <n v="-26.06"/>
    <x v="613"/>
    <n v="1738.63"/>
    <s v="Complete Access"/>
    <x v="241"/>
    <x v="1"/>
    <x v="5"/>
    <d v="1900-01-26T00:00:00"/>
    <n v="9"/>
    <x v="0"/>
    <x v="1"/>
  </r>
  <r>
    <x v="263"/>
    <n v="-34.36"/>
    <x v="614"/>
    <n v="1764.69"/>
    <s v="Complete Access"/>
    <x v="104"/>
    <x v="1"/>
    <x v="5"/>
    <d v="1900-01-26T00:00:00"/>
    <n v="9"/>
    <x v="0"/>
    <x v="1"/>
  </r>
  <r>
    <x v="264"/>
    <n v="-16"/>
    <x v="8"/>
    <n v="1799.05"/>
    <s v="Complete Access"/>
    <x v="7"/>
    <x v="1"/>
    <x v="5"/>
    <d v="1900-01-25T00:00:00"/>
    <n v="9"/>
    <x v="0"/>
    <x v="1"/>
  </r>
  <r>
    <x v="265"/>
    <n v="-18.75"/>
    <x v="615"/>
    <n v="1815.05"/>
    <s v="Complete Access"/>
    <x v="47"/>
    <x v="1"/>
    <x v="5"/>
    <d v="1900-01-23T00:00:00"/>
    <n v="8"/>
    <x v="0"/>
    <x v="1"/>
  </r>
  <r>
    <x v="265"/>
    <n v="-29.99"/>
    <x v="616"/>
    <n v="1833.8"/>
    <s v="Complete Access"/>
    <x v="228"/>
    <x v="4"/>
    <x v="7"/>
    <d v="1900-01-23T00:00:00"/>
    <n v="8"/>
    <x v="0"/>
    <x v="1"/>
  </r>
  <r>
    <x v="266"/>
    <n v="-29"/>
    <x v="617"/>
    <n v="1863.79"/>
    <s v="Complete Access"/>
    <x v="206"/>
    <x v="13"/>
    <x v="50"/>
    <d v="1900-01-22T00:00:00"/>
    <n v="8"/>
    <x v="0"/>
    <x v="1"/>
  </r>
  <r>
    <x v="266"/>
    <n v="-29"/>
    <x v="618"/>
    <n v="1892.79"/>
    <s v="Complete Access"/>
    <x v="206"/>
    <x v="13"/>
    <x v="50"/>
    <d v="1900-01-22T00:00:00"/>
    <n v="8"/>
    <x v="0"/>
    <x v="1"/>
  </r>
  <r>
    <x v="266"/>
    <n v="-29.99"/>
    <x v="616"/>
    <n v="1921.79"/>
    <s v="Complete Access"/>
    <x v="228"/>
    <x v="4"/>
    <x v="7"/>
    <d v="1900-01-22T00:00:00"/>
    <n v="8"/>
    <x v="0"/>
    <x v="1"/>
  </r>
  <r>
    <x v="267"/>
    <n v="-17.2"/>
    <x v="619"/>
    <n v="1994.78"/>
    <s v="Complete Access"/>
    <x v="242"/>
    <x v="1"/>
    <x v="5"/>
    <d v="1900-01-21T00:00:00"/>
    <n v="8"/>
    <x v="0"/>
    <x v="1"/>
  </r>
  <r>
    <x v="267"/>
    <n v="-3.85"/>
    <x v="620"/>
    <n v="2011.98"/>
    <s v="Complete Access"/>
    <x v="188"/>
    <x v="1"/>
    <x v="1"/>
    <d v="1900-01-21T00:00:00"/>
    <n v="8"/>
    <x v="0"/>
    <x v="1"/>
  </r>
  <r>
    <x v="267"/>
    <n v="-43"/>
    <x v="561"/>
    <n v="1951.78"/>
    <s v="Complete Access"/>
    <x v="223"/>
    <x v="7"/>
    <x v="53"/>
    <d v="1900-01-21T00:00:00"/>
    <n v="8"/>
    <x v="0"/>
    <x v="1"/>
  </r>
  <r>
    <x v="268"/>
    <n v="-3.75"/>
    <x v="621"/>
    <n v="2015.83"/>
    <s v="Complete Access"/>
    <x v="220"/>
    <x v="1"/>
    <x v="5"/>
    <d v="1900-01-20T00:00:00"/>
    <n v="8"/>
    <x v="0"/>
    <x v="1"/>
  </r>
  <r>
    <x v="268"/>
    <n v="-16"/>
    <x v="8"/>
    <n v="2019.58"/>
    <s v="Complete Access"/>
    <x v="7"/>
    <x v="1"/>
    <x v="5"/>
    <d v="1900-01-20T00:00:00"/>
    <n v="8"/>
    <x v="0"/>
    <x v="1"/>
  </r>
  <r>
    <x v="268"/>
    <n v="-101.61"/>
    <x v="622"/>
    <n v="2035.58"/>
    <s v="Complete Access"/>
    <x v="1"/>
    <x v="1"/>
    <x v="1"/>
    <d v="1900-01-20T00:00:00"/>
    <n v="8"/>
    <x v="0"/>
    <x v="1"/>
  </r>
  <r>
    <x v="268"/>
    <n v="-40"/>
    <x v="623"/>
    <n v="2137.19"/>
    <s v="Complete Access"/>
    <x v="12"/>
    <x v="5"/>
    <x v="8"/>
    <d v="1900-01-20T00:00:00"/>
    <n v="8"/>
    <x v="0"/>
    <x v="1"/>
  </r>
  <r>
    <x v="269"/>
    <n v="300"/>
    <x v="624"/>
    <n v="2177.19"/>
    <s v="Complete Access"/>
    <x v="36"/>
    <x v="0"/>
    <x v="0"/>
    <d v="1900-01-18T00:00:00"/>
    <n v="8"/>
    <x v="0"/>
    <x v="1"/>
  </r>
  <r>
    <x v="269"/>
    <n v="-3.2"/>
    <x v="532"/>
    <n v="1877.19"/>
    <s v="Complete Access"/>
    <x v="1"/>
    <x v="1"/>
    <x v="1"/>
    <d v="1900-01-18T00:00:00"/>
    <n v="8"/>
    <x v="0"/>
    <x v="1"/>
  </r>
  <r>
    <x v="269"/>
    <n v="-15"/>
    <x v="18"/>
    <n v="1880.39"/>
    <s v="Complete Access"/>
    <x v="16"/>
    <x v="1"/>
    <x v="5"/>
    <d v="1900-01-18T00:00:00"/>
    <n v="8"/>
    <x v="0"/>
    <x v="1"/>
  </r>
  <r>
    <x v="270"/>
    <n v="-34.880000000000003"/>
    <x v="70"/>
    <n v="1895.39"/>
    <s v="Complete Access"/>
    <x v="8"/>
    <x v="1"/>
    <x v="5"/>
    <d v="1900-01-17T00:00:00"/>
    <n v="8"/>
    <x v="0"/>
    <x v="1"/>
  </r>
  <r>
    <x v="270"/>
    <n v="-13.88"/>
    <x v="595"/>
    <n v="1930.27"/>
    <s v="Complete Access"/>
    <x v="234"/>
    <x v="8"/>
    <x v="29"/>
    <d v="1900-01-17T00:00:00"/>
    <n v="8"/>
    <x v="0"/>
    <x v="1"/>
  </r>
  <r>
    <x v="271"/>
    <n v="-39"/>
    <x v="625"/>
    <n v="1944.15"/>
    <s v="Complete Access"/>
    <x v="206"/>
    <x v="13"/>
    <x v="50"/>
    <d v="1900-01-16T00:00:00"/>
    <n v="7"/>
    <x v="0"/>
    <x v="1"/>
  </r>
  <r>
    <x v="271"/>
    <n v="-29"/>
    <x v="626"/>
    <n v="1983.15"/>
    <s v="Complete Access"/>
    <x v="206"/>
    <x v="13"/>
    <x v="50"/>
    <d v="1900-01-16T00:00:00"/>
    <n v="7"/>
    <x v="0"/>
    <x v="1"/>
  </r>
  <r>
    <x v="272"/>
    <n v="-29"/>
    <x v="627"/>
    <n v="2012.15"/>
    <s v="Complete Access"/>
    <x v="206"/>
    <x v="13"/>
    <x v="50"/>
    <d v="1900-01-15T00:00:00"/>
    <n v="7"/>
    <x v="0"/>
    <x v="1"/>
  </r>
  <r>
    <x v="272"/>
    <n v="-69"/>
    <x v="628"/>
    <n v="2041.15"/>
    <s v="Complete Access"/>
    <x v="207"/>
    <x v="7"/>
    <x v="11"/>
    <d v="1900-01-15T00:00:00"/>
    <n v="7"/>
    <x v="0"/>
    <x v="1"/>
  </r>
  <r>
    <x v="273"/>
    <n v="-11.35"/>
    <x v="454"/>
    <n v="2110.15"/>
    <s v="Complete Access"/>
    <x v="9"/>
    <x v="4"/>
    <x v="6"/>
    <d v="1900-01-14T00:00:00"/>
    <n v="7"/>
    <x v="0"/>
    <x v="1"/>
  </r>
  <r>
    <x v="273"/>
    <n v="-10.130000000000001"/>
    <x v="531"/>
    <n v="2121.5"/>
    <s v="Complete Access"/>
    <x v="215"/>
    <x v="1"/>
    <x v="1"/>
    <d v="1900-01-14T00:00:00"/>
    <n v="7"/>
    <x v="0"/>
    <x v="1"/>
  </r>
  <r>
    <x v="273"/>
    <n v="2348.84"/>
    <x v="629"/>
    <n v="2631.63"/>
    <s v="Complete Access"/>
    <x v="14"/>
    <x v="6"/>
    <x v="9"/>
    <d v="1900-01-14T00:00:00"/>
    <n v="7"/>
    <x v="0"/>
    <x v="1"/>
  </r>
  <r>
    <x v="273"/>
    <n v="-500"/>
    <x v="527"/>
    <n v="2131.63"/>
    <s v="Complete Access"/>
    <x v="13"/>
    <x v="0"/>
    <x v="0"/>
    <d v="1900-01-14T00:00:00"/>
    <n v="7"/>
    <x v="0"/>
    <x v="1"/>
  </r>
  <r>
    <x v="274"/>
    <n v="-91.81"/>
    <x v="405"/>
    <n v="582.79"/>
    <s v="Complete Access"/>
    <x v="177"/>
    <x v="1"/>
    <x v="1"/>
    <d v="1900-01-13T00:00:00"/>
    <n v="7"/>
    <x v="0"/>
    <x v="1"/>
  </r>
  <r>
    <x v="274"/>
    <n v="-15"/>
    <x v="18"/>
    <n v="674.6"/>
    <s v="Complete Access"/>
    <x v="16"/>
    <x v="1"/>
    <x v="5"/>
    <d v="1900-01-13T00:00:00"/>
    <n v="7"/>
    <x v="0"/>
    <x v="1"/>
  </r>
  <r>
    <x v="274"/>
    <n v="-41.19"/>
    <x v="630"/>
    <n v="689.6"/>
    <s v="Complete Access"/>
    <x v="104"/>
    <x v="1"/>
    <x v="5"/>
    <d v="1900-01-13T00:00:00"/>
    <n v="7"/>
    <x v="0"/>
    <x v="1"/>
  </r>
  <r>
    <x v="274"/>
    <n v="-27.11"/>
    <x v="631"/>
    <n v="730.79"/>
    <s v="Complete Access"/>
    <x v="79"/>
    <x v="15"/>
    <x v="34"/>
    <d v="1900-01-13T00:00:00"/>
    <n v="7"/>
    <x v="0"/>
    <x v="1"/>
  </r>
  <r>
    <x v="274"/>
    <n v="-300"/>
    <x v="632"/>
    <n v="282.79000000000002"/>
    <s v="Complete Access"/>
    <x v="0"/>
    <x v="0"/>
    <x v="0"/>
    <d v="1900-01-13T00:00:00"/>
    <n v="7"/>
    <x v="0"/>
    <x v="1"/>
  </r>
  <r>
    <x v="275"/>
    <n v="-16"/>
    <x v="8"/>
    <n v="757.9"/>
    <s v="Complete Access"/>
    <x v="7"/>
    <x v="1"/>
    <x v="5"/>
    <d v="1900-01-12T00:00:00"/>
    <n v="7"/>
    <x v="0"/>
    <x v="1"/>
  </r>
  <r>
    <x v="275"/>
    <n v="-50"/>
    <x v="633"/>
    <n v="773.9"/>
    <s v="Complete Access"/>
    <x v="243"/>
    <x v="1"/>
    <x v="23"/>
    <d v="1900-01-12T00:00:00"/>
    <n v="7"/>
    <x v="0"/>
    <x v="1"/>
  </r>
  <r>
    <x v="275"/>
    <n v="-1.02"/>
    <x v="634"/>
    <n v="823.9"/>
    <s v="Complete Access"/>
    <x v="10"/>
    <x v="0"/>
    <x v="0"/>
    <d v="1900-01-12T00:00:00"/>
    <n v="7"/>
    <x v="0"/>
    <x v="1"/>
  </r>
  <r>
    <x v="275"/>
    <n v="-33.93"/>
    <x v="635"/>
    <n v="824.92"/>
    <s v="Complete Access"/>
    <x v="11"/>
    <x v="4"/>
    <x v="7"/>
    <d v="1900-01-12T00:00:00"/>
    <n v="7"/>
    <x v="0"/>
    <x v="1"/>
  </r>
  <r>
    <x v="275"/>
    <n v="-34.36"/>
    <x v="636"/>
    <n v="858.85"/>
    <s v="Complete Access"/>
    <x v="104"/>
    <x v="1"/>
    <x v="5"/>
    <d v="1900-01-12T00:00:00"/>
    <n v="7"/>
    <x v="0"/>
    <x v="1"/>
  </r>
  <r>
    <x v="275"/>
    <n v="-10.039999999999999"/>
    <x v="637"/>
    <n v="893.21"/>
    <s v="Complete Access"/>
    <x v="56"/>
    <x v="9"/>
    <x v="31"/>
    <d v="1900-01-12T00:00:00"/>
    <n v="7"/>
    <x v="0"/>
    <x v="1"/>
  </r>
  <r>
    <x v="275"/>
    <n v="-40"/>
    <x v="638"/>
    <n v="903.25"/>
    <s v="Complete Access"/>
    <x v="12"/>
    <x v="5"/>
    <x v="8"/>
    <d v="1900-01-12T00:00:00"/>
    <n v="7"/>
    <x v="0"/>
    <x v="1"/>
  </r>
  <r>
    <x v="276"/>
    <n v="-16.5"/>
    <x v="8"/>
    <n v="943.25"/>
    <s v="Complete Access"/>
    <x v="7"/>
    <x v="1"/>
    <x v="5"/>
    <d v="1900-01-11T00:00:00"/>
    <n v="7"/>
    <x v="0"/>
    <x v="1"/>
  </r>
  <r>
    <x v="277"/>
    <n v="800"/>
    <x v="370"/>
    <n v="959.75"/>
    <s v="Complete Access"/>
    <x v="36"/>
    <x v="0"/>
    <x v="0"/>
    <d v="1900-01-10T00:00:00"/>
    <n v="7"/>
    <x v="0"/>
    <x v="1"/>
  </r>
  <r>
    <x v="277"/>
    <n v="-3.5"/>
    <x v="639"/>
    <n v="159.75"/>
    <s v="Complete Access"/>
    <x v="1"/>
    <x v="1"/>
    <x v="1"/>
    <d v="1900-01-10T00:00:00"/>
    <n v="7"/>
    <x v="0"/>
    <x v="1"/>
  </r>
  <r>
    <x v="277"/>
    <n v="-13.88"/>
    <x v="595"/>
    <n v="163.25"/>
    <s v="Complete Access"/>
    <x v="234"/>
    <x v="8"/>
    <x v="29"/>
    <d v="1900-01-10T00:00:00"/>
    <n v="7"/>
    <x v="0"/>
    <x v="1"/>
  </r>
  <r>
    <x v="277"/>
    <n v="100"/>
    <x v="370"/>
    <n v="177.13"/>
    <s v="Complete Access"/>
    <x v="36"/>
    <x v="0"/>
    <x v="0"/>
    <d v="1900-01-10T00:00:00"/>
    <n v="7"/>
    <x v="0"/>
    <x v="1"/>
  </r>
  <r>
    <x v="277"/>
    <n v="-800"/>
    <x v="581"/>
    <n v="44861.07"/>
    <s v="Netbank Saver"/>
    <x v="0"/>
    <x v="0"/>
    <x v="0"/>
    <d v="1900-01-10T00:00:00"/>
    <n v="7"/>
    <x v="0"/>
    <x v="1"/>
  </r>
  <r>
    <x v="277"/>
    <n v="-100"/>
    <x v="581"/>
    <n v="45661.07"/>
    <s v="Netbank Saver"/>
    <x v="0"/>
    <x v="0"/>
    <x v="0"/>
    <d v="1900-01-10T00:00:00"/>
    <n v="7"/>
    <x v="0"/>
    <x v="1"/>
  </r>
  <r>
    <x v="278"/>
    <n v="-6.09"/>
    <x v="640"/>
    <n v="132.13"/>
    <s v="Complete Access"/>
    <x v="244"/>
    <x v="8"/>
    <x v="29"/>
    <d v="1900-01-09T00:00:00"/>
    <n v="6"/>
    <x v="0"/>
    <x v="1"/>
  </r>
  <r>
    <x v="278"/>
    <n v="-29"/>
    <x v="641"/>
    <n v="138.22"/>
    <s v="Complete Access"/>
    <x v="206"/>
    <x v="13"/>
    <x v="50"/>
    <d v="1900-01-09T00:00:00"/>
    <n v="6"/>
    <x v="0"/>
    <x v="1"/>
  </r>
  <r>
    <x v="278"/>
    <n v="-44.48"/>
    <x v="642"/>
    <n v="167.22"/>
    <s v="Complete Access"/>
    <x v="245"/>
    <x v="1"/>
    <x v="5"/>
    <d v="1900-01-09T00:00:00"/>
    <n v="6"/>
    <x v="0"/>
    <x v="1"/>
  </r>
  <r>
    <x v="278"/>
    <n v="-55"/>
    <x v="643"/>
    <n v="77.13"/>
    <s v="Complete Access"/>
    <x v="0"/>
    <x v="0"/>
    <x v="0"/>
    <d v="1900-01-09T00:00:00"/>
    <n v="6"/>
    <x v="0"/>
    <x v="1"/>
  </r>
  <r>
    <x v="279"/>
    <n v="99.5"/>
    <x v="644"/>
    <n v="211.7"/>
    <s v="Complete Access"/>
    <x v="246"/>
    <x v="15"/>
    <x v="56"/>
    <d v="1900-01-08T00:00:00"/>
    <n v="6"/>
    <x v="0"/>
    <x v="1"/>
  </r>
  <r>
    <x v="280"/>
    <n v="-99.5"/>
    <x v="645"/>
    <n v="112.2"/>
    <s v="Complete Access"/>
    <x v="246"/>
    <x v="15"/>
    <x v="56"/>
    <d v="1900-01-07T00:00:00"/>
    <n v="6"/>
    <x v="0"/>
    <x v="1"/>
  </r>
  <r>
    <x v="281"/>
    <n v="-60"/>
    <x v="646"/>
    <n v="211.7"/>
    <s v="Complete Access"/>
    <x v="247"/>
    <x v="9"/>
    <x v="57"/>
    <d v="1900-01-06T00:00:00"/>
    <n v="6"/>
    <x v="0"/>
    <x v="1"/>
  </r>
  <r>
    <x v="281"/>
    <n v="-14.99"/>
    <x v="647"/>
    <n v="271.7"/>
    <s v="Complete Access"/>
    <x v="248"/>
    <x v="3"/>
    <x v="58"/>
    <d v="1900-01-06T00:00:00"/>
    <n v="6"/>
    <x v="0"/>
    <x v="1"/>
  </r>
  <r>
    <x v="281"/>
    <n v="-1302.76"/>
    <x v="648"/>
    <n v="286.69"/>
    <s v="Complete Access"/>
    <x v="246"/>
    <x v="15"/>
    <x v="56"/>
    <d v="1900-01-06T00:00:00"/>
    <n v="6"/>
    <x v="0"/>
    <x v="1"/>
  </r>
  <r>
    <x v="282"/>
    <n v="-3.75"/>
    <x v="621"/>
    <n v="1589.45"/>
    <s v="Complete Access"/>
    <x v="220"/>
    <x v="1"/>
    <x v="5"/>
    <d v="1900-01-05T00:00:00"/>
    <n v="6"/>
    <x v="0"/>
    <x v="1"/>
  </r>
  <r>
    <x v="282"/>
    <n v="-16.5"/>
    <x v="8"/>
    <n v="1593.2"/>
    <s v="Complete Access"/>
    <x v="7"/>
    <x v="1"/>
    <x v="5"/>
    <d v="1900-01-05T00:00:00"/>
    <n v="6"/>
    <x v="0"/>
    <x v="1"/>
  </r>
  <r>
    <x v="282"/>
    <n v="-29"/>
    <x v="649"/>
    <n v="1609.7"/>
    <s v="Complete Access"/>
    <x v="206"/>
    <x v="13"/>
    <x v="50"/>
    <d v="1900-01-05T00:00:00"/>
    <n v="6"/>
    <x v="0"/>
    <x v="1"/>
  </r>
  <r>
    <x v="282"/>
    <n v="-19"/>
    <x v="650"/>
    <n v="1638.7"/>
    <s v="Complete Access"/>
    <x v="243"/>
    <x v="1"/>
    <x v="23"/>
    <d v="1900-01-05T00:00:00"/>
    <n v="6"/>
    <x v="0"/>
    <x v="1"/>
  </r>
  <r>
    <x v="283"/>
    <n v="-30.13"/>
    <x v="578"/>
    <n v="1657.7"/>
    <s v="Complete Access"/>
    <x v="177"/>
    <x v="1"/>
    <x v="1"/>
    <d v="1900-01-04T00:00:00"/>
    <n v="6"/>
    <x v="0"/>
    <x v="1"/>
  </r>
  <r>
    <x v="283"/>
    <n v="-20"/>
    <x v="8"/>
    <n v="1687.83"/>
    <s v="Complete Access"/>
    <x v="7"/>
    <x v="1"/>
    <x v="5"/>
    <d v="1900-01-04T00:00:00"/>
    <n v="6"/>
    <x v="0"/>
    <x v="1"/>
  </r>
  <r>
    <x v="284"/>
    <n v="-13"/>
    <x v="651"/>
    <n v="1711.02"/>
    <s v="Complete Access"/>
    <x v="188"/>
    <x v="1"/>
    <x v="1"/>
    <d v="1900-01-01T00:00:00"/>
    <n v="5"/>
    <x v="0"/>
    <x v="1"/>
  </r>
  <r>
    <x v="284"/>
    <n v="-3.19"/>
    <x v="531"/>
    <n v="1707.83"/>
    <s v="Complete Access"/>
    <x v="215"/>
    <x v="1"/>
    <x v="1"/>
    <d v="1900-01-01T00:00:00"/>
    <n v="5"/>
    <x v="0"/>
    <x v="1"/>
  </r>
  <r>
    <x v="285"/>
    <n v="-296"/>
    <x v="652"/>
    <n v="2234.42"/>
    <s v="Complete Access"/>
    <x v="217"/>
    <x v="0"/>
    <x v="0"/>
    <d v="1899-12-31T00:00:00"/>
    <n v="5"/>
    <x v="0"/>
    <x v="1"/>
  </r>
  <r>
    <x v="285"/>
    <n v="2348.84"/>
    <x v="653"/>
    <n v="3030.44"/>
    <s v="Complete Access"/>
    <x v="14"/>
    <x v="6"/>
    <x v="9"/>
    <d v="1899-12-31T00:00:00"/>
    <n v="5"/>
    <x v="0"/>
    <x v="1"/>
  </r>
  <r>
    <x v="285"/>
    <n v="-4"/>
    <x v="531"/>
    <n v="2230.42"/>
    <s v="Complete Access"/>
    <x v="215"/>
    <x v="1"/>
    <x v="1"/>
    <d v="1899-12-31T00:00:00"/>
    <n v="5"/>
    <x v="0"/>
    <x v="1"/>
  </r>
  <r>
    <x v="285"/>
    <n v="-195.05"/>
    <x v="654"/>
    <n v="1724.02"/>
    <s v="Complete Access"/>
    <x v="76"/>
    <x v="2"/>
    <x v="2"/>
    <d v="1899-12-31T00:00:00"/>
    <n v="5"/>
    <x v="0"/>
    <x v="1"/>
  </r>
  <r>
    <x v="285"/>
    <n v="-11.35"/>
    <x v="454"/>
    <n v="1919.07"/>
    <s v="Complete Access"/>
    <x v="9"/>
    <x v="4"/>
    <x v="6"/>
    <d v="1899-12-31T00:00:00"/>
    <n v="5"/>
    <x v="0"/>
    <x v="1"/>
  </r>
  <r>
    <x v="285"/>
    <n v="-0.02"/>
    <x v="655"/>
    <n v="2530.42"/>
    <s v="Complete Access"/>
    <x v="249"/>
    <x v="0"/>
    <x v="0"/>
    <d v="1899-12-31T00:00:00"/>
    <n v="5"/>
    <x v="0"/>
    <x v="1"/>
  </r>
  <r>
    <x v="285"/>
    <n v="91.35"/>
    <x v="609"/>
    <n v="45761.07"/>
    <s v="Netbank Saver"/>
    <x v="240"/>
    <x v="0"/>
    <x v="55"/>
    <d v="1899-12-31T00:00:00"/>
    <n v="5"/>
    <x v="0"/>
    <x v="1"/>
  </r>
  <r>
    <x v="285"/>
    <n v="-500"/>
    <x v="656"/>
    <n v="2530.44"/>
    <s v="Complete Access"/>
    <x v="13"/>
    <x v="0"/>
    <x v="0"/>
    <d v="1899-12-31T00:00:00"/>
    <n v="5"/>
    <x v="0"/>
    <x v="1"/>
  </r>
  <r>
    <x v="285"/>
    <n v="-300"/>
    <x v="657"/>
    <n v="1930.42"/>
    <s v="Complete Access"/>
    <x v="0"/>
    <x v="0"/>
    <x v="0"/>
    <d v="1899-12-31T00:00:00"/>
    <n v="5"/>
    <x v="0"/>
    <x v="1"/>
  </r>
  <r>
    <x v="286"/>
    <n v="-40"/>
    <x v="658"/>
    <n v="811.26"/>
    <s v="Complete Access"/>
    <x v="12"/>
    <x v="5"/>
    <x v="8"/>
    <d v="1900-01-30T00:00:00"/>
    <n v="5"/>
    <x v="1"/>
    <x v="1"/>
  </r>
  <r>
    <x v="286"/>
    <n v="-19.149999999999999"/>
    <x v="659"/>
    <n v="766.47"/>
    <s v="Complete Access"/>
    <x v="220"/>
    <x v="1"/>
    <x v="5"/>
    <d v="1900-01-30T00:00:00"/>
    <n v="5"/>
    <x v="1"/>
    <x v="1"/>
  </r>
  <r>
    <x v="286"/>
    <n v="-25.64"/>
    <x v="660"/>
    <n v="785.62"/>
    <s v="Complete Access"/>
    <x v="237"/>
    <x v="15"/>
    <x v="34"/>
    <d v="1900-01-30T00:00:00"/>
    <n v="5"/>
    <x v="1"/>
    <x v="1"/>
  </r>
  <r>
    <x v="286"/>
    <n v="-0.25"/>
    <x v="532"/>
    <n v="681.6"/>
    <s v="Complete Access"/>
    <x v="1"/>
    <x v="1"/>
    <x v="1"/>
    <d v="1900-01-30T00:00:00"/>
    <n v="5"/>
    <x v="1"/>
    <x v="1"/>
  </r>
  <r>
    <x v="286"/>
    <n v="-84.62"/>
    <x v="532"/>
    <n v="681.85"/>
    <s v="Complete Access"/>
    <x v="1"/>
    <x v="1"/>
    <x v="1"/>
    <d v="1900-01-30T00:00:00"/>
    <n v="5"/>
    <x v="1"/>
    <x v="1"/>
  </r>
  <r>
    <x v="287"/>
    <n v="-46.21"/>
    <x v="661"/>
    <n v="978.17"/>
    <s v="Complete Access"/>
    <x v="8"/>
    <x v="1"/>
    <x v="5"/>
    <d v="1900-01-29T00:00:00"/>
    <n v="5"/>
    <x v="1"/>
    <x v="1"/>
  </r>
  <r>
    <x v="287"/>
    <n v="-18.18"/>
    <x v="662"/>
    <n v="871.26"/>
    <s v="Complete Access"/>
    <x v="218"/>
    <x v="8"/>
    <x v="29"/>
    <d v="1900-01-29T00:00:00"/>
    <n v="5"/>
    <x v="1"/>
    <x v="1"/>
  </r>
  <r>
    <x v="287"/>
    <n v="-9.6"/>
    <x v="662"/>
    <n v="889.44"/>
    <s v="Complete Access"/>
    <x v="218"/>
    <x v="8"/>
    <x v="29"/>
    <d v="1900-01-29T00:00:00"/>
    <n v="5"/>
    <x v="1"/>
    <x v="1"/>
  </r>
  <r>
    <x v="287"/>
    <n v="-22.62"/>
    <x v="662"/>
    <n v="899.04"/>
    <s v="Complete Access"/>
    <x v="218"/>
    <x v="8"/>
    <x v="29"/>
    <d v="1900-01-29T00:00:00"/>
    <n v="5"/>
    <x v="1"/>
    <x v="1"/>
  </r>
  <r>
    <x v="287"/>
    <n v="-28.28"/>
    <x v="662"/>
    <n v="921.66"/>
    <s v="Complete Access"/>
    <x v="218"/>
    <x v="8"/>
    <x v="29"/>
    <d v="1900-01-29T00:00:00"/>
    <n v="5"/>
    <x v="1"/>
    <x v="1"/>
  </r>
  <r>
    <x v="287"/>
    <n v="-20"/>
    <x v="8"/>
    <n v="851.26"/>
    <s v="Complete Access"/>
    <x v="7"/>
    <x v="1"/>
    <x v="5"/>
    <d v="1900-01-29T00:00:00"/>
    <n v="5"/>
    <x v="1"/>
    <x v="1"/>
  </r>
  <r>
    <x v="287"/>
    <n v="-28.23"/>
    <x v="663"/>
    <n v="949.94"/>
    <s v="Complete Access"/>
    <x v="104"/>
    <x v="1"/>
    <x v="5"/>
    <d v="1900-01-29T00:00:00"/>
    <n v="5"/>
    <x v="1"/>
    <x v="1"/>
  </r>
  <r>
    <x v="288"/>
    <n v="-105.75"/>
    <x v="664"/>
    <n v="1024.3800000000001"/>
    <s v="Complete Access"/>
    <x v="250"/>
    <x v="18"/>
    <x v="59"/>
    <d v="1900-01-28T00:00:00"/>
    <n v="5"/>
    <x v="1"/>
    <x v="1"/>
  </r>
  <r>
    <x v="289"/>
    <n v="-35.68"/>
    <x v="405"/>
    <n v="1186.5899999999999"/>
    <s v="Complete Access"/>
    <x v="177"/>
    <x v="1"/>
    <x v="1"/>
    <d v="1900-01-26T00:00:00"/>
    <n v="4"/>
    <x v="1"/>
    <x v="1"/>
  </r>
  <r>
    <x v="289"/>
    <n v="-56.46"/>
    <x v="532"/>
    <n v="1130.1300000000001"/>
    <s v="Complete Access"/>
    <x v="1"/>
    <x v="1"/>
    <x v="1"/>
    <d v="1900-01-26T00:00:00"/>
    <n v="4"/>
    <x v="1"/>
    <x v="1"/>
  </r>
  <r>
    <x v="290"/>
    <n v="-27.39"/>
    <x v="665"/>
    <n v="1222.27"/>
    <s v="Complete Access"/>
    <x v="8"/>
    <x v="1"/>
    <x v="5"/>
    <d v="1900-01-25T00:00:00"/>
    <n v="4"/>
    <x v="1"/>
    <x v="1"/>
  </r>
  <r>
    <x v="290"/>
    <n v="-11"/>
    <x v="96"/>
    <n v="1249.6600000000001"/>
    <s v="Complete Access"/>
    <x v="47"/>
    <x v="1"/>
    <x v="5"/>
    <d v="1900-01-25T00:00:00"/>
    <n v="4"/>
    <x v="1"/>
    <x v="1"/>
  </r>
  <r>
    <x v="291"/>
    <n v="-19.95"/>
    <x v="28"/>
    <n v="1260.6600000000001"/>
    <s v="Complete Access"/>
    <x v="20"/>
    <x v="9"/>
    <x v="12"/>
    <d v="1900-01-24T00:00:00"/>
    <n v="4"/>
    <x v="1"/>
    <x v="1"/>
  </r>
  <r>
    <x v="291"/>
    <n v="-21.36"/>
    <x v="531"/>
    <n v="1280.6099999999999"/>
    <s v="Complete Access"/>
    <x v="215"/>
    <x v="1"/>
    <x v="1"/>
    <d v="1900-01-24T00:00:00"/>
    <n v="4"/>
    <x v="1"/>
    <x v="1"/>
  </r>
  <r>
    <x v="291"/>
    <n v="-29.99"/>
    <x v="666"/>
    <n v="1301.97"/>
    <s v="Complete Access"/>
    <x v="228"/>
    <x v="4"/>
    <x v="7"/>
    <d v="1900-01-24T00:00:00"/>
    <n v="4"/>
    <x v="1"/>
    <x v="1"/>
  </r>
  <r>
    <x v="292"/>
    <n v="-29.99"/>
    <x v="616"/>
    <n v="1331.96"/>
    <s v="Complete Access"/>
    <x v="228"/>
    <x v="4"/>
    <x v="7"/>
    <d v="1900-01-23T00:00:00"/>
    <n v="4"/>
    <x v="1"/>
    <x v="1"/>
  </r>
  <r>
    <x v="293"/>
    <n v="-39.49"/>
    <x v="667"/>
    <n v="1415.88"/>
    <s v="Complete Access"/>
    <x v="8"/>
    <x v="1"/>
    <x v="5"/>
    <d v="1900-01-22T00:00:00"/>
    <n v="4"/>
    <x v="1"/>
    <x v="1"/>
  </r>
  <r>
    <x v="293"/>
    <n v="-51.29"/>
    <x v="668"/>
    <n v="1455.37"/>
    <s v="Complete Access"/>
    <x v="8"/>
    <x v="1"/>
    <x v="5"/>
    <d v="1900-01-22T00:00:00"/>
    <n v="4"/>
    <x v="1"/>
    <x v="1"/>
  </r>
  <r>
    <x v="293"/>
    <n v="-8.49"/>
    <x v="669"/>
    <n v="1361.95"/>
    <s v="Complete Access"/>
    <x v="251"/>
    <x v="3"/>
    <x v="26"/>
    <d v="1900-01-22T00:00:00"/>
    <n v="4"/>
    <x v="1"/>
    <x v="1"/>
  </r>
  <r>
    <x v="293"/>
    <n v="-7"/>
    <x v="670"/>
    <n v="1389.8"/>
    <s v="Complete Access"/>
    <x v="252"/>
    <x v="1"/>
    <x v="5"/>
    <d v="1900-01-22T00:00:00"/>
    <n v="4"/>
    <x v="1"/>
    <x v="1"/>
  </r>
  <r>
    <x v="293"/>
    <n v="-3.96"/>
    <x v="670"/>
    <n v="1396.8"/>
    <s v="Complete Access"/>
    <x v="252"/>
    <x v="1"/>
    <x v="5"/>
    <d v="1900-01-22T00:00:00"/>
    <n v="4"/>
    <x v="1"/>
    <x v="1"/>
  </r>
  <r>
    <x v="293"/>
    <n v="-15.12"/>
    <x v="670"/>
    <n v="1400.76"/>
    <s v="Complete Access"/>
    <x v="252"/>
    <x v="1"/>
    <x v="5"/>
    <d v="1900-01-22T00:00:00"/>
    <n v="4"/>
    <x v="1"/>
    <x v="1"/>
  </r>
  <r>
    <x v="293"/>
    <n v="-2.5"/>
    <x v="531"/>
    <n v="1387.3"/>
    <s v="Complete Access"/>
    <x v="215"/>
    <x v="1"/>
    <x v="1"/>
    <d v="1900-01-22T00:00:00"/>
    <n v="4"/>
    <x v="1"/>
    <x v="1"/>
  </r>
  <r>
    <x v="293"/>
    <n v="-16.86"/>
    <x v="405"/>
    <n v="1370.44"/>
    <s v="Complete Access"/>
    <x v="177"/>
    <x v="1"/>
    <x v="1"/>
    <d v="1900-01-22T00:00:00"/>
    <n v="4"/>
    <x v="1"/>
    <x v="1"/>
  </r>
  <r>
    <x v="293"/>
    <n v="-26.67"/>
    <x v="671"/>
    <n v="1506.66"/>
    <s v="Complete Access"/>
    <x v="5"/>
    <x v="3"/>
    <x v="3"/>
    <d v="1900-01-22T00:00:00"/>
    <n v="4"/>
    <x v="1"/>
    <x v="1"/>
  </r>
  <r>
    <x v="294"/>
    <n v="-16"/>
    <x v="8"/>
    <n v="1832.33"/>
    <s v="Complete Access"/>
    <x v="7"/>
    <x v="1"/>
    <x v="5"/>
    <d v="1900-01-21T00:00:00"/>
    <n v="4"/>
    <x v="1"/>
    <x v="1"/>
  </r>
  <r>
    <x v="294"/>
    <n v="-299"/>
    <x v="672"/>
    <n v="1533.33"/>
    <s v="Complete Access"/>
    <x v="206"/>
    <x v="13"/>
    <x v="50"/>
    <d v="1900-01-21T00:00:00"/>
    <n v="4"/>
    <x v="1"/>
    <x v="1"/>
  </r>
  <r>
    <x v="294"/>
    <n v="-39.5"/>
    <x v="561"/>
    <n v="1848.33"/>
    <s v="Complete Access"/>
    <x v="223"/>
    <x v="7"/>
    <x v="53"/>
    <d v="1900-01-21T00:00:00"/>
    <n v="4"/>
    <x v="1"/>
    <x v="1"/>
  </r>
  <r>
    <x v="295"/>
    <n v="-69"/>
    <x v="673"/>
    <n v="1887.83"/>
    <s v="Complete Access"/>
    <x v="207"/>
    <x v="7"/>
    <x v="11"/>
    <d v="1900-01-18T00:00:00"/>
    <n v="3"/>
    <x v="1"/>
    <x v="1"/>
  </r>
  <r>
    <x v="295"/>
    <n v="-29"/>
    <x v="674"/>
    <n v="1956.83"/>
    <s v="Complete Access"/>
    <x v="206"/>
    <x v="13"/>
    <x v="50"/>
    <d v="1900-01-18T00:00:00"/>
    <n v="3"/>
    <x v="1"/>
    <x v="1"/>
  </r>
  <r>
    <x v="296"/>
    <n v="2348.83"/>
    <x v="675"/>
    <n v="2531.39"/>
    <s v="Complete Access"/>
    <x v="14"/>
    <x v="6"/>
    <x v="9"/>
    <d v="1900-01-17T00:00:00"/>
    <n v="3"/>
    <x v="1"/>
    <x v="1"/>
  </r>
  <r>
    <x v="296"/>
    <n v="-9.2100000000000009"/>
    <x v="531"/>
    <n v="1997.18"/>
    <s v="Complete Access"/>
    <x v="215"/>
    <x v="1"/>
    <x v="1"/>
    <d v="1900-01-17T00:00:00"/>
    <n v="3"/>
    <x v="1"/>
    <x v="1"/>
  </r>
  <r>
    <x v="296"/>
    <n v="-25"/>
    <x v="676"/>
    <n v="2006.39"/>
    <s v="Complete Access"/>
    <x v="253"/>
    <x v="3"/>
    <x v="60"/>
    <d v="1900-01-17T00:00:00"/>
    <n v="3"/>
    <x v="1"/>
    <x v="1"/>
  </r>
  <r>
    <x v="296"/>
    <n v="-11.35"/>
    <x v="454"/>
    <n v="1985.83"/>
    <s v="Complete Access"/>
    <x v="9"/>
    <x v="4"/>
    <x v="6"/>
    <d v="1900-01-17T00:00:00"/>
    <n v="3"/>
    <x v="1"/>
    <x v="1"/>
  </r>
  <r>
    <x v="296"/>
    <n v="-500"/>
    <x v="656"/>
    <n v="2031.39"/>
    <s v="Complete Access"/>
    <x v="13"/>
    <x v="0"/>
    <x v="0"/>
    <d v="1900-01-17T00:00:00"/>
    <n v="3"/>
    <x v="1"/>
    <x v="1"/>
  </r>
  <r>
    <x v="297"/>
    <n v="-40"/>
    <x v="677"/>
    <n v="239.68"/>
    <s v="Complete Access"/>
    <x v="12"/>
    <x v="5"/>
    <x v="8"/>
    <d v="1900-01-16T00:00:00"/>
    <n v="3"/>
    <x v="1"/>
    <x v="1"/>
  </r>
  <r>
    <x v="297"/>
    <n v="-57.12"/>
    <x v="678"/>
    <n v="182.56"/>
    <s v="Complete Access"/>
    <x v="1"/>
    <x v="1"/>
    <x v="1"/>
    <d v="1900-01-16T00:00:00"/>
    <n v="3"/>
    <x v="1"/>
    <x v="1"/>
  </r>
  <r>
    <x v="298"/>
    <n v="-10.6"/>
    <x v="679"/>
    <n v="296.18"/>
    <s v="Complete Access"/>
    <x v="218"/>
    <x v="8"/>
    <x v="29"/>
    <d v="1900-01-15T00:00:00"/>
    <n v="3"/>
    <x v="1"/>
    <x v="1"/>
  </r>
  <r>
    <x v="298"/>
    <n v="-16.5"/>
    <x v="8"/>
    <n v="279.68"/>
    <s v="Complete Access"/>
    <x v="7"/>
    <x v="1"/>
    <x v="5"/>
    <d v="1900-01-15T00:00:00"/>
    <n v="3"/>
    <x v="1"/>
    <x v="1"/>
  </r>
  <r>
    <x v="298"/>
    <n v="-23.24"/>
    <x v="680"/>
    <n v="306.77999999999997"/>
    <s v="Complete Access"/>
    <x v="104"/>
    <x v="1"/>
    <x v="5"/>
    <d v="1900-01-15T00:00:00"/>
    <n v="3"/>
    <x v="1"/>
    <x v="1"/>
  </r>
  <r>
    <x v="299"/>
    <n v="-14.5"/>
    <x v="18"/>
    <n v="358.52"/>
    <s v="Complete Access"/>
    <x v="16"/>
    <x v="1"/>
    <x v="5"/>
    <d v="1900-01-14T00:00:00"/>
    <n v="3"/>
    <x v="1"/>
    <x v="1"/>
  </r>
  <r>
    <x v="299"/>
    <n v="-28.5"/>
    <x v="681"/>
    <n v="330.02"/>
    <s v="Complete Access"/>
    <x v="254"/>
    <x v="16"/>
    <x v="35"/>
    <d v="1900-01-14T00:00:00"/>
    <n v="3"/>
    <x v="1"/>
    <x v="1"/>
  </r>
  <r>
    <x v="300"/>
    <n v="-343.45"/>
    <x v="682"/>
    <n v="456.03"/>
    <s v="Complete Access"/>
    <x v="255"/>
    <x v="4"/>
    <x v="20"/>
    <d v="1900-01-12T00:00:00"/>
    <n v="2"/>
    <x v="1"/>
    <x v="1"/>
  </r>
  <r>
    <x v="300"/>
    <n v="-38.76"/>
    <x v="177"/>
    <n v="373.02"/>
    <s v="Complete Access"/>
    <x v="72"/>
    <x v="1"/>
    <x v="5"/>
    <d v="1900-01-12T00:00:00"/>
    <n v="2"/>
    <x v="1"/>
    <x v="1"/>
  </r>
  <r>
    <x v="300"/>
    <n v="-0.99"/>
    <x v="683"/>
    <n v="411.78"/>
    <s v="Complete Access"/>
    <x v="10"/>
    <x v="0"/>
    <x v="0"/>
    <d v="1900-01-12T00:00:00"/>
    <n v="2"/>
    <x v="1"/>
    <x v="1"/>
  </r>
  <r>
    <x v="300"/>
    <n v="-10.3"/>
    <x v="683"/>
    <n v="445.73"/>
    <s v="Complete Access"/>
    <x v="10"/>
    <x v="0"/>
    <x v="0"/>
    <d v="1900-01-12T00:00:00"/>
    <n v="2"/>
    <x v="1"/>
    <x v="1"/>
  </r>
  <r>
    <x v="300"/>
    <n v="-32.96"/>
    <x v="684"/>
    <n v="412.77"/>
    <s v="Complete Access"/>
    <x v="11"/>
    <x v="4"/>
    <x v="7"/>
    <d v="1900-01-12T00:00:00"/>
    <n v="2"/>
    <x v="1"/>
    <x v="1"/>
  </r>
  <r>
    <x v="301"/>
    <n v="-1"/>
    <x v="96"/>
    <n v="799.48"/>
    <s v="Complete Access"/>
    <x v="47"/>
    <x v="1"/>
    <x v="5"/>
    <d v="1900-01-11T00:00:00"/>
    <n v="2"/>
    <x v="1"/>
    <x v="1"/>
  </r>
  <r>
    <x v="302"/>
    <n v="-36.15"/>
    <x v="685"/>
    <n v="8.43"/>
    <s v="Complete Access"/>
    <x v="256"/>
    <x v="4"/>
    <x v="47"/>
    <d v="1900-01-10T00:00:00"/>
    <n v="2"/>
    <x v="1"/>
    <x v="1"/>
  </r>
  <r>
    <x v="302"/>
    <n v="-39.840000000000003"/>
    <x v="686"/>
    <n v="44.58"/>
    <s v="Complete Access"/>
    <x v="8"/>
    <x v="1"/>
    <x v="5"/>
    <d v="1900-01-10T00:00:00"/>
    <n v="2"/>
    <x v="1"/>
    <x v="1"/>
  </r>
  <r>
    <x v="302"/>
    <n v="400"/>
    <x v="370"/>
    <n v="407.35"/>
    <s v="Complete Access"/>
    <x v="36"/>
    <x v="0"/>
    <x v="0"/>
    <d v="1900-01-10T00:00:00"/>
    <n v="2"/>
    <x v="1"/>
    <x v="1"/>
  </r>
  <r>
    <x v="302"/>
    <n v="-1.08"/>
    <x v="687"/>
    <n v="7.35"/>
    <s v="Complete Access"/>
    <x v="10"/>
    <x v="0"/>
    <x v="0"/>
    <d v="1900-01-10T00:00:00"/>
    <n v="2"/>
    <x v="1"/>
    <x v="1"/>
  </r>
  <r>
    <x v="302"/>
    <n v="-21.87"/>
    <x v="578"/>
    <n v="800.48"/>
    <s v="Complete Access"/>
    <x v="177"/>
    <x v="1"/>
    <x v="1"/>
    <d v="1900-01-10T00:00:00"/>
    <n v="2"/>
    <x v="1"/>
    <x v="1"/>
  </r>
  <r>
    <x v="302"/>
    <n v="415"/>
    <x v="688"/>
    <n v="822.35"/>
    <s v="Complete Access"/>
    <x v="257"/>
    <x v="0"/>
    <x v="0"/>
    <d v="1900-01-10T00:00:00"/>
    <n v="2"/>
    <x v="1"/>
    <x v="1"/>
  </r>
  <r>
    <x v="302"/>
    <n v="-400"/>
    <x v="581"/>
    <n v="45669.72"/>
    <s v="Netbank Saver"/>
    <x v="0"/>
    <x v="0"/>
    <x v="0"/>
    <d v="1900-01-10T00:00:00"/>
    <n v="2"/>
    <x v="1"/>
    <x v="1"/>
  </r>
  <r>
    <x v="303"/>
    <n v="-5"/>
    <x v="689"/>
    <n v="84.42"/>
    <s v="Complete Access"/>
    <x v="258"/>
    <x v="0"/>
    <x v="0"/>
    <d v="1900-01-09T00:00:00"/>
    <n v="2"/>
    <x v="1"/>
    <x v="1"/>
  </r>
  <r>
    <x v="304"/>
    <n v="-26.11"/>
    <x v="690"/>
    <n v="184.23"/>
    <s v="Complete Access"/>
    <x v="259"/>
    <x v="1"/>
    <x v="5"/>
    <d v="1900-01-08T00:00:00"/>
    <n v="2"/>
    <x v="1"/>
    <x v="1"/>
  </r>
  <r>
    <x v="304"/>
    <n v="-59.9"/>
    <x v="691"/>
    <n v="124.33"/>
    <s v="Complete Access"/>
    <x v="260"/>
    <x v="1"/>
    <x v="5"/>
    <d v="1900-01-08T00:00:00"/>
    <n v="2"/>
    <x v="1"/>
    <x v="1"/>
  </r>
  <r>
    <x v="304"/>
    <n v="-24.64"/>
    <x v="692"/>
    <n v="249.54"/>
    <s v="Complete Access"/>
    <x v="104"/>
    <x v="1"/>
    <x v="5"/>
    <d v="1900-01-08T00:00:00"/>
    <n v="2"/>
    <x v="1"/>
    <x v="1"/>
  </r>
  <r>
    <x v="304"/>
    <n v="-39.200000000000003"/>
    <x v="693"/>
    <n v="210.34"/>
    <s v="Complete Access"/>
    <x v="104"/>
    <x v="1"/>
    <x v="5"/>
    <d v="1900-01-08T00:00:00"/>
    <n v="2"/>
    <x v="1"/>
    <x v="1"/>
  </r>
  <r>
    <x v="304"/>
    <n v="-34.909999999999997"/>
    <x v="694"/>
    <n v="89.42"/>
    <s v="Complete Access"/>
    <x v="91"/>
    <x v="9"/>
    <x v="12"/>
    <d v="1900-01-08T00:00:00"/>
    <n v="2"/>
    <x v="1"/>
    <x v="1"/>
  </r>
  <r>
    <x v="305"/>
    <n v="150"/>
    <x v="370"/>
    <n v="274.18"/>
    <s v="Complete Access"/>
    <x v="36"/>
    <x v="0"/>
    <x v="0"/>
    <d v="1900-01-07T00:00:00"/>
    <n v="2"/>
    <x v="1"/>
    <x v="1"/>
  </r>
  <r>
    <x v="305"/>
    <n v="-59.74"/>
    <x v="405"/>
    <n v="124.18"/>
    <s v="Complete Access"/>
    <x v="177"/>
    <x v="1"/>
    <x v="1"/>
    <d v="1900-01-07T00:00:00"/>
    <n v="2"/>
    <x v="1"/>
    <x v="1"/>
  </r>
  <r>
    <x v="305"/>
    <n v="-21.65"/>
    <x v="532"/>
    <n v="183.92"/>
    <s v="Complete Access"/>
    <x v="1"/>
    <x v="1"/>
    <x v="1"/>
    <d v="1900-01-07T00:00:00"/>
    <n v="2"/>
    <x v="1"/>
    <x v="1"/>
  </r>
  <r>
    <x v="305"/>
    <n v="-150"/>
    <x v="581"/>
    <n v="46069.72"/>
    <s v="Netbank Saver"/>
    <x v="0"/>
    <x v="0"/>
    <x v="0"/>
    <d v="1900-01-07T00:00:00"/>
    <n v="2"/>
    <x v="1"/>
    <x v="1"/>
  </r>
  <r>
    <x v="306"/>
    <n v="500"/>
    <x v="370"/>
    <n v="758.59"/>
    <s v="Complete Access"/>
    <x v="36"/>
    <x v="0"/>
    <x v="0"/>
    <d v="1900-01-06T00:00:00"/>
    <n v="2"/>
    <x v="1"/>
    <x v="1"/>
  </r>
  <r>
    <x v="306"/>
    <n v="-53.02"/>
    <x v="28"/>
    <n v="205.57"/>
    <s v="Complete Access"/>
    <x v="20"/>
    <x v="9"/>
    <x v="12"/>
    <d v="1900-01-06T00:00:00"/>
    <n v="2"/>
    <x v="1"/>
    <x v="1"/>
  </r>
  <r>
    <x v="306"/>
    <n v="-500"/>
    <x v="695"/>
    <n v="258.58999999999997"/>
    <s v="Complete Access"/>
    <x v="261"/>
    <x v="19"/>
    <x v="61"/>
    <d v="1900-01-06T00:00:00"/>
    <n v="2"/>
    <x v="1"/>
    <x v="1"/>
  </r>
  <r>
    <x v="306"/>
    <n v="-500"/>
    <x v="581"/>
    <n v="46219.72"/>
    <s v="Netbank Saver"/>
    <x v="0"/>
    <x v="0"/>
    <x v="0"/>
    <d v="1900-01-06T00:00:00"/>
    <n v="2"/>
    <x v="1"/>
    <x v="1"/>
  </r>
  <r>
    <x v="307"/>
    <n v="-35.82"/>
    <x v="696"/>
    <n v="179.66"/>
    <s v="Complete Access"/>
    <x v="256"/>
    <x v="4"/>
    <x v="47"/>
    <d v="1900-01-05T00:00:00"/>
    <n v="1"/>
    <x v="1"/>
    <x v="1"/>
  </r>
  <r>
    <x v="307"/>
    <n v="80"/>
    <x v="370"/>
    <n v="258.58999999999997"/>
    <s v="Complete Access"/>
    <x v="36"/>
    <x v="0"/>
    <x v="0"/>
    <d v="1900-01-05T00:00:00"/>
    <n v="1"/>
    <x v="1"/>
    <x v="1"/>
  </r>
  <r>
    <x v="307"/>
    <n v="-50.75"/>
    <x v="697"/>
    <n v="215.48"/>
    <s v="Complete Access"/>
    <x v="262"/>
    <x v="8"/>
    <x v="22"/>
    <d v="1900-01-05T00:00:00"/>
    <n v="1"/>
    <x v="1"/>
    <x v="1"/>
  </r>
  <r>
    <x v="307"/>
    <n v="-1.07"/>
    <x v="698"/>
    <n v="178.59"/>
    <s v="Complete Access"/>
    <x v="10"/>
    <x v="0"/>
    <x v="0"/>
    <d v="1900-01-05T00:00:00"/>
    <n v="1"/>
    <x v="1"/>
    <x v="1"/>
  </r>
  <r>
    <x v="307"/>
    <n v="-80"/>
    <x v="581"/>
    <n v="46719.72"/>
    <s v="Netbank Saver"/>
    <x v="0"/>
    <x v="0"/>
    <x v="0"/>
    <d v="1900-01-05T00:00:00"/>
    <n v="1"/>
    <x v="1"/>
    <x v="1"/>
  </r>
  <r>
    <x v="308"/>
    <n v="-1.5"/>
    <x v="699"/>
    <n v="266.23"/>
    <s v="Complete Access"/>
    <x v="34"/>
    <x v="9"/>
    <x v="12"/>
    <d v="1900-01-04T00:00:00"/>
    <n v="1"/>
    <x v="1"/>
    <x v="1"/>
  </r>
  <r>
    <x v="309"/>
    <n v="-2000"/>
    <x v="538"/>
    <n v="395.68"/>
    <s v="Complete Access"/>
    <x v="0"/>
    <x v="0"/>
    <x v="0"/>
    <d v="1900-01-03T00:00:00"/>
    <n v="1"/>
    <x v="1"/>
    <x v="1"/>
  </r>
  <r>
    <x v="309"/>
    <n v="2348.84"/>
    <x v="700"/>
    <n v="2395.6799999999998"/>
    <s v="Complete Access"/>
    <x v="14"/>
    <x v="6"/>
    <x v="9"/>
    <d v="1900-01-03T00:00:00"/>
    <n v="1"/>
    <x v="1"/>
    <x v="1"/>
  </r>
  <r>
    <x v="309"/>
    <n v="-11.46"/>
    <x v="531"/>
    <n v="359.08"/>
    <s v="Complete Access"/>
    <x v="215"/>
    <x v="1"/>
    <x v="1"/>
    <d v="1900-01-03T00:00:00"/>
    <n v="1"/>
    <x v="1"/>
    <x v="1"/>
  </r>
  <r>
    <x v="309"/>
    <n v="-11.35"/>
    <x v="454"/>
    <n v="267.73"/>
    <s v="Complete Access"/>
    <x v="9"/>
    <x v="4"/>
    <x v="6"/>
    <d v="1900-01-03T00:00:00"/>
    <n v="1"/>
    <x v="1"/>
    <x v="1"/>
  </r>
  <r>
    <x v="309"/>
    <n v="-25.14"/>
    <x v="701"/>
    <n v="370.54"/>
    <s v="Complete Access"/>
    <x v="104"/>
    <x v="1"/>
    <x v="5"/>
    <d v="1900-01-03T00:00:00"/>
    <n v="1"/>
    <x v="1"/>
    <x v="1"/>
  </r>
  <r>
    <x v="309"/>
    <n v="2000"/>
    <x v="702"/>
    <n v="46799.72"/>
    <s v="Netbank Saver"/>
    <x v="36"/>
    <x v="0"/>
    <x v="0"/>
    <d v="1900-01-03T00:00:00"/>
    <n v="1"/>
    <x v="1"/>
    <x v="1"/>
  </r>
  <r>
    <x v="309"/>
    <n v="-80"/>
    <x v="703"/>
    <n v="279.08"/>
    <s v="Complete Access"/>
    <x v="0"/>
    <x v="0"/>
    <x v="0"/>
    <d v="1900-01-03T00:00:00"/>
    <n v="1"/>
    <x v="1"/>
    <x v="1"/>
  </r>
  <r>
    <x v="310"/>
    <n v="-181.44"/>
    <x v="704"/>
    <n v="116.62"/>
    <s v="Complete Access"/>
    <x v="256"/>
    <x v="4"/>
    <x v="47"/>
    <d v="1900-01-02T00:00:00"/>
    <n v="1"/>
    <x v="1"/>
    <x v="1"/>
  </r>
  <r>
    <x v="310"/>
    <n v="50"/>
    <x v="370"/>
    <n v="77.290000000000006"/>
    <s v="Complete Access"/>
    <x v="36"/>
    <x v="0"/>
    <x v="0"/>
    <d v="1900-01-02T00:00:00"/>
    <n v="1"/>
    <x v="1"/>
    <x v="1"/>
  </r>
  <r>
    <x v="310"/>
    <n v="160"/>
    <x v="370"/>
    <n v="471.28"/>
    <s v="Complete Access"/>
    <x v="36"/>
    <x v="0"/>
    <x v="0"/>
    <d v="1900-01-02T00:00:00"/>
    <n v="1"/>
    <x v="1"/>
    <x v="1"/>
  </r>
  <r>
    <x v="310"/>
    <n v="85"/>
    <x v="370"/>
    <n v="311.27999999999997"/>
    <s v="Complete Access"/>
    <x v="36"/>
    <x v="0"/>
    <x v="0"/>
    <d v="1900-01-02T00:00:00"/>
    <n v="1"/>
    <x v="1"/>
    <x v="1"/>
  </r>
  <r>
    <x v="310"/>
    <n v="-15"/>
    <x v="705"/>
    <n v="46.84"/>
    <s v="Complete Access"/>
    <x v="263"/>
    <x v="0"/>
    <x v="0"/>
    <d v="1900-01-02T00:00:00"/>
    <n v="1"/>
    <x v="1"/>
    <x v="1"/>
  </r>
  <r>
    <x v="310"/>
    <n v="-5.44"/>
    <x v="706"/>
    <n v="111.18"/>
    <s v="Complete Access"/>
    <x v="10"/>
    <x v="0"/>
    <x v="0"/>
    <d v="1900-01-02T00:00:00"/>
    <n v="1"/>
    <x v="1"/>
    <x v="1"/>
  </r>
  <r>
    <x v="310"/>
    <n v="-39.200000000000003"/>
    <x v="707"/>
    <n v="71.98"/>
    <s v="Complete Access"/>
    <x v="104"/>
    <x v="1"/>
    <x v="5"/>
    <d v="1900-01-02T00:00:00"/>
    <n v="1"/>
    <x v="1"/>
    <x v="1"/>
  </r>
  <r>
    <x v="310"/>
    <n v="-32.26"/>
    <x v="708"/>
    <n v="39.72"/>
    <s v="Complete Access"/>
    <x v="1"/>
    <x v="1"/>
    <x v="1"/>
    <d v="1900-01-02T00:00:00"/>
    <n v="1"/>
    <x v="1"/>
    <x v="1"/>
  </r>
  <r>
    <x v="310"/>
    <n v="-23.22"/>
    <x v="532"/>
    <n v="298.06"/>
    <s v="Complete Access"/>
    <x v="1"/>
    <x v="1"/>
    <x v="1"/>
    <d v="1900-01-02T00:00:00"/>
    <n v="1"/>
    <x v="1"/>
    <x v="1"/>
  </r>
  <r>
    <x v="310"/>
    <n v="-12.43"/>
    <x v="709"/>
    <n v="27.29"/>
    <s v="Complete Access"/>
    <x v="21"/>
    <x v="10"/>
    <x v="13"/>
    <d v="1900-01-02T00:00:00"/>
    <n v="1"/>
    <x v="1"/>
    <x v="1"/>
  </r>
  <r>
    <x v="310"/>
    <n v="-15.45"/>
    <x v="710"/>
    <n v="61.84"/>
    <s v="Complete Access"/>
    <x v="264"/>
    <x v="10"/>
    <x v="13"/>
    <d v="1900-01-02T00:00:00"/>
    <n v="1"/>
    <x v="1"/>
    <x v="1"/>
  </r>
  <r>
    <x v="310"/>
    <n v="-160"/>
    <x v="581"/>
    <n v="44849.72"/>
    <s v="Netbank Saver"/>
    <x v="0"/>
    <x v="0"/>
    <x v="0"/>
    <d v="1900-01-02T00:00:00"/>
    <n v="1"/>
    <x v="1"/>
    <x v="1"/>
  </r>
  <r>
    <x v="310"/>
    <n v="-150"/>
    <x v="711"/>
    <n v="321.27999999999997"/>
    <s v="Complete Access"/>
    <x v="265"/>
    <x v="8"/>
    <x v="22"/>
    <d v="1900-01-02T00:00:00"/>
    <n v="1"/>
    <x v="1"/>
    <x v="1"/>
  </r>
  <r>
    <x v="310"/>
    <n v="-85"/>
    <x v="581"/>
    <n v="45009.72"/>
    <s v="Netbank Saver"/>
    <x v="0"/>
    <x v="0"/>
    <x v="0"/>
    <d v="1900-01-02T00:00:00"/>
    <n v="1"/>
    <x v="1"/>
    <x v="1"/>
  </r>
  <r>
    <x v="310"/>
    <n v="-50"/>
    <x v="581"/>
    <n v="44799.72"/>
    <s v="Netbank Saver"/>
    <x v="0"/>
    <x v="0"/>
    <x v="0"/>
    <d v="1900-01-02T00:00:00"/>
    <n v="1"/>
    <x v="1"/>
    <x v="1"/>
  </r>
  <r>
    <x v="311"/>
    <n v="-195.05"/>
    <x v="712"/>
    <n v="226.28"/>
    <s v="Complete Access"/>
    <x v="76"/>
    <x v="2"/>
    <x v="2"/>
    <d v="1900-01-01T00:00:00"/>
    <n v="1"/>
    <x v="1"/>
    <x v="1"/>
  </r>
  <r>
    <x v="312"/>
    <n v="-0.06"/>
    <x v="655"/>
    <n v="421.33"/>
    <s v="Complete Access"/>
    <x v="249"/>
    <x v="0"/>
    <x v="0"/>
    <d v="1899-12-31T00:00:00"/>
    <n v="1"/>
    <x v="1"/>
    <x v="1"/>
  </r>
  <r>
    <x v="312"/>
    <n v="85.86"/>
    <x v="609"/>
    <n v="45094.720000000001"/>
    <s v="Netbank Saver"/>
    <x v="240"/>
    <x v="0"/>
    <x v="55"/>
    <d v="1899-12-31T00:00:00"/>
    <n v="1"/>
    <x v="1"/>
    <x v="1"/>
  </r>
  <r>
    <x v="313"/>
    <n v="-38.79"/>
    <x v="405"/>
    <n v="421.39"/>
    <s v="Complete Access"/>
    <x v="177"/>
    <x v="1"/>
    <x v="1"/>
    <d v="1900-01-30T00:00:00"/>
    <n v="53"/>
    <x v="2"/>
    <x v="2"/>
  </r>
  <r>
    <x v="314"/>
    <n v="-30.98"/>
    <x v="713"/>
    <n v="460.18"/>
    <s v="Complete Access"/>
    <x v="5"/>
    <x v="3"/>
    <x v="3"/>
    <d v="1900-01-29T00:00:00"/>
    <n v="52"/>
    <x v="2"/>
    <x v="2"/>
  </r>
  <r>
    <x v="315"/>
    <n v="9.5"/>
    <x v="714"/>
    <n v="491.16"/>
    <s v="Complete Access"/>
    <x v="36"/>
    <x v="0"/>
    <x v="0"/>
    <d v="1900-01-28T00:00:00"/>
    <n v="52"/>
    <x v="2"/>
    <x v="2"/>
  </r>
  <r>
    <x v="315"/>
    <n v="-56.2"/>
    <x v="715"/>
    <n v="481.66"/>
    <s v="Complete Access"/>
    <x v="205"/>
    <x v="11"/>
    <x v="49"/>
    <d v="1900-01-28T00:00:00"/>
    <n v="52"/>
    <x v="2"/>
    <x v="2"/>
  </r>
  <r>
    <x v="315"/>
    <n v="-40"/>
    <x v="716"/>
    <n v="537.86"/>
    <s v="Complete Access"/>
    <x v="260"/>
    <x v="1"/>
    <x v="5"/>
    <d v="1900-01-28T00:00:00"/>
    <n v="52"/>
    <x v="2"/>
    <x v="2"/>
  </r>
  <r>
    <x v="316"/>
    <n v="-41.14"/>
    <x v="717"/>
    <n v="622.52"/>
    <s v="Complete Access"/>
    <x v="8"/>
    <x v="1"/>
    <x v="5"/>
    <d v="1900-01-27T00:00:00"/>
    <n v="52"/>
    <x v="2"/>
    <x v="2"/>
  </r>
  <r>
    <x v="316"/>
    <n v="-156.94999999999999"/>
    <x v="718"/>
    <n v="670.46"/>
    <s v="Complete Access"/>
    <x v="266"/>
    <x v="3"/>
    <x v="62"/>
    <d v="1900-01-27T00:00:00"/>
    <n v="52"/>
    <x v="2"/>
    <x v="2"/>
  </r>
  <r>
    <x v="316"/>
    <n v="-14.67"/>
    <x v="719"/>
    <n v="607.85"/>
    <s v="Complete Access"/>
    <x v="267"/>
    <x v="1"/>
    <x v="1"/>
    <d v="1900-01-27T00:00:00"/>
    <n v="52"/>
    <x v="2"/>
    <x v="2"/>
  </r>
  <r>
    <x v="316"/>
    <n v="-6.8"/>
    <x v="720"/>
    <n v="663.66"/>
    <s v="Complete Access"/>
    <x v="44"/>
    <x v="4"/>
    <x v="27"/>
    <d v="1900-01-27T00:00:00"/>
    <n v="52"/>
    <x v="2"/>
    <x v="2"/>
  </r>
  <r>
    <x v="316"/>
    <n v="-29.99"/>
    <x v="721"/>
    <n v="577.86"/>
    <s v="Complete Access"/>
    <x v="228"/>
    <x v="4"/>
    <x v="7"/>
    <d v="1900-01-27T00:00:00"/>
    <n v="52"/>
    <x v="2"/>
    <x v="2"/>
  </r>
  <r>
    <x v="317"/>
    <n v="-2400"/>
    <x v="538"/>
    <n v="827.41"/>
    <s v="Complete Access"/>
    <x v="0"/>
    <x v="0"/>
    <x v="0"/>
    <d v="1900-01-26T00:00:00"/>
    <n v="52"/>
    <x v="2"/>
    <x v="2"/>
  </r>
  <r>
    <x v="317"/>
    <n v="-31.92"/>
    <x v="531"/>
    <n v="3227.41"/>
    <s v="Complete Access"/>
    <x v="215"/>
    <x v="1"/>
    <x v="1"/>
    <d v="1900-01-26T00:00:00"/>
    <n v="52"/>
    <x v="2"/>
    <x v="2"/>
  </r>
  <r>
    <x v="317"/>
    <n v="2400"/>
    <x v="702"/>
    <n v="45008.86"/>
    <s v="Netbank Saver"/>
    <x v="36"/>
    <x v="0"/>
    <x v="0"/>
    <d v="1900-01-26T00:00:00"/>
    <n v="52"/>
    <x v="2"/>
    <x v="2"/>
  </r>
  <r>
    <x v="318"/>
    <n v="-31.74"/>
    <x v="578"/>
    <n v="3259.33"/>
    <s v="Complete Access"/>
    <x v="177"/>
    <x v="1"/>
    <x v="1"/>
    <d v="1900-01-25T00:00:00"/>
    <n v="52"/>
    <x v="2"/>
    <x v="2"/>
  </r>
  <r>
    <x v="319"/>
    <n v="-29.99"/>
    <x v="616"/>
    <n v="3291.07"/>
    <s v="Complete Access"/>
    <x v="228"/>
    <x v="4"/>
    <x v="7"/>
    <d v="1900-01-23T00:00:00"/>
    <n v="52"/>
    <x v="2"/>
    <x v="2"/>
  </r>
  <r>
    <x v="320"/>
    <n v="-24"/>
    <x v="722"/>
    <n v="3323.06"/>
    <s v="Complete Access"/>
    <x v="90"/>
    <x v="8"/>
    <x v="29"/>
    <d v="1900-01-22T00:00:00"/>
    <n v="51"/>
    <x v="2"/>
    <x v="2"/>
  </r>
  <r>
    <x v="320"/>
    <n v="429"/>
    <x v="723"/>
    <n v="3347.06"/>
    <s v="Complete Access"/>
    <x v="206"/>
    <x v="13"/>
    <x v="50"/>
    <d v="1900-01-22T00:00:00"/>
    <n v="51"/>
    <x v="2"/>
    <x v="2"/>
  </r>
  <r>
    <x v="320"/>
    <n v="-2"/>
    <x v="724"/>
    <n v="3321.06"/>
    <s v="Complete Access"/>
    <x v="268"/>
    <x v="10"/>
    <x v="13"/>
    <d v="1900-01-22T00:00:00"/>
    <n v="51"/>
    <x v="2"/>
    <x v="2"/>
  </r>
  <r>
    <x v="320"/>
    <n v="-33.950000000000003"/>
    <x v="725"/>
    <n v="2918.06"/>
    <s v="Complete Access"/>
    <x v="104"/>
    <x v="1"/>
    <x v="5"/>
    <d v="1900-01-22T00:00:00"/>
    <n v="51"/>
    <x v="2"/>
    <x v="2"/>
  </r>
  <r>
    <x v="321"/>
    <n v="-34.020000000000003"/>
    <x v="533"/>
    <n v="3280.01"/>
    <s v="Complete Access"/>
    <x v="215"/>
    <x v="1"/>
    <x v="1"/>
    <d v="1900-01-21T00:00:00"/>
    <n v="51"/>
    <x v="2"/>
    <x v="2"/>
  </r>
  <r>
    <x v="321"/>
    <n v="150"/>
    <x v="726"/>
    <n v="2952.01"/>
    <s v="Complete Access"/>
    <x v="36"/>
    <x v="0"/>
    <x v="0"/>
    <d v="1900-01-21T00:00:00"/>
    <n v="51"/>
    <x v="2"/>
    <x v="2"/>
  </r>
  <r>
    <x v="321"/>
    <n v="-478"/>
    <x v="727"/>
    <n v="2802.01"/>
    <s v="Complete Access"/>
    <x v="206"/>
    <x v="13"/>
    <x v="50"/>
    <d v="1900-01-21T00:00:00"/>
    <n v="51"/>
    <x v="2"/>
    <x v="2"/>
  </r>
  <r>
    <x v="321"/>
    <n v="-39.5"/>
    <x v="561"/>
    <n v="3314.03"/>
    <s v="Complete Access"/>
    <x v="223"/>
    <x v="7"/>
    <x v="53"/>
    <d v="1900-01-21T00:00:00"/>
    <n v="51"/>
    <x v="2"/>
    <x v="2"/>
  </r>
  <r>
    <x v="322"/>
    <n v="2348.84"/>
    <x v="728"/>
    <n v="3931.87"/>
    <s v="Complete Access"/>
    <x v="14"/>
    <x v="6"/>
    <x v="9"/>
    <d v="1900-01-20T00:00:00"/>
    <n v="51"/>
    <x v="2"/>
    <x v="2"/>
  </r>
  <r>
    <x v="322"/>
    <n v="-11.35"/>
    <x v="454"/>
    <n v="3353.53"/>
    <s v="Complete Access"/>
    <x v="9"/>
    <x v="4"/>
    <x v="6"/>
    <d v="1900-01-20T00:00:00"/>
    <n v="51"/>
    <x v="2"/>
    <x v="2"/>
  </r>
  <r>
    <x v="322"/>
    <n v="-66.989999999999995"/>
    <x v="729"/>
    <n v="3364.88"/>
    <s v="Complete Access"/>
    <x v="1"/>
    <x v="1"/>
    <x v="1"/>
    <d v="1900-01-20T00:00:00"/>
    <n v="51"/>
    <x v="2"/>
    <x v="2"/>
  </r>
  <r>
    <x v="322"/>
    <n v="-500"/>
    <x v="656"/>
    <n v="3431.87"/>
    <s v="Complete Access"/>
    <x v="13"/>
    <x v="0"/>
    <x v="0"/>
    <d v="1900-01-20T00:00:00"/>
    <n v="51"/>
    <x v="2"/>
    <x v="2"/>
  </r>
  <r>
    <x v="323"/>
    <n v="-7"/>
    <x v="517"/>
    <n v="1583.03"/>
    <s v="Complete Access"/>
    <x v="34"/>
    <x v="9"/>
    <x v="12"/>
    <d v="1900-01-19T00:00:00"/>
    <n v="51"/>
    <x v="2"/>
    <x v="2"/>
  </r>
  <r>
    <x v="324"/>
    <n v="-41.12"/>
    <x v="730"/>
    <n v="1746.49"/>
    <s v="Complete Access"/>
    <x v="61"/>
    <x v="1"/>
    <x v="1"/>
    <d v="1900-01-18T00:00:00"/>
    <n v="51"/>
    <x v="2"/>
    <x v="2"/>
  </r>
  <r>
    <x v="324"/>
    <n v="-33.880000000000003"/>
    <x v="731"/>
    <n v="1643.61"/>
    <s v="Complete Access"/>
    <x v="8"/>
    <x v="1"/>
    <x v="5"/>
    <d v="1900-01-18T00:00:00"/>
    <n v="51"/>
    <x v="2"/>
    <x v="2"/>
  </r>
  <r>
    <x v="324"/>
    <n v="-22.14"/>
    <x v="732"/>
    <n v="1590.03"/>
    <s v="Complete Access"/>
    <x v="49"/>
    <x v="8"/>
    <x v="29"/>
    <d v="1900-01-18T00:00:00"/>
    <n v="51"/>
    <x v="2"/>
    <x v="2"/>
  </r>
  <r>
    <x v="324"/>
    <n v="-31.44"/>
    <x v="732"/>
    <n v="1612.17"/>
    <s v="Complete Access"/>
    <x v="49"/>
    <x v="8"/>
    <x v="29"/>
    <d v="1900-01-18T00:00:00"/>
    <n v="51"/>
    <x v="2"/>
    <x v="2"/>
  </r>
  <r>
    <x v="324"/>
    <n v="-69"/>
    <x v="733"/>
    <n v="1677.49"/>
    <s v="Complete Access"/>
    <x v="207"/>
    <x v="7"/>
    <x v="11"/>
    <d v="1900-01-18T00:00:00"/>
    <n v="51"/>
    <x v="2"/>
    <x v="2"/>
  </r>
  <r>
    <x v="324"/>
    <n v="-39.299999999999997"/>
    <x v="734"/>
    <n v="1787.61"/>
    <s v="Complete Access"/>
    <x v="269"/>
    <x v="1"/>
    <x v="1"/>
    <d v="1900-01-18T00:00:00"/>
    <n v="51"/>
    <x v="2"/>
    <x v="2"/>
  </r>
  <r>
    <x v="325"/>
    <n v="-2.5"/>
    <x v="532"/>
    <n v="1826.91"/>
    <s v="Complete Access"/>
    <x v="1"/>
    <x v="1"/>
    <x v="1"/>
    <d v="1900-01-17T00:00:00"/>
    <n v="51"/>
    <x v="2"/>
    <x v="2"/>
  </r>
  <r>
    <x v="326"/>
    <n v="-1.86"/>
    <x v="709"/>
    <n v="1829.41"/>
    <s v="Complete Access"/>
    <x v="21"/>
    <x v="10"/>
    <x v="13"/>
    <d v="1900-01-15T00:00:00"/>
    <n v="50"/>
    <x v="2"/>
    <x v="2"/>
  </r>
  <r>
    <x v="327"/>
    <n v="-10.86"/>
    <x v="735"/>
    <n v="1831.27"/>
    <s v="Complete Access"/>
    <x v="270"/>
    <x v="8"/>
    <x v="29"/>
    <d v="1900-01-14T00:00:00"/>
    <n v="50"/>
    <x v="2"/>
    <x v="2"/>
  </r>
  <r>
    <x v="328"/>
    <n v="-30.6"/>
    <x v="736"/>
    <n v="1842.13"/>
    <s v="Complete Access"/>
    <x v="271"/>
    <x v="8"/>
    <x v="29"/>
    <d v="1900-01-13T00:00:00"/>
    <n v="50"/>
    <x v="2"/>
    <x v="2"/>
  </r>
  <r>
    <x v="329"/>
    <n v="-22.13"/>
    <x v="670"/>
    <n v="1872.73"/>
    <s v="Complete Access"/>
    <x v="252"/>
    <x v="1"/>
    <x v="5"/>
    <d v="1900-01-12T00:00:00"/>
    <n v="50"/>
    <x v="2"/>
    <x v="2"/>
  </r>
  <r>
    <x v="329"/>
    <n v="-30.58"/>
    <x v="737"/>
    <n v="1894.86"/>
    <s v="Complete Access"/>
    <x v="272"/>
    <x v="15"/>
    <x v="34"/>
    <d v="1900-01-12T00:00:00"/>
    <n v="50"/>
    <x v="2"/>
    <x v="2"/>
  </r>
  <r>
    <x v="330"/>
    <n v="-38.270000000000003"/>
    <x v="738"/>
    <n v="1925.44"/>
    <s v="Complete Access"/>
    <x v="270"/>
    <x v="8"/>
    <x v="29"/>
    <d v="1900-01-11T00:00:00"/>
    <n v="50"/>
    <x v="2"/>
    <x v="2"/>
  </r>
  <r>
    <x v="330"/>
    <n v="-30.24"/>
    <x v="739"/>
    <n v="1996.13"/>
    <s v="Complete Access"/>
    <x v="104"/>
    <x v="1"/>
    <x v="5"/>
    <d v="1900-01-11T00:00:00"/>
    <n v="50"/>
    <x v="2"/>
    <x v="2"/>
  </r>
  <r>
    <x v="330"/>
    <n v="-32.51"/>
    <x v="740"/>
    <n v="2026.37"/>
    <s v="Complete Access"/>
    <x v="104"/>
    <x v="1"/>
    <x v="5"/>
    <d v="1900-01-11T00:00:00"/>
    <n v="50"/>
    <x v="2"/>
    <x v="2"/>
  </r>
  <r>
    <x v="330"/>
    <n v="-1.5"/>
    <x v="741"/>
    <n v="1963.71"/>
    <s v="Complete Access"/>
    <x v="34"/>
    <x v="9"/>
    <x v="12"/>
    <d v="1900-01-11T00:00:00"/>
    <n v="50"/>
    <x v="2"/>
    <x v="2"/>
  </r>
  <r>
    <x v="330"/>
    <n v="-30.92"/>
    <x v="741"/>
    <n v="1965.21"/>
    <s v="Complete Access"/>
    <x v="34"/>
    <x v="9"/>
    <x v="12"/>
    <d v="1900-01-11T00:00:00"/>
    <n v="50"/>
    <x v="2"/>
    <x v="2"/>
  </r>
  <r>
    <x v="331"/>
    <n v="-30"/>
    <x v="742"/>
    <n v="2109.34"/>
    <s v="Complete Access"/>
    <x v="29"/>
    <x v="4"/>
    <x v="19"/>
    <d v="1900-01-08T00:00:00"/>
    <n v="49"/>
    <x v="2"/>
    <x v="2"/>
  </r>
  <r>
    <x v="331"/>
    <n v="-50.46"/>
    <x v="532"/>
    <n v="2058.88"/>
    <s v="Complete Access"/>
    <x v="1"/>
    <x v="1"/>
    <x v="1"/>
    <d v="1900-01-08T00:00:00"/>
    <n v="49"/>
    <x v="2"/>
    <x v="2"/>
  </r>
  <r>
    <x v="332"/>
    <n v="-6"/>
    <x v="743"/>
    <n v="2139.34"/>
    <s v="Complete Access"/>
    <x v="218"/>
    <x v="8"/>
    <x v="29"/>
    <d v="1900-01-07T00:00:00"/>
    <n v="49"/>
    <x v="2"/>
    <x v="2"/>
  </r>
  <r>
    <x v="332"/>
    <n v="-6"/>
    <x v="743"/>
    <n v="2145.34"/>
    <s v="Complete Access"/>
    <x v="218"/>
    <x v="8"/>
    <x v="29"/>
    <d v="1900-01-07T00:00:00"/>
    <n v="49"/>
    <x v="2"/>
    <x v="2"/>
  </r>
  <r>
    <x v="333"/>
    <n v="-27.2"/>
    <x v="744"/>
    <n v="2662.69"/>
    <s v="Complete Access"/>
    <x v="49"/>
    <x v="8"/>
    <x v="29"/>
    <d v="1900-01-06T00:00:00"/>
    <n v="49"/>
    <x v="2"/>
    <x v="2"/>
  </r>
  <r>
    <x v="333"/>
    <n v="2348.84"/>
    <x v="745"/>
    <n v="2689.89"/>
    <s v="Complete Access"/>
    <x v="14"/>
    <x v="6"/>
    <x v="9"/>
    <d v="1900-01-06T00:00:00"/>
    <n v="49"/>
    <x v="2"/>
    <x v="2"/>
  </r>
  <r>
    <x v="333"/>
    <n v="-11.35"/>
    <x v="454"/>
    <n v="2151.34"/>
    <s v="Complete Access"/>
    <x v="9"/>
    <x v="4"/>
    <x v="6"/>
    <d v="1900-01-06T00:00:00"/>
    <n v="49"/>
    <x v="2"/>
    <x v="2"/>
  </r>
  <r>
    <x v="333"/>
    <n v="-500"/>
    <x v="656"/>
    <n v="2162.69"/>
    <s v="Complete Access"/>
    <x v="13"/>
    <x v="0"/>
    <x v="0"/>
    <d v="1900-01-06T00:00:00"/>
    <n v="49"/>
    <x v="2"/>
    <x v="2"/>
  </r>
  <r>
    <x v="334"/>
    <n v="-29.14"/>
    <x v="531"/>
    <n v="341.05"/>
    <s v="Complete Access"/>
    <x v="215"/>
    <x v="1"/>
    <x v="1"/>
    <d v="1900-01-05T00:00:00"/>
    <n v="49"/>
    <x v="2"/>
    <x v="2"/>
  </r>
  <r>
    <x v="334"/>
    <n v="-223"/>
    <x v="746"/>
    <n v="370.19"/>
    <s v="Complete Access"/>
    <x v="5"/>
    <x v="3"/>
    <x v="3"/>
    <d v="1900-01-05T00:00:00"/>
    <n v="49"/>
    <x v="2"/>
    <x v="2"/>
  </r>
  <r>
    <x v="335"/>
    <n v="-40"/>
    <x v="747"/>
    <n v="888.15"/>
    <s v="Complete Access"/>
    <x v="12"/>
    <x v="5"/>
    <x v="8"/>
    <d v="1900-01-04T00:00:00"/>
    <n v="49"/>
    <x v="2"/>
    <x v="2"/>
  </r>
  <r>
    <x v="335"/>
    <n v="-18.3"/>
    <x v="748"/>
    <n v="796.31"/>
    <s v="Complete Access"/>
    <x v="273"/>
    <x v="1"/>
    <x v="5"/>
    <d v="1900-01-04T00:00:00"/>
    <n v="49"/>
    <x v="2"/>
    <x v="2"/>
  </r>
  <r>
    <x v="335"/>
    <n v="-43.11"/>
    <x v="749"/>
    <n v="609.69000000000005"/>
    <s v="Complete Access"/>
    <x v="259"/>
    <x v="1"/>
    <x v="5"/>
    <d v="1900-01-04T00:00:00"/>
    <n v="49"/>
    <x v="2"/>
    <x v="2"/>
  </r>
  <r>
    <x v="335"/>
    <n v="-34.340000000000003"/>
    <x v="750"/>
    <n v="814.61"/>
    <s v="Complete Access"/>
    <x v="274"/>
    <x v="1"/>
    <x v="5"/>
    <d v="1900-01-04T00:00:00"/>
    <n v="49"/>
    <x v="2"/>
    <x v="2"/>
  </r>
  <r>
    <x v="335"/>
    <n v="-16.5"/>
    <x v="8"/>
    <n v="593.19000000000005"/>
    <s v="Complete Access"/>
    <x v="7"/>
    <x v="1"/>
    <x v="5"/>
    <d v="1900-01-04T00:00:00"/>
    <n v="49"/>
    <x v="2"/>
    <x v="2"/>
  </r>
  <r>
    <x v="335"/>
    <n v="-63.47"/>
    <x v="751"/>
    <n v="732.84"/>
    <s v="Complete Access"/>
    <x v="15"/>
    <x v="4"/>
    <x v="10"/>
    <d v="1900-01-04T00:00:00"/>
    <n v="49"/>
    <x v="2"/>
    <x v="2"/>
  </r>
  <r>
    <x v="335"/>
    <n v="-39.200000000000003"/>
    <x v="752"/>
    <n v="848.95"/>
    <s v="Complete Access"/>
    <x v="104"/>
    <x v="1"/>
    <x v="5"/>
    <d v="1900-01-04T00:00:00"/>
    <n v="49"/>
    <x v="2"/>
    <x v="2"/>
  </r>
  <r>
    <x v="335"/>
    <n v="-34.72"/>
    <x v="753"/>
    <n v="652.79999999999995"/>
    <s v="Complete Access"/>
    <x v="104"/>
    <x v="1"/>
    <x v="5"/>
    <d v="1900-01-04T00:00:00"/>
    <n v="49"/>
    <x v="2"/>
    <x v="2"/>
  </r>
  <r>
    <x v="335"/>
    <n v="-45.32"/>
    <x v="754"/>
    <n v="687.52"/>
    <s v="Complete Access"/>
    <x v="34"/>
    <x v="9"/>
    <x v="12"/>
    <d v="1900-01-04T00:00:00"/>
    <n v="49"/>
    <x v="2"/>
    <x v="2"/>
  </r>
  <r>
    <x v="336"/>
    <n v="300"/>
    <x v="755"/>
    <n v="928.15"/>
    <s v="Complete Access"/>
    <x v="36"/>
    <x v="0"/>
    <x v="0"/>
    <d v="1900-01-03T00:00:00"/>
    <n v="49"/>
    <x v="2"/>
    <x v="2"/>
  </r>
  <r>
    <x v="337"/>
    <n v="150"/>
    <x v="370"/>
    <n v="628.15"/>
    <s v="Complete Access"/>
    <x v="36"/>
    <x v="0"/>
    <x v="0"/>
    <d v="1900-01-02T00:00:00"/>
    <n v="49"/>
    <x v="2"/>
    <x v="2"/>
  </r>
  <r>
    <x v="337"/>
    <n v="-150"/>
    <x v="581"/>
    <n v="42608.86"/>
    <s v="Netbank Saver"/>
    <x v="0"/>
    <x v="0"/>
    <x v="0"/>
    <d v="1900-01-02T00:00:00"/>
    <n v="49"/>
    <x v="2"/>
    <x v="2"/>
  </r>
  <r>
    <x v="338"/>
    <n v="-149.9"/>
    <x v="756"/>
    <n v="397.65"/>
    <s v="Complete Access"/>
    <x v="256"/>
    <x v="4"/>
    <x v="47"/>
    <d v="1900-01-01T00:00:00"/>
    <n v="48"/>
    <x v="2"/>
    <x v="2"/>
  </r>
  <r>
    <x v="338"/>
    <n v="100"/>
    <x v="370"/>
    <n v="493.15"/>
    <s v="Complete Access"/>
    <x v="36"/>
    <x v="0"/>
    <x v="0"/>
    <d v="1900-01-01T00:00:00"/>
    <n v="48"/>
    <x v="2"/>
    <x v="2"/>
  </r>
  <r>
    <x v="338"/>
    <n v="250"/>
    <x v="370"/>
    <n v="547.54999999999995"/>
    <s v="Complete Access"/>
    <x v="36"/>
    <x v="0"/>
    <x v="0"/>
    <d v="1900-01-01T00:00:00"/>
    <n v="48"/>
    <x v="2"/>
    <x v="2"/>
  </r>
  <r>
    <x v="338"/>
    <n v="-15"/>
    <x v="757"/>
    <n v="478.15"/>
    <s v="Complete Access"/>
    <x v="263"/>
    <x v="0"/>
    <x v="0"/>
    <d v="1900-01-01T00:00:00"/>
    <n v="48"/>
    <x v="2"/>
    <x v="2"/>
  </r>
  <r>
    <x v="338"/>
    <n v="-4.5"/>
    <x v="758"/>
    <n v="393.15"/>
    <s v="Complete Access"/>
    <x v="10"/>
    <x v="0"/>
    <x v="0"/>
    <d v="1900-01-01T00:00:00"/>
    <n v="48"/>
    <x v="2"/>
    <x v="2"/>
  </r>
  <r>
    <x v="338"/>
    <n v="-250"/>
    <x v="581"/>
    <n v="42858.86"/>
    <s v="Netbank Saver"/>
    <x v="0"/>
    <x v="0"/>
    <x v="0"/>
    <d v="1900-01-01T00:00:00"/>
    <n v="48"/>
    <x v="2"/>
    <x v="2"/>
  </r>
  <r>
    <x v="338"/>
    <n v="-100"/>
    <x v="581"/>
    <n v="42758.86"/>
    <s v="Netbank Saver"/>
    <x v="0"/>
    <x v="0"/>
    <x v="0"/>
    <d v="1900-01-01T00:00:00"/>
    <n v="48"/>
    <x v="2"/>
    <x v="2"/>
  </r>
  <r>
    <x v="339"/>
    <n v="-17"/>
    <x v="759"/>
    <n v="465.8"/>
    <s v="Complete Access"/>
    <x v="259"/>
    <x v="1"/>
    <x v="5"/>
    <d v="1899-12-31T00:00:00"/>
    <n v="48"/>
    <x v="2"/>
    <x v="2"/>
  </r>
  <r>
    <x v="339"/>
    <n v="26.8"/>
    <x v="760"/>
    <n v="492.6"/>
    <s v="Complete Access"/>
    <x v="36"/>
    <x v="0"/>
    <x v="0"/>
    <d v="1899-12-31T00:00:00"/>
    <n v="48"/>
    <x v="2"/>
    <x v="2"/>
  </r>
  <r>
    <x v="339"/>
    <n v="-195.05"/>
    <x v="761"/>
    <n v="297.55"/>
    <s v="Complete Access"/>
    <x v="76"/>
    <x v="2"/>
    <x v="2"/>
    <d v="1899-12-31T00:00:00"/>
    <n v="48"/>
    <x v="2"/>
    <x v="2"/>
  </r>
  <r>
    <x v="339"/>
    <n v="84.27"/>
    <x v="609"/>
    <n v="43108.86"/>
    <s v="Netbank Saver"/>
    <x v="240"/>
    <x v="0"/>
    <x v="55"/>
    <d v="1899-12-31T00:00:00"/>
    <n v="48"/>
    <x v="2"/>
    <x v="2"/>
  </r>
  <r>
    <x v="340"/>
    <n v="0.02"/>
    <x v="762"/>
    <n v="482.8"/>
    <s v="Complete Access"/>
    <x v="275"/>
    <x v="0"/>
    <x v="0"/>
    <d v="1900-01-29T00:00:00"/>
    <n v="48"/>
    <x v="3"/>
    <x v="2"/>
  </r>
  <r>
    <x v="341"/>
    <n v="-18.350000000000001"/>
    <x v="532"/>
    <n v="482.78"/>
    <s v="Complete Access"/>
    <x v="1"/>
    <x v="1"/>
    <x v="1"/>
    <d v="1900-01-28T00:00:00"/>
    <n v="48"/>
    <x v="3"/>
    <x v="2"/>
  </r>
  <r>
    <x v="342"/>
    <n v="-19.82"/>
    <x v="763"/>
    <n v="531.12"/>
    <s v="Complete Access"/>
    <x v="276"/>
    <x v="1"/>
    <x v="5"/>
    <d v="1900-01-27T00:00:00"/>
    <n v="48"/>
    <x v="3"/>
    <x v="2"/>
  </r>
  <r>
    <x v="342"/>
    <n v="-16"/>
    <x v="8"/>
    <n v="550.94000000000005"/>
    <s v="Complete Access"/>
    <x v="7"/>
    <x v="1"/>
    <x v="5"/>
    <d v="1900-01-27T00:00:00"/>
    <n v="48"/>
    <x v="3"/>
    <x v="2"/>
  </r>
  <r>
    <x v="342"/>
    <n v="-29.99"/>
    <x v="764"/>
    <n v="501.13"/>
    <s v="Complete Access"/>
    <x v="228"/>
    <x v="4"/>
    <x v="7"/>
    <d v="1900-01-27T00:00:00"/>
    <n v="48"/>
    <x v="3"/>
    <x v="2"/>
  </r>
  <r>
    <x v="343"/>
    <n v="-4.5"/>
    <x v="621"/>
    <n v="566.94000000000005"/>
    <s v="Complete Access"/>
    <x v="220"/>
    <x v="1"/>
    <x v="5"/>
    <d v="1900-01-26T00:00:00"/>
    <n v="48"/>
    <x v="3"/>
    <x v="2"/>
  </r>
  <r>
    <x v="343"/>
    <n v="-16.5"/>
    <x v="8"/>
    <n v="571.44000000000005"/>
    <s v="Complete Access"/>
    <x v="7"/>
    <x v="1"/>
    <x v="5"/>
    <d v="1900-01-26T00:00:00"/>
    <n v="48"/>
    <x v="3"/>
    <x v="2"/>
  </r>
  <r>
    <x v="344"/>
    <n v="-22.5"/>
    <x v="765"/>
    <n v="587.94000000000005"/>
    <s v="Complete Access"/>
    <x v="0"/>
    <x v="0"/>
    <x v="0"/>
    <d v="1900-01-25T00:00:00"/>
    <n v="48"/>
    <x v="3"/>
    <x v="2"/>
  </r>
  <r>
    <x v="345"/>
    <n v="-45.05"/>
    <x v="405"/>
    <n v="610.44000000000005"/>
    <s v="Complete Access"/>
    <x v="177"/>
    <x v="1"/>
    <x v="1"/>
    <d v="1900-01-24T00:00:00"/>
    <n v="47"/>
    <x v="3"/>
    <x v="2"/>
  </r>
  <r>
    <x v="346"/>
    <n v="-2200"/>
    <x v="538"/>
    <n v="655.49"/>
    <s v="Complete Access"/>
    <x v="0"/>
    <x v="0"/>
    <x v="0"/>
    <d v="1900-01-23T00:00:00"/>
    <n v="47"/>
    <x v="3"/>
    <x v="2"/>
  </r>
  <r>
    <x v="346"/>
    <n v="-3.6"/>
    <x v="766"/>
    <n v="2855.49"/>
    <s v="Complete Access"/>
    <x v="188"/>
    <x v="1"/>
    <x v="1"/>
    <d v="1900-01-23T00:00:00"/>
    <n v="47"/>
    <x v="3"/>
    <x v="2"/>
  </r>
  <r>
    <x v="346"/>
    <n v="-29.99"/>
    <x v="767"/>
    <n v="2859.09"/>
    <s v="Complete Access"/>
    <x v="228"/>
    <x v="4"/>
    <x v="7"/>
    <d v="1900-01-23T00:00:00"/>
    <n v="47"/>
    <x v="3"/>
    <x v="2"/>
  </r>
  <r>
    <x v="346"/>
    <n v="2200"/>
    <x v="702"/>
    <n v="43024.59"/>
    <s v="Netbank Saver"/>
    <x v="36"/>
    <x v="0"/>
    <x v="0"/>
    <d v="1900-01-23T00:00:00"/>
    <n v="47"/>
    <x v="3"/>
    <x v="2"/>
  </r>
  <r>
    <x v="347"/>
    <n v="-3.3"/>
    <x v="768"/>
    <n v="3119.53"/>
    <s v="Complete Access"/>
    <x v="188"/>
    <x v="1"/>
    <x v="1"/>
    <d v="1900-01-22T00:00:00"/>
    <n v="47"/>
    <x v="3"/>
    <x v="2"/>
  </r>
  <r>
    <x v="347"/>
    <n v="3303.84"/>
    <x v="769"/>
    <n v="3622.83"/>
    <s v="Complete Access"/>
    <x v="14"/>
    <x v="6"/>
    <x v="9"/>
    <d v="1900-01-22T00:00:00"/>
    <n v="47"/>
    <x v="3"/>
    <x v="2"/>
  </r>
  <r>
    <x v="347"/>
    <n v="-11.35"/>
    <x v="454"/>
    <n v="3098.28"/>
    <s v="Complete Access"/>
    <x v="9"/>
    <x v="4"/>
    <x v="6"/>
    <d v="1900-01-22T00:00:00"/>
    <n v="47"/>
    <x v="3"/>
    <x v="2"/>
  </r>
  <r>
    <x v="347"/>
    <n v="-9.9"/>
    <x v="770"/>
    <n v="3109.63"/>
    <s v="Complete Access"/>
    <x v="277"/>
    <x v="8"/>
    <x v="29"/>
    <d v="1900-01-22T00:00:00"/>
    <n v="47"/>
    <x v="3"/>
    <x v="2"/>
  </r>
  <r>
    <x v="347"/>
    <n v="-500"/>
    <x v="656"/>
    <n v="3122.83"/>
    <s v="Complete Access"/>
    <x v="13"/>
    <x v="0"/>
    <x v="0"/>
    <d v="1900-01-22T00:00:00"/>
    <n v="47"/>
    <x v="3"/>
    <x v="2"/>
  </r>
  <r>
    <x v="347"/>
    <n v="-209.2"/>
    <x v="771"/>
    <n v="2889.08"/>
    <s v="Complete Access"/>
    <x v="0"/>
    <x v="0"/>
    <x v="0"/>
    <d v="1900-01-22T00:00:00"/>
    <n v="47"/>
    <x v="3"/>
    <x v="2"/>
  </r>
  <r>
    <x v="348"/>
    <n v="-84.96"/>
    <x v="772"/>
    <n v="318.99"/>
    <s v="Complete Access"/>
    <x v="278"/>
    <x v="20"/>
    <x v="63"/>
    <d v="1900-01-21T00:00:00"/>
    <n v="47"/>
    <x v="3"/>
    <x v="2"/>
  </r>
  <r>
    <x v="348"/>
    <n v="-40"/>
    <x v="773"/>
    <n v="424.45"/>
    <s v="Complete Access"/>
    <x v="12"/>
    <x v="5"/>
    <x v="8"/>
    <d v="1900-01-21T00:00:00"/>
    <n v="47"/>
    <x v="3"/>
    <x v="2"/>
  </r>
  <r>
    <x v="348"/>
    <n v="-20.5"/>
    <x v="18"/>
    <n v="403.95"/>
    <s v="Complete Access"/>
    <x v="16"/>
    <x v="1"/>
    <x v="5"/>
    <d v="1900-01-21T00:00:00"/>
    <n v="47"/>
    <x v="3"/>
    <x v="2"/>
  </r>
  <r>
    <x v="348"/>
    <n v="-39.5"/>
    <x v="561"/>
    <n v="464.45"/>
    <s v="Complete Access"/>
    <x v="223"/>
    <x v="7"/>
    <x v="53"/>
    <d v="1900-01-21T00:00:00"/>
    <n v="47"/>
    <x v="3"/>
    <x v="2"/>
  </r>
  <r>
    <x v="349"/>
    <n v="-39.840000000000003"/>
    <x v="774"/>
    <n v="1301.21"/>
    <s v="Complete Access"/>
    <x v="8"/>
    <x v="1"/>
    <x v="5"/>
    <d v="1900-01-20T00:00:00"/>
    <n v="47"/>
    <x v="3"/>
    <x v="2"/>
  </r>
  <r>
    <x v="349"/>
    <n v="-38.57"/>
    <x v="775"/>
    <n v="1262.6400000000001"/>
    <s v="Complete Access"/>
    <x v="279"/>
    <x v="8"/>
    <x v="29"/>
    <d v="1900-01-20T00:00:00"/>
    <n v="47"/>
    <x v="3"/>
    <x v="2"/>
  </r>
  <r>
    <x v="349"/>
    <n v="-150"/>
    <x v="776"/>
    <n v="1112.6400000000001"/>
    <s v="Complete Access"/>
    <x v="1"/>
    <x v="1"/>
    <x v="1"/>
    <d v="1900-01-20T00:00:00"/>
    <n v="47"/>
    <x v="3"/>
    <x v="2"/>
  </r>
  <r>
    <x v="349"/>
    <n v="-8.69"/>
    <x v="532"/>
    <n v="503.95"/>
    <s v="Complete Access"/>
    <x v="1"/>
    <x v="1"/>
    <x v="1"/>
    <d v="1900-01-20T00:00:00"/>
    <n v="47"/>
    <x v="3"/>
    <x v="2"/>
  </r>
  <r>
    <x v="349"/>
    <n v="600"/>
    <x v="702"/>
    <n v="40824.589999999997"/>
    <s v="Netbank Saver"/>
    <x v="36"/>
    <x v="0"/>
    <x v="0"/>
    <d v="1900-01-20T00:00:00"/>
    <n v="47"/>
    <x v="3"/>
    <x v="2"/>
  </r>
  <r>
    <x v="349"/>
    <n v="-600"/>
    <x v="538"/>
    <n v="512.64"/>
    <s v="Complete Access"/>
    <x v="0"/>
    <x v="0"/>
    <x v="0"/>
    <d v="1900-01-20T00:00:00"/>
    <n v="47"/>
    <x v="3"/>
    <x v="2"/>
  </r>
  <r>
    <x v="350"/>
    <n v="-16.5"/>
    <x v="8"/>
    <n v="1341.05"/>
    <s v="Complete Access"/>
    <x v="7"/>
    <x v="1"/>
    <x v="5"/>
    <d v="1900-01-19T00:00:00"/>
    <n v="47"/>
    <x v="3"/>
    <x v="2"/>
  </r>
  <r>
    <x v="351"/>
    <n v="-18.18"/>
    <x v="777"/>
    <n v="1357.55"/>
    <s v="Complete Access"/>
    <x v="280"/>
    <x v="8"/>
    <x v="29"/>
    <d v="1900-01-17T00:00:00"/>
    <n v="46"/>
    <x v="3"/>
    <x v="2"/>
  </r>
  <r>
    <x v="351"/>
    <n v="-26.26"/>
    <x v="777"/>
    <n v="1375.73"/>
    <s v="Complete Access"/>
    <x v="280"/>
    <x v="8"/>
    <x v="29"/>
    <d v="1900-01-17T00:00:00"/>
    <n v="46"/>
    <x v="3"/>
    <x v="2"/>
  </r>
  <r>
    <x v="351"/>
    <n v="-69"/>
    <x v="778"/>
    <n v="1919.99"/>
    <s v="Complete Access"/>
    <x v="207"/>
    <x v="7"/>
    <x v="11"/>
    <d v="1900-01-17T00:00:00"/>
    <n v="46"/>
    <x v="3"/>
    <x v="2"/>
  </r>
  <r>
    <x v="351"/>
    <n v="-259"/>
    <x v="779"/>
    <n v="1501.99"/>
    <s v="Complete Access"/>
    <x v="281"/>
    <x v="3"/>
    <x v="15"/>
    <d v="1900-01-17T00:00:00"/>
    <n v="46"/>
    <x v="3"/>
    <x v="2"/>
  </r>
  <r>
    <x v="351"/>
    <n v="-159"/>
    <x v="780"/>
    <n v="1760.99"/>
    <s v="Complete Access"/>
    <x v="282"/>
    <x v="3"/>
    <x v="15"/>
    <d v="1900-01-17T00:00:00"/>
    <n v="46"/>
    <x v="3"/>
    <x v="2"/>
  </r>
  <r>
    <x v="351"/>
    <n v="-100"/>
    <x v="781"/>
    <n v="1401.99"/>
    <s v="Complete Access"/>
    <x v="1"/>
    <x v="1"/>
    <x v="1"/>
    <d v="1900-01-17T00:00:00"/>
    <n v="46"/>
    <x v="3"/>
    <x v="2"/>
  </r>
  <r>
    <x v="352"/>
    <n v="-40"/>
    <x v="782"/>
    <n v="2021.44"/>
    <s v="Complete Access"/>
    <x v="130"/>
    <x v="0"/>
    <x v="0"/>
    <d v="1900-01-16T00:00:00"/>
    <n v="46"/>
    <x v="3"/>
    <x v="2"/>
  </r>
  <r>
    <x v="352"/>
    <n v="-14"/>
    <x v="783"/>
    <n v="1988.99"/>
    <s v="Complete Access"/>
    <x v="283"/>
    <x v="1"/>
    <x v="5"/>
    <d v="1900-01-16T00:00:00"/>
    <n v="46"/>
    <x v="3"/>
    <x v="2"/>
  </r>
  <r>
    <x v="352"/>
    <n v="-18.45"/>
    <x v="784"/>
    <n v="2002.99"/>
    <s v="Complete Access"/>
    <x v="284"/>
    <x v="1"/>
    <x v="5"/>
    <d v="1900-01-16T00:00:00"/>
    <n v="46"/>
    <x v="3"/>
    <x v="2"/>
  </r>
  <r>
    <x v="353"/>
    <n v="5.24"/>
    <x v="6"/>
    <n v="2061.44"/>
    <s v="Complete Access"/>
    <x v="6"/>
    <x v="4"/>
    <x v="4"/>
    <d v="1900-01-15T00:00:00"/>
    <n v="46"/>
    <x v="3"/>
    <x v="2"/>
  </r>
  <r>
    <x v="353"/>
    <n v="-81.75"/>
    <x v="785"/>
    <n v="2056.1999999999998"/>
    <s v="Complete Access"/>
    <x v="1"/>
    <x v="1"/>
    <x v="1"/>
    <d v="1900-01-15T00:00:00"/>
    <n v="46"/>
    <x v="3"/>
    <x v="2"/>
  </r>
  <r>
    <x v="354"/>
    <n v="-9.99"/>
    <x v="578"/>
    <n v="2137.9499999999998"/>
    <s v="Complete Access"/>
    <x v="177"/>
    <x v="1"/>
    <x v="1"/>
    <d v="1900-01-14T00:00:00"/>
    <n v="46"/>
    <x v="3"/>
    <x v="2"/>
  </r>
  <r>
    <x v="354"/>
    <n v="-18.93"/>
    <x v="786"/>
    <n v="2147.94"/>
    <s v="Complete Access"/>
    <x v="104"/>
    <x v="1"/>
    <x v="5"/>
    <d v="1900-01-14T00:00:00"/>
    <n v="46"/>
    <x v="3"/>
    <x v="2"/>
  </r>
  <r>
    <x v="355"/>
    <n v="-15.16"/>
    <x v="787"/>
    <n v="2243.71"/>
    <s v="Complete Access"/>
    <x v="8"/>
    <x v="1"/>
    <x v="5"/>
    <d v="1900-01-13T00:00:00"/>
    <n v="46"/>
    <x v="3"/>
    <x v="2"/>
  </r>
  <r>
    <x v="355"/>
    <n v="-40.840000000000003"/>
    <x v="788"/>
    <n v="2182.87"/>
    <s v="Complete Access"/>
    <x v="8"/>
    <x v="1"/>
    <x v="5"/>
    <d v="1900-01-13T00:00:00"/>
    <n v="46"/>
    <x v="3"/>
    <x v="2"/>
  </r>
  <r>
    <x v="355"/>
    <n v="-16"/>
    <x v="8"/>
    <n v="2166.87"/>
    <s v="Complete Access"/>
    <x v="7"/>
    <x v="1"/>
    <x v="5"/>
    <d v="1900-01-13T00:00:00"/>
    <n v="46"/>
    <x v="3"/>
    <x v="2"/>
  </r>
  <r>
    <x v="355"/>
    <n v="-20"/>
    <x v="789"/>
    <n v="2223.71"/>
    <s v="Complete Access"/>
    <x v="15"/>
    <x v="4"/>
    <x v="10"/>
    <d v="1900-01-13T00:00:00"/>
    <n v="46"/>
    <x v="3"/>
    <x v="2"/>
  </r>
  <r>
    <x v="356"/>
    <n v="-22"/>
    <x v="96"/>
    <n v="2258.87"/>
    <s v="Complete Access"/>
    <x v="47"/>
    <x v="1"/>
    <x v="5"/>
    <d v="1900-01-12T00:00:00"/>
    <n v="46"/>
    <x v="3"/>
    <x v="2"/>
  </r>
  <r>
    <x v="357"/>
    <n v="-35.08"/>
    <x v="451"/>
    <n v="2280.87"/>
    <s v="Complete Access"/>
    <x v="190"/>
    <x v="8"/>
    <x v="29"/>
    <d v="1900-01-11T00:00:00"/>
    <n v="46"/>
    <x v="3"/>
    <x v="2"/>
  </r>
  <r>
    <x v="358"/>
    <n v="-39.01"/>
    <x v="405"/>
    <n v="2315.9499999999998"/>
    <s v="Complete Access"/>
    <x v="177"/>
    <x v="1"/>
    <x v="1"/>
    <d v="1900-01-10T00:00:00"/>
    <n v="45"/>
    <x v="3"/>
    <x v="2"/>
  </r>
  <r>
    <x v="359"/>
    <n v="-10.3"/>
    <x v="790"/>
    <n v="1767.96"/>
    <s v="Complete Access"/>
    <x v="285"/>
    <x v="5"/>
    <x v="8"/>
    <d v="1900-01-09T00:00:00"/>
    <n v="45"/>
    <x v="3"/>
    <x v="2"/>
  </r>
  <r>
    <x v="359"/>
    <n v="-10.3"/>
    <x v="790"/>
    <n v="1778.26"/>
    <s v="Complete Access"/>
    <x v="285"/>
    <x v="5"/>
    <x v="8"/>
    <d v="1900-01-09T00:00:00"/>
    <n v="45"/>
    <x v="3"/>
    <x v="2"/>
  </r>
  <r>
    <x v="359"/>
    <n v="600"/>
    <x v="370"/>
    <n v="2354.96"/>
    <s v="Complete Access"/>
    <x v="36"/>
    <x v="0"/>
    <x v="0"/>
    <d v="1900-01-09T00:00:00"/>
    <n v="45"/>
    <x v="3"/>
    <x v="2"/>
  </r>
  <r>
    <x v="359"/>
    <n v="-13"/>
    <x v="791"/>
    <n v="1754.96"/>
    <s v="Complete Access"/>
    <x v="286"/>
    <x v="1"/>
    <x v="5"/>
    <d v="1900-01-09T00:00:00"/>
    <n v="45"/>
    <x v="3"/>
    <x v="2"/>
  </r>
  <r>
    <x v="359"/>
    <n v="-600"/>
    <x v="581"/>
    <n v="40224.589999999997"/>
    <s v="Netbank Saver"/>
    <x v="0"/>
    <x v="0"/>
    <x v="0"/>
    <d v="1900-01-09T00:00:00"/>
    <n v="45"/>
    <x v="3"/>
    <x v="2"/>
  </r>
  <r>
    <x v="360"/>
    <n v="2375.25"/>
    <x v="792"/>
    <n v="2549.91"/>
    <s v="Complete Access"/>
    <x v="14"/>
    <x v="6"/>
    <x v="9"/>
    <d v="1900-01-08T00:00:00"/>
    <n v="45"/>
    <x v="3"/>
    <x v="2"/>
  </r>
  <r>
    <x v="360"/>
    <n v="-11.35"/>
    <x v="454"/>
    <n v="1788.56"/>
    <s v="Complete Access"/>
    <x v="9"/>
    <x v="4"/>
    <x v="6"/>
    <d v="1900-01-08T00:00:00"/>
    <n v="45"/>
    <x v="3"/>
    <x v="2"/>
  </r>
  <r>
    <x v="360"/>
    <n v="-500"/>
    <x v="656"/>
    <n v="1799.91"/>
    <s v="Complete Access"/>
    <x v="13"/>
    <x v="0"/>
    <x v="0"/>
    <d v="1900-01-08T00:00:00"/>
    <n v="45"/>
    <x v="3"/>
    <x v="2"/>
  </r>
  <r>
    <x v="360"/>
    <n v="-250"/>
    <x v="793"/>
    <n v="2299.91"/>
    <s v="Complete Access"/>
    <x v="261"/>
    <x v="19"/>
    <x v="61"/>
    <d v="1900-01-08T00:00:00"/>
    <n v="45"/>
    <x v="3"/>
    <x v="2"/>
  </r>
  <r>
    <x v="361"/>
    <n v="-4.9000000000000004"/>
    <x v="794"/>
    <n v="244.33"/>
    <s v="Complete Access"/>
    <x v="188"/>
    <x v="1"/>
    <x v="1"/>
    <d v="1900-01-07T00:00:00"/>
    <n v="45"/>
    <x v="3"/>
    <x v="2"/>
  </r>
  <r>
    <x v="361"/>
    <n v="-11.9"/>
    <x v="18"/>
    <n v="174.66"/>
    <s v="Complete Access"/>
    <x v="16"/>
    <x v="1"/>
    <x v="5"/>
    <d v="1900-01-07T00:00:00"/>
    <n v="45"/>
    <x v="3"/>
    <x v="2"/>
  </r>
  <r>
    <x v="361"/>
    <n v="-57.77"/>
    <x v="795"/>
    <n v="186.56"/>
    <s v="Complete Access"/>
    <x v="1"/>
    <x v="1"/>
    <x v="1"/>
    <d v="1900-01-07T00:00:00"/>
    <n v="45"/>
    <x v="3"/>
    <x v="2"/>
  </r>
  <r>
    <x v="362"/>
    <n v="-341.09"/>
    <x v="796"/>
    <n v="249.23"/>
    <s v="Complete Access"/>
    <x v="287"/>
    <x v="10"/>
    <x v="13"/>
    <d v="1900-01-06T00:00:00"/>
    <n v="45"/>
    <x v="3"/>
    <x v="2"/>
  </r>
  <r>
    <x v="363"/>
    <n v="-16"/>
    <x v="8"/>
    <n v="590.32000000000005"/>
    <s v="Complete Access"/>
    <x v="7"/>
    <x v="1"/>
    <x v="5"/>
    <d v="1900-01-05T00:00:00"/>
    <n v="45"/>
    <x v="3"/>
    <x v="2"/>
  </r>
  <r>
    <x v="364"/>
    <n v="-39.35"/>
    <x v="578"/>
    <n v="606.32000000000005"/>
    <s v="Complete Access"/>
    <x v="177"/>
    <x v="1"/>
    <x v="1"/>
    <d v="1900-01-03T00:00:00"/>
    <n v="44"/>
    <x v="3"/>
    <x v="2"/>
  </r>
  <r>
    <x v="365"/>
    <n v="500"/>
    <x v="370"/>
    <n v="645.66999999999996"/>
    <s v="Complete Access"/>
    <x v="36"/>
    <x v="0"/>
    <x v="0"/>
    <d v="1900-01-02T00:00:00"/>
    <n v="44"/>
    <x v="3"/>
    <x v="2"/>
  </r>
  <r>
    <x v="365"/>
    <n v="100"/>
    <x v="370"/>
    <n v="470.67"/>
    <s v="Complete Access"/>
    <x v="36"/>
    <x v="0"/>
    <x v="0"/>
    <d v="1900-01-02T00:00:00"/>
    <n v="44"/>
    <x v="3"/>
    <x v="2"/>
  </r>
  <r>
    <x v="365"/>
    <n v="-325"/>
    <x v="797"/>
    <n v="145.66999999999999"/>
    <s v="Complete Access"/>
    <x v="199"/>
    <x v="14"/>
    <x v="46"/>
    <d v="1900-01-02T00:00:00"/>
    <n v="44"/>
    <x v="3"/>
    <x v="2"/>
  </r>
  <r>
    <x v="365"/>
    <n v="-500"/>
    <x v="581"/>
    <n v="40824.589999999997"/>
    <s v="Netbank Saver"/>
    <x v="0"/>
    <x v="0"/>
    <x v="0"/>
    <d v="1900-01-02T00:00:00"/>
    <n v="44"/>
    <x v="3"/>
    <x v="2"/>
  </r>
  <r>
    <x v="365"/>
    <n v="-100"/>
    <x v="581"/>
    <n v="41324.589999999997"/>
    <s v="Netbank Saver"/>
    <x v="0"/>
    <x v="0"/>
    <x v="0"/>
    <d v="1900-01-02T00:00:00"/>
    <n v="44"/>
    <x v="3"/>
    <x v="2"/>
  </r>
  <r>
    <x v="366"/>
    <n v="-10.15"/>
    <x v="798"/>
    <n v="370.67"/>
    <s v="Complete Access"/>
    <x v="188"/>
    <x v="1"/>
    <x v="1"/>
    <d v="1900-01-01T00:00:00"/>
    <n v="44"/>
    <x v="3"/>
    <x v="2"/>
  </r>
  <r>
    <x v="367"/>
    <n v="-40"/>
    <x v="799"/>
    <n v="1075.8699999999999"/>
    <s v="Complete Access"/>
    <x v="12"/>
    <x v="5"/>
    <x v="8"/>
    <d v="1899-12-31T00:00:00"/>
    <n v="44"/>
    <x v="3"/>
    <x v="2"/>
  </r>
  <r>
    <x v="367"/>
    <n v="1000"/>
    <x v="800"/>
    <n v="1115.8699999999999"/>
    <s v="Complete Access"/>
    <x v="288"/>
    <x v="6"/>
    <x v="64"/>
    <d v="1899-12-31T00:00:00"/>
    <n v="44"/>
    <x v="3"/>
    <x v="2"/>
  </r>
  <r>
    <x v="367"/>
    <n v="-195.05"/>
    <x v="801"/>
    <n v="380.82"/>
    <s v="Complete Access"/>
    <x v="76"/>
    <x v="2"/>
    <x v="2"/>
    <d v="1899-12-31T00:00:00"/>
    <n v="44"/>
    <x v="3"/>
    <x v="2"/>
  </r>
  <r>
    <x v="367"/>
    <n v="500"/>
    <x v="702"/>
    <n v="41424.589999999997"/>
    <s v="Netbank Saver"/>
    <x v="36"/>
    <x v="0"/>
    <x v="0"/>
    <d v="1899-12-31T00:00:00"/>
    <n v="44"/>
    <x v="3"/>
    <x v="2"/>
  </r>
  <r>
    <x v="367"/>
    <n v="144.13999999999999"/>
    <x v="609"/>
    <n v="40924.589999999997"/>
    <s v="Netbank Saver"/>
    <x v="240"/>
    <x v="0"/>
    <x v="55"/>
    <d v="1899-12-31T00:00:00"/>
    <n v="44"/>
    <x v="3"/>
    <x v="2"/>
  </r>
  <r>
    <x v="367"/>
    <n v="-500"/>
    <x v="538"/>
    <n v="575.87"/>
    <s v="Complete Access"/>
    <x v="0"/>
    <x v="0"/>
    <x v="0"/>
    <d v="1899-12-31T00:00:00"/>
    <n v="44"/>
    <x v="3"/>
    <x v="2"/>
  </r>
  <r>
    <x v="368"/>
    <n v="-33.979999999999997"/>
    <x v="802"/>
    <n v="312.27999999999997"/>
    <s v="Complete Access"/>
    <x v="8"/>
    <x v="1"/>
    <x v="5"/>
    <d v="1900-01-30T00:00:00"/>
    <n v="44"/>
    <x v="4"/>
    <x v="2"/>
  </r>
  <r>
    <x v="368"/>
    <n v="-37.840000000000003"/>
    <x v="803"/>
    <n v="108.79"/>
    <s v="Complete Access"/>
    <x v="8"/>
    <x v="1"/>
    <x v="5"/>
    <d v="1900-01-30T00:00:00"/>
    <n v="44"/>
    <x v="4"/>
    <x v="2"/>
  </r>
  <r>
    <x v="368"/>
    <n v="200"/>
    <x v="370"/>
    <n v="298.89"/>
    <s v="Complete Access"/>
    <x v="36"/>
    <x v="0"/>
    <x v="0"/>
    <d v="1900-01-30T00:00:00"/>
    <n v="44"/>
    <x v="4"/>
    <x v="2"/>
  </r>
  <r>
    <x v="368"/>
    <n v="-149"/>
    <x v="804"/>
    <n v="163.28"/>
    <s v="Complete Access"/>
    <x v="289"/>
    <x v="3"/>
    <x v="15"/>
    <d v="1900-01-30T00:00:00"/>
    <n v="44"/>
    <x v="4"/>
    <x v="2"/>
  </r>
  <r>
    <x v="368"/>
    <n v="-183.02"/>
    <x v="805"/>
    <n v="115.87"/>
    <s v="Complete Access"/>
    <x v="290"/>
    <x v="1"/>
    <x v="5"/>
    <d v="1900-01-30T00:00:00"/>
    <n v="44"/>
    <x v="4"/>
    <x v="2"/>
  </r>
  <r>
    <x v="368"/>
    <n v="-16.649999999999999"/>
    <x v="806"/>
    <n v="146.63"/>
    <s v="Complete Access"/>
    <x v="291"/>
    <x v="8"/>
    <x v="29"/>
    <d v="1900-01-30T00:00:00"/>
    <n v="44"/>
    <x v="4"/>
    <x v="2"/>
  </r>
  <r>
    <x v="368"/>
    <n v="-9.9"/>
    <x v="807"/>
    <n v="98.89"/>
    <s v="Complete Access"/>
    <x v="277"/>
    <x v="8"/>
    <x v="29"/>
    <d v="1900-01-30T00:00:00"/>
    <n v="44"/>
    <x v="4"/>
    <x v="2"/>
  </r>
  <r>
    <x v="368"/>
    <n v="-200"/>
    <x v="581"/>
    <n v="40780.449999999997"/>
    <s v="Netbank Saver"/>
    <x v="0"/>
    <x v="0"/>
    <x v="0"/>
    <d v="1900-01-30T00:00:00"/>
    <n v="44"/>
    <x v="4"/>
    <x v="2"/>
  </r>
  <r>
    <x v="369"/>
    <n v="-16.5"/>
    <x v="8"/>
    <n v="479.23"/>
    <s v="Complete Access"/>
    <x v="7"/>
    <x v="1"/>
    <x v="5"/>
    <d v="1900-01-29T00:00:00"/>
    <n v="44"/>
    <x v="4"/>
    <x v="2"/>
  </r>
  <r>
    <x v="369"/>
    <n v="-132.97"/>
    <x v="808"/>
    <n v="346.26"/>
    <s v="Complete Access"/>
    <x v="292"/>
    <x v="3"/>
    <x v="15"/>
    <d v="1900-01-29T00:00:00"/>
    <n v="44"/>
    <x v="4"/>
    <x v="2"/>
  </r>
  <r>
    <x v="370"/>
    <n v="-12.36"/>
    <x v="532"/>
    <n v="495.73"/>
    <s v="Complete Access"/>
    <x v="1"/>
    <x v="1"/>
    <x v="1"/>
    <d v="1900-01-27T00:00:00"/>
    <n v="43"/>
    <x v="4"/>
    <x v="2"/>
  </r>
  <r>
    <x v="371"/>
    <n v="-2600"/>
    <x v="538"/>
    <n v="508.09"/>
    <s v="Complete Access"/>
    <x v="0"/>
    <x v="0"/>
    <x v="0"/>
    <d v="1900-01-26T00:00:00"/>
    <n v="43"/>
    <x v="4"/>
    <x v="2"/>
  </r>
  <r>
    <x v="371"/>
    <n v="-40"/>
    <x v="782"/>
    <n v="3108.09"/>
    <s v="Complete Access"/>
    <x v="130"/>
    <x v="0"/>
    <x v="0"/>
    <d v="1900-01-26T00:00:00"/>
    <n v="43"/>
    <x v="4"/>
    <x v="2"/>
  </r>
  <r>
    <x v="371"/>
    <n v="1099"/>
    <x v="809"/>
    <n v="3180.6"/>
    <s v="Complete Access"/>
    <x v="36"/>
    <x v="0"/>
    <x v="0"/>
    <d v="1900-01-26T00:00:00"/>
    <n v="43"/>
    <x v="4"/>
    <x v="2"/>
  </r>
  <r>
    <x v="371"/>
    <n v="-32.51"/>
    <x v="810"/>
    <n v="3148.09"/>
    <s v="Complete Access"/>
    <x v="293"/>
    <x v="15"/>
    <x v="65"/>
    <d v="1900-01-26T00:00:00"/>
    <n v="43"/>
    <x v="4"/>
    <x v="2"/>
  </r>
  <r>
    <x v="371"/>
    <n v="2600"/>
    <x v="702"/>
    <n v="40980.449999999997"/>
    <s v="Netbank Saver"/>
    <x v="36"/>
    <x v="0"/>
    <x v="0"/>
    <d v="1900-01-26T00:00:00"/>
    <n v="43"/>
    <x v="4"/>
    <x v="2"/>
  </r>
  <r>
    <x v="372"/>
    <n v="2348.84"/>
    <x v="811"/>
    <n v="2404.5100000000002"/>
    <s v="Complete Access"/>
    <x v="14"/>
    <x v="6"/>
    <x v="9"/>
    <d v="1900-01-25T00:00:00"/>
    <n v="43"/>
    <x v="4"/>
    <x v="2"/>
  </r>
  <r>
    <x v="372"/>
    <n v="-48.96"/>
    <x v="177"/>
    <n v="2092.9499999999998"/>
    <s v="Complete Access"/>
    <x v="72"/>
    <x v="1"/>
    <x v="5"/>
    <d v="1900-01-25T00:00:00"/>
    <n v="43"/>
    <x v="4"/>
    <x v="2"/>
  </r>
  <r>
    <x v="372"/>
    <n v="-11.35"/>
    <x v="454"/>
    <n v="2081.6"/>
    <s v="Complete Access"/>
    <x v="9"/>
    <x v="4"/>
    <x v="6"/>
    <d v="1900-01-25T00:00:00"/>
    <n v="43"/>
    <x v="4"/>
    <x v="2"/>
  </r>
  <r>
    <x v="372"/>
    <n v="-12.6"/>
    <x v="812"/>
    <n v="2391.91"/>
    <s v="Complete Access"/>
    <x v="294"/>
    <x v="8"/>
    <x v="29"/>
    <d v="1900-01-25T00:00:00"/>
    <n v="43"/>
    <x v="4"/>
    <x v="2"/>
  </r>
  <r>
    <x v="372"/>
    <n v="-250"/>
    <x v="656"/>
    <n v="2141.91"/>
    <s v="Complete Access"/>
    <x v="13"/>
    <x v="0"/>
    <x v="0"/>
    <d v="1900-01-25T00:00:00"/>
    <n v="43"/>
    <x v="4"/>
    <x v="2"/>
  </r>
  <r>
    <x v="373"/>
    <n v="150"/>
    <x v="370"/>
    <n v="158.66999999999999"/>
    <s v="Complete Access"/>
    <x v="36"/>
    <x v="0"/>
    <x v="0"/>
    <d v="1900-01-24T00:00:00"/>
    <n v="43"/>
    <x v="4"/>
    <x v="2"/>
  </r>
  <r>
    <x v="373"/>
    <n v="-129.32"/>
    <x v="813"/>
    <n v="8.67"/>
    <s v="Complete Access"/>
    <x v="295"/>
    <x v="14"/>
    <x v="66"/>
    <d v="1900-01-24T00:00:00"/>
    <n v="43"/>
    <x v="4"/>
    <x v="2"/>
  </r>
  <r>
    <x v="373"/>
    <n v="-30"/>
    <x v="814"/>
    <n v="67.67"/>
    <s v="Complete Access"/>
    <x v="296"/>
    <x v="8"/>
    <x v="22"/>
    <d v="1900-01-24T00:00:00"/>
    <n v="43"/>
    <x v="4"/>
    <x v="2"/>
  </r>
  <r>
    <x v="373"/>
    <n v="-12"/>
    <x v="812"/>
    <n v="55.67"/>
    <s v="Complete Access"/>
    <x v="294"/>
    <x v="8"/>
    <x v="29"/>
    <d v="1900-01-24T00:00:00"/>
    <n v="43"/>
    <x v="4"/>
    <x v="2"/>
  </r>
  <r>
    <x v="373"/>
    <n v="-150"/>
    <x v="581"/>
    <n v="38380.449999999997"/>
    <s v="Netbank Saver"/>
    <x v="0"/>
    <x v="0"/>
    <x v="0"/>
    <d v="1900-01-24T00:00:00"/>
    <n v="43"/>
    <x v="4"/>
    <x v="2"/>
  </r>
  <r>
    <x v="373"/>
    <n v="-61"/>
    <x v="815"/>
    <n v="97.67"/>
    <s v="Complete Access"/>
    <x v="0"/>
    <x v="0"/>
    <x v="0"/>
    <d v="1900-01-24T00:00:00"/>
    <n v="43"/>
    <x v="4"/>
    <x v="2"/>
  </r>
  <r>
    <x v="373"/>
    <n v="-61"/>
    <x v="816"/>
    <n v="97.67"/>
    <s v="Complete Access"/>
    <x v="0"/>
    <x v="0"/>
    <x v="0"/>
    <d v="1900-01-24T00:00:00"/>
    <n v="43"/>
    <x v="4"/>
    <x v="2"/>
  </r>
  <r>
    <x v="373"/>
    <n v="61"/>
    <x v="817"/>
    <n v="158.66999999999999"/>
    <s v="Complete Access"/>
    <x v="13"/>
    <x v="0"/>
    <x v="0"/>
    <d v="1900-01-24T00:00:00"/>
    <n v="43"/>
    <x v="4"/>
    <x v="2"/>
  </r>
  <r>
    <x v="374"/>
    <n v="-3.5"/>
    <x v="621"/>
    <n v="137.99"/>
    <s v="Complete Access"/>
    <x v="220"/>
    <x v="1"/>
    <x v="5"/>
    <d v="1900-01-23T00:00:00"/>
    <n v="43"/>
    <x v="4"/>
    <x v="2"/>
  </r>
  <r>
    <x v="374"/>
    <n v="-16"/>
    <x v="8"/>
    <n v="141.49"/>
    <s v="Complete Access"/>
    <x v="7"/>
    <x v="1"/>
    <x v="5"/>
    <d v="1900-01-23T00:00:00"/>
    <n v="43"/>
    <x v="4"/>
    <x v="2"/>
  </r>
  <r>
    <x v="374"/>
    <n v="-29.99"/>
    <x v="616"/>
    <n v="157.49"/>
    <s v="Complete Access"/>
    <x v="228"/>
    <x v="4"/>
    <x v="7"/>
    <d v="1900-01-23T00:00:00"/>
    <n v="43"/>
    <x v="4"/>
    <x v="2"/>
  </r>
  <r>
    <x v="375"/>
    <n v="100"/>
    <x v="370"/>
    <n v="187.48"/>
    <s v="Complete Access"/>
    <x v="36"/>
    <x v="0"/>
    <x v="0"/>
    <d v="1900-01-22T00:00:00"/>
    <n v="43"/>
    <x v="4"/>
    <x v="2"/>
  </r>
  <r>
    <x v="375"/>
    <n v="-16.5"/>
    <x v="8"/>
    <n v="87.48"/>
    <s v="Complete Access"/>
    <x v="7"/>
    <x v="1"/>
    <x v="5"/>
    <d v="1900-01-22T00:00:00"/>
    <n v="43"/>
    <x v="4"/>
    <x v="2"/>
  </r>
  <r>
    <x v="375"/>
    <n v="-29.99"/>
    <x v="616"/>
    <n v="103.98"/>
    <s v="Complete Access"/>
    <x v="228"/>
    <x v="4"/>
    <x v="7"/>
    <d v="1900-01-22T00:00:00"/>
    <n v="43"/>
    <x v="4"/>
    <x v="2"/>
  </r>
  <r>
    <x v="375"/>
    <n v="-100"/>
    <x v="581"/>
    <n v="38530.449999999997"/>
    <s v="Netbank Saver"/>
    <x v="0"/>
    <x v="0"/>
    <x v="0"/>
    <d v="1900-01-22T00:00:00"/>
    <n v="43"/>
    <x v="4"/>
    <x v="2"/>
  </r>
  <r>
    <x v="376"/>
    <n v="-12.66"/>
    <x v="531"/>
    <n v="133.97"/>
    <s v="Complete Access"/>
    <x v="215"/>
    <x v="1"/>
    <x v="1"/>
    <d v="1900-01-21T00:00:00"/>
    <n v="43"/>
    <x v="4"/>
    <x v="2"/>
  </r>
  <r>
    <x v="376"/>
    <n v="-39.5"/>
    <x v="561"/>
    <n v="146.63"/>
    <s v="Complete Access"/>
    <x v="223"/>
    <x v="7"/>
    <x v="53"/>
    <d v="1900-01-21T00:00:00"/>
    <n v="43"/>
    <x v="4"/>
    <x v="2"/>
  </r>
  <r>
    <x v="377"/>
    <n v="-15.99"/>
    <x v="818"/>
    <n v="283.25"/>
    <s v="Complete Access"/>
    <x v="259"/>
    <x v="1"/>
    <x v="5"/>
    <d v="1900-01-20T00:00:00"/>
    <n v="42"/>
    <x v="4"/>
    <x v="2"/>
  </r>
  <r>
    <x v="377"/>
    <n v="-64.62"/>
    <x v="532"/>
    <n v="218.63"/>
    <s v="Complete Access"/>
    <x v="1"/>
    <x v="1"/>
    <x v="1"/>
    <d v="1900-01-20T00:00:00"/>
    <n v="42"/>
    <x v="4"/>
    <x v="2"/>
  </r>
  <r>
    <x v="377"/>
    <n v="-32.5"/>
    <x v="819"/>
    <n v="186.13"/>
    <s v="Complete Access"/>
    <x v="0"/>
    <x v="0"/>
    <x v="0"/>
    <d v="1900-01-20T00:00:00"/>
    <n v="42"/>
    <x v="4"/>
    <x v="2"/>
  </r>
  <r>
    <x v="378"/>
    <n v="-2.4500000000000002"/>
    <x v="820"/>
    <n v="348.13"/>
    <s v="Complete Access"/>
    <x v="188"/>
    <x v="1"/>
    <x v="1"/>
    <d v="1900-01-19T00:00:00"/>
    <n v="42"/>
    <x v="4"/>
    <x v="2"/>
  </r>
  <r>
    <x v="378"/>
    <n v="-69.459999999999994"/>
    <x v="821"/>
    <n v="350.58"/>
    <s v="Complete Access"/>
    <x v="207"/>
    <x v="7"/>
    <x v="11"/>
    <d v="1900-01-19T00:00:00"/>
    <n v="42"/>
    <x v="4"/>
    <x v="2"/>
  </r>
  <r>
    <x v="378"/>
    <n v="-42.39"/>
    <x v="28"/>
    <n v="299.24"/>
    <s v="Complete Access"/>
    <x v="20"/>
    <x v="9"/>
    <x v="12"/>
    <d v="1900-01-19T00:00:00"/>
    <n v="42"/>
    <x v="4"/>
    <x v="2"/>
  </r>
  <r>
    <x v="378"/>
    <n v="-6.5"/>
    <x v="531"/>
    <n v="341.63"/>
    <s v="Complete Access"/>
    <x v="215"/>
    <x v="1"/>
    <x v="1"/>
    <d v="1900-01-19T00:00:00"/>
    <n v="42"/>
    <x v="4"/>
    <x v="2"/>
  </r>
  <r>
    <x v="379"/>
    <n v="-40"/>
    <x v="822"/>
    <n v="450.5"/>
    <s v="Complete Access"/>
    <x v="12"/>
    <x v="5"/>
    <x v="8"/>
    <d v="1900-01-18T00:00:00"/>
    <n v="42"/>
    <x v="4"/>
    <x v="2"/>
  </r>
  <r>
    <x v="379"/>
    <n v="-30.46"/>
    <x v="823"/>
    <n v="420.04"/>
    <s v="Complete Access"/>
    <x v="1"/>
    <x v="1"/>
    <x v="1"/>
    <d v="1900-01-18T00:00:00"/>
    <n v="42"/>
    <x v="4"/>
    <x v="2"/>
  </r>
  <r>
    <x v="380"/>
    <n v="-16"/>
    <x v="8"/>
    <n v="325.5"/>
    <s v="Complete Access"/>
    <x v="7"/>
    <x v="1"/>
    <x v="5"/>
    <d v="1900-01-17T00:00:00"/>
    <n v="42"/>
    <x v="4"/>
    <x v="2"/>
  </r>
  <r>
    <x v="380"/>
    <n v="165"/>
    <x v="824"/>
    <n v="490.5"/>
    <s v="Complete Access"/>
    <x v="76"/>
    <x v="2"/>
    <x v="2"/>
    <d v="1900-01-17T00:00:00"/>
    <n v="42"/>
    <x v="4"/>
    <x v="2"/>
  </r>
  <r>
    <x v="381"/>
    <n v="-36.72"/>
    <x v="825"/>
    <n v="877.86"/>
    <s v="Complete Access"/>
    <x v="8"/>
    <x v="1"/>
    <x v="5"/>
    <d v="1900-01-16T00:00:00"/>
    <n v="42"/>
    <x v="4"/>
    <x v="2"/>
  </r>
  <r>
    <x v="381"/>
    <n v="-70.989999999999995"/>
    <x v="826"/>
    <n v="914.58"/>
    <s v="Complete Access"/>
    <x v="8"/>
    <x v="1"/>
    <x v="5"/>
    <d v="1900-01-16T00:00:00"/>
    <n v="42"/>
    <x v="4"/>
    <x v="2"/>
  </r>
  <r>
    <x v="381"/>
    <n v="-14.2"/>
    <x v="827"/>
    <n v="836.5"/>
    <s v="Complete Access"/>
    <x v="297"/>
    <x v="1"/>
    <x v="5"/>
    <d v="1900-01-16T00:00:00"/>
    <n v="42"/>
    <x v="4"/>
    <x v="2"/>
  </r>
  <r>
    <x v="381"/>
    <n v="-495"/>
    <x v="828"/>
    <n v="341.5"/>
    <s v="Complete Access"/>
    <x v="192"/>
    <x v="4"/>
    <x v="20"/>
    <d v="1900-01-16T00:00:00"/>
    <n v="42"/>
    <x v="4"/>
    <x v="2"/>
  </r>
  <r>
    <x v="381"/>
    <n v="-7.8"/>
    <x v="829"/>
    <n v="870.06"/>
    <s v="Complete Access"/>
    <x v="218"/>
    <x v="8"/>
    <x v="29"/>
    <d v="1900-01-16T00:00:00"/>
    <n v="42"/>
    <x v="4"/>
    <x v="2"/>
  </r>
  <r>
    <x v="381"/>
    <n v="-13.99"/>
    <x v="533"/>
    <n v="850.7"/>
    <s v="Complete Access"/>
    <x v="215"/>
    <x v="1"/>
    <x v="1"/>
    <d v="1900-01-16T00:00:00"/>
    <n v="42"/>
    <x v="4"/>
    <x v="2"/>
  </r>
  <r>
    <x v="381"/>
    <n v="-5.37"/>
    <x v="405"/>
    <n v="864.69"/>
    <s v="Complete Access"/>
    <x v="177"/>
    <x v="1"/>
    <x v="1"/>
    <d v="1900-01-16T00:00:00"/>
    <n v="42"/>
    <x v="4"/>
    <x v="2"/>
  </r>
  <r>
    <x v="382"/>
    <n v="-3.5"/>
    <x v="621"/>
    <n v="985.57"/>
    <s v="Complete Access"/>
    <x v="220"/>
    <x v="1"/>
    <x v="5"/>
    <d v="1900-01-15T00:00:00"/>
    <n v="42"/>
    <x v="4"/>
    <x v="2"/>
  </r>
  <r>
    <x v="382"/>
    <n v="-16.5"/>
    <x v="8"/>
    <n v="989.07"/>
    <s v="Complete Access"/>
    <x v="7"/>
    <x v="1"/>
    <x v="5"/>
    <d v="1900-01-15T00:00:00"/>
    <n v="42"/>
    <x v="4"/>
    <x v="2"/>
  </r>
  <r>
    <x v="383"/>
    <n v="-1099"/>
    <x v="830"/>
    <n v="1005.57"/>
    <s v="Complete Access"/>
    <x v="298"/>
    <x v="4"/>
    <x v="30"/>
    <d v="1900-01-13T00:00:00"/>
    <n v="41"/>
    <x v="4"/>
    <x v="2"/>
  </r>
  <r>
    <x v="384"/>
    <n v="-15.6"/>
    <x v="831"/>
    <n v="2104.5700000000002"/>
    <s v="Complete Access"/>
    <x v="218"/>
    <x v="8"/>
    <x v="29"/>
    <d v="1900-01-12T00:00:00"/>
    <n v="41"/>
    <x v="4"/>
    <x v="2"/>
  </r>
  <r>
    <x v="384"/>
    <n v="-6"/>
    <x v="831"/>
    <n v="2120.17"/>
    <s v="Complete Access"/>
    <x v="218"/>
    <x v="8"/>
    <x v="29"/>
    <d v="1900-01-12T00:00:00"/>
    <n v="41"/>
    <x v="4"/>
    <x v="2"/>
  </r>
  <r>
    <x v="385"/>
    <n v="2348.83"/>
    <x v="832"/>
    <n v="2387.52"/>
    <s v="Complete Access"/>
    <x v="14"/>
    <x v="6"/>
    <x v="9"/>
    <d v="1900-01-11T00:00:00"/>
    <n v="41"/>
    <x v="4"/>
    <x v="2"/>
  </r>
  <r>
    <x v="385"/>
    <n v="-11.35"/>
    <x v="454"/>
    <n v="2126.17"/>
    <s v="Complete Access"/>
    <x v="9"/>
    <x v="4"/>
    <x v="6"/>
    <d v="1900-01-11T00:00:00"/>
    <n v="41"/>
    <x v="4"/>
    <x v="2"/>
  </r>
  <r>
    <x v="385"/>
    <n v="-250"/>
    <x v="656"/>
    <n v="2137.52"/>
    <s v="Complete Access"/>
    <x v="13"/>
    <x v="0"/>
    <x v="0"/>
    <d v="1900-01-11T00:00:00"/>
    <n v="41"/>
    <x v="4"/>
    <x v="2"/>
  </r>
  <r>
    <x v="386"/>
    <n v="-24.36"/>
    <x v="833"/>
    <n v="38.69"/>
    <s v="Complete Access"/>
    <x v="299"/>
    <x v="8"/>
    <x v="29"/>
    <d v="1900-01-10T00:00:00"/>
    <n v="41"/>
    <x v="4"/>
    <x v="2"/>
  </r>
  <r>
    <x v="386"/>
    <n v="-34.51"/>
    <x v="833"/>
    <n v="63.05"/>
    <s v="Complete Access"/>
    <x v="299"/>
    <x v="8"/>
    <x v="29"/>
    <d v="1900-01-10T00:00:00"/>
    <n v="41"/>
    <x v="4"/>
    <x v="2"/>
  </r>
  <r>
    <x v="386"/>
    <n v="-12.18"/>
    <x v="834"/>
    <n v="97.56"/>
    <s v="Complete Access"/>
    <x v="299"/>
    <x v="8"/>
    <x v="29"/>
    <d v="1900-01-10T00:00:00"/>
    <n v="41"/>
    <x v="4"/>
    <x v="2"/>
  </r>
  <r>
    <x v="387"/>
    <n v="-8.07"/>
    <x v="835"/>
    <n v="109.74"/>
    <s v="Complete Access"/>
    <x v="300"/>
    <x v="3"/>
    <x v="26"/>
    <d v="1900-01-09T00:00:00"/>
    <n v="41"/>
    <x v="4"/>
    <x v="2"/>
  </r>
  <r>
    <x v="388"/>
    <n v="150"/>
    <x v="370"/>
    <n v="166.96"/>
    <s v="Complete Access"/>
    <x v="36"/>
    <x v="0"/>
    <x v="0"/>
    <d v="1900-01-07T00:00:00"/>
    <n v="41"/>
    <x v="4"/>
    <x v="2"/>
  </r>
  <r>
    <x v="388"/>
    <n v="-32.99"/>
    <x v="836"/>
    <n v="117.81"/>
    <s v="Complete Access"/>
    <x v="237"/>
    <x v="15"/>
    <x v="34"/>
    <d v="1900-01-07T00:00:00"/>
    <n v="41"/>
    <x v="4"/>
    <x v="2"/>
  </r>
  <r>
    <x v="388"/>
    <n v="-16.16"/>
    <x v="837"/>
    <n v="150.80000000000001"/>
    <s v="Complete Access"/>
    <x v="301"/>
    <x v="1"/>
    <x v="5"/>
    <d v="1900-01-07T00:00:00"/>
    <n v="41"/>
    <x v="4"/>
    <x v="2"/>
  </r>
  <r>
    <x v="388"/>
    <n v="-150"/>
    <x v="581"/>
    <n v="38630.449999999997"/>
    <s v="Netbank Saver"/>
    <x v="0"/>
    <x v="0"/>
    <x v="0"/>
    <d v="1900-01-07T00:00:00"/>
    <n v="41"/>
    <x v="4"/>
    <x v="2"/>
  </r>
  <r>
    <x v="389"/>
    <n v="-410.07"/>
    <x v="838"/>
    <n v="16.96"/>
    <s v="Complete Access"/>
    <x v="298"/>
    <x v="4"/>
    <x v="30"/>
    <d v="1900-01-06T00:00:00"/>
    <n v="40"/>
    <x v="4"/>
    <x v="2"/>
  </r>
  <r>
    <x v="390"/>
    <n v="-40"/>
    <x v="839"/>
    <n v="490.63"/>
    <s v="Complete Access"/>
    <x v="12"/>
    <x v="5"/>
    <x v="8"/>
    <d v="1900-01-04T00:00:00"/>
    <n v="40"/>
    <x v="4"/>
    <x v="2"/>
  </r>
  <r>
    <x v="390"/>
    <n v="-63.6"/>
    <x v="840"/>
    <n v="427.03"/>
    <s v="Complete Access"/>
    <x v="34"/>
    <x v="9"/>
    <x v="12"/>
    <d v="1900-01-04T00:00:00"/>
    <n v="40"/>
    <x v="4"/>
    <x v="2"/>
  </r>
  <r>
    <x v="391"/>
    <n v="-16.5"/>
    <x v="8"/>
    <n v="530.63"/>
    <s v="Complete Access"/>
    <x v="7"/>
    <x v="1"/>
    <x v="5"/>
    <d v="1900-01-03T00:00:00"/>
    <n v="40"/>
    <x v="4"/>
    <x v="2"/>
  </r>
  <r>
    <x v="391"/>
    <n v="100"/>
    <x v="841"/>
    <n v="547.13"/>
    <s v="Complete Access"/>
    <x v="257"/>
    <x v="0"/>
    <x v="0"/>
    <d v="1900-01-03T00:00:00"/>
    <n v="40"/>
    <x v="4"/>
    <x v="2"/>
  </r>
  <r>
    <x v="391"/>
    <n v="-4.6399999999999997"/>
    <x v="842"/>
    <n v="447.13"/>
    <s v="Complete Access"/>
    <x v="221"/>
    <x v="1"/>
    <x v="5"/>
    <d v="1900-01-03T00:00:00"/>
    <n v="40"/>
    <x v="4"/>
    <x v="2"/>
  </r>
  <r>
    <x v="392"/>
    <n v="-612.19000000000005"/>
    <x v="843"/>
    <n v="646.82000000000005"/>
    <s v="Complete Access"/>
    <x v="13"/>
    <x v="0"/>
    <x v="0"/>
    <d v="1900-01-02T00:00:00"/>
    <n v="40"/>
    <x v="4"/>
    <x v="2"/>
  </r>
  <r>
    <x v="392"/>
    <n v="-55.53"/>
    <x v="844"/>
    <n v="1393.51"/>
    <s v="Complete Access"/>
    <x v="8"/>
    <x v="1"/>
    <x v="5"/>
    <d v="1900-01-02T00:00:00"/>
    <n v="40"/>
    <x v="4"/>
    <x v="2"/>
  </r>
  <r>
    <x v="392"/>
    <n v="-46.77"/>
    <x v="845"/>
    <n v="1346.74"/>
    <s v="Complete Access"/>
    <x v="302"/>
    <x v="8"/>
    <x v="22"/>
    <d v="1900-01-02T00:00:00"/>
    <n v="40"/>
    <x v="4"/>
    <x v="2"/>
  </r>
  <r>
    <x v="392"/>
    <n v="-1.4"/>
    <x v="846"/>
    <n v="1345.34"/>
    <s v="Complete Access"/>
    <x v="10"/>
    <x v="0"/>
    <x v="0"/>
    <d v="1900-01-02T00:00:00"/>
    <n v="40"/>
    <x v="4"/>
    <x v="2"/>
  </r>
  <r>
    <x v="392"/>
    <n v="-16"/>
    <x v="8"/>
    <n v="1259.01"/>
    <s v="Complete Access"/>
    <x v="7"/>
    <x v="1"/>
    <x v="5"/>
    <d v="1900-01-02T00:00:00"/>
    <n v="40"/>
    <x v="4"/>
    <x v="2"/>
  </r>
  <r>
    <x v="392"/>
    <n v="-195.05"/>
    <x v="847"/>
    <n v="451.77"/>
    <s v="Complete Access"/>
    <x v="76"/>
    <x v="2"/>
    <x v="2"/>
    <d v="1900-01-02T00:00:00"/>
    <n v="40"/>
    <x v="4"/>
    <x v="2"/>
  </r>
  <r>
    <x v="392"/>
    <n v="-40.33"/>
    <x v="848"/>
    <n v="1305.01"/>
    <s v="Complete Access"/>
    <x v="181"/>
    <x v="15"/>
    <x v="41"/>
    <d v="1900-01-02T00:00:00"/>
    <n v="40"/>
    <x v="4"/>
    <x v="2"/>
  </r>
  <r>
    <x v="392"/>
    <n v="-30"/>
    <x v="849"/>
    <n v="1275.01"/>
    <s v="Complete Access"/>
    <x v="243"/>
    <x v="1"/>
    <x v="23"/>
    <d v="1900-01-02T00:00:00"/>
    <n v="40"/>
    <x v="4"/>
    <x v="2"/>
  </r>
  <r>
    <x v="393"/>
    <n v="-42.26"/>
    <x v="405"/>
    <n v="1449.04"/>
    <s v="Complete Access"/>
    <x v="177"/>
    <x v="1"/>
    <x v="1"/>
    <d v="1900-01-01T00:00:00"/>
    <n v="40"/>
    <x v="4"/>
    <x v="2"/>
  </r>
  <r>
    <x v="394"/>
    <n v="-0.02"/>
    <x v="655"/>
    <n v="1491.3"/>
    <s v="Complete Access"/>
    <x v="249"/>
    <x v="0"/>
    <x v="0"/>
    <d v="1899-12-31T00:00:00"/>
    <n v="40"/>
    <x v="4"/>
    <x v="2"/>
  </r>
  <r>
    <x v="394"/>
    <n v="132.47999999999999"/>
    <x v="609"/>
    <n v="38780.449999999997"/>
    <s v="Netbank Saver"/>
    <x v="240"/>
    <x v="0"/>
    <x v="55"/>
    <d v="1899-12-31T00:00:00"/>
    <n v="40"/>
    <x v="4"/>
    <x v="2"/>
  </r>
  <r>
    <x v="395"/>
    <n v="-12.65"/>
    <x v="96"/>
    <n v="1542.67"/>
    <s v="Complete Access"/>
    <x v="47"/>
    <x v="1"/>
    <x v="5"/>
    <d v="1900-01-29T00:00:00"/>
    <n v="39"/>
    <x v="5"/>
    <x v="2"/>
  </r>
  <r>
    <x v="395"/>
    <n v="-26.35"/>
    <x v="850"/>
    <n v="1516.32"/>
    <s v="Complete Access"/>
    <x v="303"/>
    <x v="8"/>
    <x v="29"/>
    <d v="1900-01-29T00:00:00"/>
    <n v="39"/>
    <x v="5"/>
    <x v="2"/>
  </r>
  <r>
    <x v="395"/>
    <n v="-25"/>
    <x v="851"/>
    <n v="1491.32"/>
    <s v="Complete Access"/>
    <x v="0"/>
    <x v="0"/>
    <x v="0"/>
    <d v="1900-01-29T00:00:00"/>
    <n v="39"/>
    <x v="5"/>
    <x v="2"/>
  </r>
  <r>
    <x v="396"/>
    <n v="-2348.81"/>
    <x v="538"/>
    <n v="1612.68"/>
    <s v="Complete Access"/>
    <x v="0"/>
    <x v="0"/>
    <x v="0"/>
    <d v="1900-01-27T00:00:00"/>
    <n v="39"/>
    <x v="5"/>
    <x v="2"/>
  </r>
  <r>
    <x v="396"/>
    <n v="2348.84"/>
    <x v="170"/>
    <n v="4211.49"/>
    <s v="Complete Access"/>
    <x v="14"/>
    <x v="6"/>
    <x v="9"/>
    <d v="1900-01-27T00:00:00"/>
    <n v="39"/>
    <x v="5"/>
    <x v="2"/>
  </r>
  <r>
    <x v="396"/>
    <n v="-46.01"/>
    <x v="405"/>
    <n v="1566.67"/>
    <s v="Complete Access"/>
    <x v="177"/>
    <x v="1"/>
    <x v="1"/>
    <d v="1900-01-27T00:00:00"/>
    <n v="39"/>
    <x v="5"/>
    <x v="2"/>
  </r>
  <r>
    <x v="396"/>
    <n v="-11.35"/>
    <x v="454"/>
    <n v="1555.32"/>
    <s v="Complete Access"/>
    <x v="9"/>
    <x v="4"/>
    <x v="6"/>
    <d v="1900-01-27T00:00:00"/>
    <n v="39"/>
    <x v="5"/>
    <x v="2"/>
  </r>
  <r>
    <x v="396"/>
    <n v="2348.81"/>
    <x v="702"/>
    <n v="38647.97"/>
    <s v="Netbank Saver"/>
    <x v="36"/>
    <x v="0"/>
    <x v="0"/>
    <d v="1900-01-27T00:00:00"/>
    <n v="39"/>
    <x v="5"/>
    <x v="2"/>
  </r>
  <r>
    <x v="396"/>
    <n v="-250"/>
    <x v="656"/>
    <n v="3961.49"/>
    <s v="Complete Access"/>
    <x v="13"/>
    <x v="0"/>
    <x v="0"/>
    <d v="1900-01-27T00:00:00"/>
    <n v="39"/>
    <x v="5"/>
    <x v="2"/>
  </r>
  <r>
    <x v="397"/>
    <n v="-16.03"/>
    <x v="852"/>
    <n v="1880.35"/>
    <s v="Complete Access"/>
    <x v="8"/>
    <x v="1"/>
    <x v="5"/>
    <d v="1900-01-26T00:00:00"/>
    <n v="39"/>
    <x v="5"/>
    <x v="2"/>
  </r>
  <r>
    <x v="397"/>
    <n v="-17.18"/>
    <x v="853"/>
    <n v="1863.17"/>
    <s v="Complete Access"/>
    <x v="74"/>
    <x v="4"/>
    <x v="10"/>
    <d v="1900-01-26T00:00:00"/>
    <n v="39"/>
    <x v="5"/>
    <x v="2"/>
  </r>
  <r>
    <x v="397"/>
    <n v="-0.52"/>
    <x v="854"/>
    <n v="1862.65"/>
    <s v="Complete Access"/>
    <x v="10"/>
    <x v="0"/>
    <x v="0"/>
    <d v="1900-01-26T00:00:00"/>
    <n v="39"/>
    <x v="5"/>
    <x v="2"/>
  </r>
  <r>
    <x v="398"/>
    <n v="-16.79"/>
    <x v="855"/>
    <n v="1972.36"/>
    <s v="Complete Access"/>
    <x v="8"/>
    <x v="1"/>
    <x v="5"/>
    <d v="1900-01-25T00:00:00"/>
    <n v="39"/>
    <x v="5"/>
    <x v="2"/>
  </r>
  <r>
    <x v="398"/>
    <n v="-38.5"/>
    <x v="856"/>
    <n v="1989.15"/>
    <s v="Complete Access"/>
    <x v="8"/>
    <x v="1"/>
    <x v="5"/>
    <d v="1900-01-25T00:00:00"/>
    <n v="39"/>
    <x v="5"/>
    <x v="2"/>
  </r>
  <r>
    <x v="398"/>
    <n v="-36.74"/>
    <x v="857"/>
    <n v="1935.62"/>
    <s v="Complete Access"/>
    <x v="8"/>
    <x v="1"/>
    <x v="5"/>
    <d v="1900-01-25T00:00:00"/>
    <n v="39"/>
    <x v="5"/>
    <x v="2"/>
  </r>
  <r>
    <x v="398"/>
    <n v="-16"/>
    <x v="8"/>
    <n v="1896.38"/>
    <s v="Complete Access"/>
    <x v="7"/>
    <x v="1"/>
    <x v="5"/>
    <d v="1900-01-25T00:00:00"/>
    <n v="39"/>
    <x v="5"/>
    <x v="2"/>
  </r>
  <r>
    <x v="398"/>
    <n v="-23.24"/>
    <x v="858"/>
    <n v="1912.38"/>
    <s v="Complete Access"/>
    <x v="304"/>
    <x v="1"/>
    <x v="5"/>
    <d v="1900-01-25T00:00:00"/>
    <n v="39"/>
    <x v="5"/>
    <x v="2"/>
  </r>
  <r>
    <x v="399"/>
    <n v="-13.2"/>
    <x v="859"/>
    <n v="2162.02"/>
    <s v="Complete Access"/>
    <x v="305"/>
    <x v="8"/>
    <x v="29"/>
    <d v="1900-01-22T00:00:00"/>
    <n v="38"/>
    <x v="5"/>
    <x v="2"/>
  </r>
  <r>
    <x v="399"/>
    <n v="-13.9"/>
    <x v="859"/>
    <n v="2175.2199999999998"/>
    <s v="Complete Access"/>
    <x v="305"/>
    <x v="8"/>
    <x v="29"/>
    <d v="1900-01-22T00:00:00"/>
    <n v="38"/>
    <x v="5"/>
    <x v="2"/>
  </r>
  <r>
    <x v="399"/>
    <n v="-8.59"/>
    <x v="451"/>
    <n v="2127.65"/>
    <s v="Complete Access"/>
    <x v="190"/>
    <x v="8"/>
    <x v="29"/>
    <d v="1900-01-22T00:00:00"/>
    <n v="38"/>
    <x v="5"/>
    <x v="2"/>
  </r>
  <r>
    <x v="399"/>
    <n v="-25.78"/>
    <x v="451"/>
    <n v="2136.2399999999998"/>
    <s v="Complete Access"/>
    <x v="190"/>
    <x v="8"/>
    <x v="29"/>
    <d v="1900-01-22T00:00:00"/>
    <n v="38"/>
    <x v="5"/>
    <x v="2"/>
  </r>
  <r>
    <x v="399"/>
    <n v="-100"/>
    <x v="860"/>
    <n v="2027.65"/>
    <s v="Complete Access"/>
    <x v="34"/>
    <x v="9"/>
    <x v="12"/>
    <d v="1900-01-22T00:00:00"/>
    <n v="38"/>
    <x v="5"/>
    <x v="2"/>
  </r>
  <r>
    <x v="400"/>
    <n v="-23.35"/>
    <x v="861"/>
    <n v="2189.8200000000002"/>
    <s v="Complete Access"/>
    <x v="302"/>
    <x v="8"/>
    <x v="22"/>
    <d v="1900-01-21T00:00:00"/>
    <n v="38"/>
    <x v="5"/>
    <x v="2"/>
  </r>
  <r>
    <x v="400"/>
    <n v="-0.7"/>
    <x v="862"/>
    <n v="2189.12"/>
    <s v="Complete Access"/>
    <x v="10"/>
    <x v="0"/>
    <x v="0"/>
    <d v="1900-01-21T00:00:00"/>
    <n v="38"/>
    <x v="5"/>
    <x v="2"/>
  </r>
  <r>
    <x v="401"/>
    <n v="-25"/>
    <x v="863"/>
    <n v="2213.17"/>
    <s v="Complete Access"/>
    <x v="35"/>
    <x v="1"/>
    <x v="23"/>
    <d v="1900-01-20T00:00:00"/>
    <n v="38"/>
    <x v="5"/>
    <x v="2"/>
  </r>
  <r>
    <x v="401"/>
    <n v="-4.6500000000000004"/>
    <x v="532"/>
    <n v="2238.17"/>
    <s v="Complete Access"/>
    <x v="1"/>
    <x v="1"/>
    <x v="1"/>
    <d v="1900-01-20T00:00:00"/>
    <n v="38"/>
    <x v="5"/>
    <x v="2"/>
  </r>
  <r>
    <x v="402"/>
    <n v="-40"/>
    <x v="864"/>
    <n v="2280.23"/>
    <s v="Complete Access"/>
    <x v="12"/>
    <x v="5"/>
    <x v="8"/>
    <d v="1900-01-19T00:00:00"/>
    <n v="38"/>
    <x v="5"/>
    <x v="2"/>
  </r>
  <r>
    <x v="402"/>
    <n v="-14.5"/>
    <x v="8"/>
    <n v="2242.8200000000002"/>
    <s v="Complete Access"/>
    <x v="7"/>
    <x v="1"/>
    <x v="5"/>
    <d v="1900-01-19T00:00:00"/>
    <n v="38"/>
    <x v="5"/>
    <x v="2"/>
  </r>
  <r>
    <x v="402"/>
    <n v="-22.91"/>
    <x v="865"/>
    <n v="2257.3200000000002"/>
    <s v="Complete Access"/>
    <x v="237"/>
    <x v="15"/>
    <x v="34"/>
    <d v="1900-01-19T00:00:00"/>
    <n v="38"/>
    <x v="5"/>
    <x v="2"/>
  </r>
  <r>
    <x v="403"/>
    <n v="-32.4"/>
    <x v="866"/>
    <n v="2399.4699999999998"/>
    <s v="Complete Access"/>
    <x v="306"/>
    <x v="8"/>
    <x v="29"/>
    <d v="1900-01-18T00:00:00"/>
    <n v="38"/>
    <x v="5"/>
    <x v="2"/>
  </r>
  <r>
    <x v="403"/>
    <n v="-21.7"/>
    <x v="867"/>
    <n v="2453.7600000000002"/>
    <s v="Complete Access"/>
    <x v="8"/>
    <x v="1"/>
    <x v="5"/>
    <d v="1900-01-18T00:00:00"/>
    <n v="38"/>
    <x v="5"/>
    <x v="2"/>
  </r>
  <r>
    <x v="403"/>
    <n v="-21.89"/>
    <x v="868"/>
    <n v="2431.87"/>
    <s v="Complete Access"/>
    <x v="8"/>
    <x v="1"/>
    <x v="5"/>
    <d v="1900-01-18T00:00:00"/>
    <n v="38"/>
    <x v="5"/>
    <x v="2"/>
  </r>
  <r>
    <x v="403"/>
    <n v="-34.61"/>
    <x v="869"/>
    <n v="2364.86"/>
    <s v="Complete Access"/>
    <x v="307"/>
    <x v="20"/>
    <x v="63"/>
    <d v="1900-01-18T00:00:00"/>
    <n v="38"/>
    <x v="5"/>
    <x v="2"/>
  </r>
  <r>
    <x v="403"/>
    <n v="-15.5"/>
    <x v="8"/>
    <n v="2320.23"/>
    <s v="Complete Access"/>
    <x v="7"/>
    <x v="1"/>
    <x v="5"/>
    <d v="1900-01-18T00:00:00"/>
    <n v="38"/>
    <x v="5"/>
    <x v="2"/>
  </r>
  <r>
    <x v="403"/>
    <n v="-29.13"/>
    <x v="870"/>
    <n v="2335.73"/>
    <s v="Complete Access"/>
    <x v="304"/>
    <x v="1"/>
    <x v="5"/>
    <d v="1900-01-18T00:00:00"/>
    <n v="38"/>
    <x v="5"/>
    <x v="2"/>
  </r>
  <r>
    <x v="404"/>
    <n v="-14.5"/>
    <x v="8"/>
    <n v="2497.27"/>
    <s v="Complete Access"/>
    <x v="7"/>
    <x v="1"/>
    <x v="5"/>
    <d v="1900-01-17T00:00:00"/>
    <n v="38"/>
    <x v="5"/>
    <x v="2"/>
  </r>
  <r>
    <x v="404"/>
    <n v="-21.81"/>
    <x v="532"/>
    <n v="2475.46"/>
    <s v="Complete Access"/>
    <x v="1"/>
    <x v="1"/>
    <x v="1"/>
    <d v="1900-01-17T00:00:00"/>
    <n v="38"/>
    <x v="5"/>
    <x v="2"/>
  </r>
  <r>
    <x v="405"/>
    <n v="-12.25"/>
    <x v="871"/>
    <n v="2524.27"/>
    <s v="Complete Access"/>
    <x v="47"/>
    <x v="1"/>
    <x v="5"/>
    <d v="1900-01-16T00:00:00"/>
    <n v="38"/>
    <x v="5"/>
    <x v="2"/>
  </r>
  <r>
    <x v="405"/>
    <n v="-12.5"/>
    <x v="872"/>
    <n v="2511.77"/>
    <s v="Complete Access"/>
    <x v="308"/>
    <x v="8"/>
    <x v="29"/>
    <d v="1900-01-16T00:00:00"/>
    <n v="38"/>
    <x v="5"/>
    <x v="2"/>
  </r>
  <r>
    <x v="406"/>
    <n v="-61.51"/>
    <x v="873"/>
    <n v="2536.52"/>
    <s v="Complete Access"/>
    <x v="1"/>
    <x v="1"/>
    <x v="1"/>
    <d v="1900-01-15T00:00:00"/>
    <n v="37"/>
    <x v="5"/>
    <x v="2"/>
  </r>
  <r>
    <x v="407"/>
    <n v="-138"/>
    <x v="874"/>
    <n v="2532.08"/>
    <s v="Complete Access"/>
    <x v="207"/>
    <x v="7"/>
    <x v="11"/>
    <d v="1900-01-13T00:00:00"/>
    <n v="37"/>
    <x v="5"/>
    <x v="2"/>
  </r>
  <r>
    <x v="407"/>
    <n v="2348.84"/>
    <x v="875"/>
    <n v="3170.08"/>
    <s v="Complete Access"/>
    <x v="14"/>
    <x v="6"/>
    <x v="9"/>
    <d v="1900-01-13T00:00:00"/>
    <n v="37"/>
    <x v="5"/>
    <x v="2"/>
  </r>
  <r>
    <x v="407"/>
    <n v="-22.7"/>
    <x v="96"/>
    <n v="2598.0300000000002"/>
    <s v="Complete Access"/>
    <x v="47"/>
    <x v="1"/>
    <x v="5"/>
    <d v="1900-01-13T00:00:00"/>
    <n v="37"/>
    <x v="5"/>
    <x v="2"/>
  </r>
  <r>
    <x v="407"/>
    <n v="100"/>
    <x v="876"/>
    <n v="2620.73"/>
    <s v="Complete Access"/>
    <x v="36"/>
    <x v="0"/>
    <x v="0"/>
    <d v="1900-01-13T00:00:00"/>
    <n v="37"/>
    <x v="5"/>
    <x v="2"/>
  </r>
  <r>
    <x v="407"/>
    <n v="-11.35"/>
    <x v="454"/>
    <n v="2520.73"/>
    <s v="Complete Access"/>
    <x v="9"/>
    <x v="4"/>
    <x v="6"/>
    <d v="1900-01-13T00:00:00"/>
    <n v="37"/>
    <x v="5"/>
    <x v="2"/>
  </r>
  <r>
    <x v="407"/>
    <n v="-500"/>
    <x v="656"/>
    <n v="2670.08"/>
    <s v="Complete Access"/>
    <x v="13"/>
    <x v="0"/>
    <x v="0"/>
    <d v="1900-01-13T00:00:00"/>
    <n v="37"/>
    <x v="5"/>
    <x v="2"/>
  </r>
  <r>
    <x v="408"/>
    <n v="-700"/>
    <x v="581"/>
    <n v="36299.160000000003"/>
    <s v="Netbank Saver"/>
    <x v="0"/>
    <x v="0"/>
    <x v="0"/>
    <d v="1900-01-12T00:00:00"/>
    <n v="37"/>
    <x v="5"/>
    <x v="2"/>
  </r>
  <r>
    <x v="408"/>
    <n v="-6.5"/>
    <x v="877"/>
    <n v="366.74"/>
    <s v="Complete Access"/>
    <x v="61"/>
    <x v="1"/>
    <x v="1"/>
    <d v="1900-01-12T00:00:00"/>
    <n v="37"/>
    <x v="5"/>
    <x v="2"/>
  </r>
  <r>
    <x v="408"/>
    <n v="700"/>
    <x v="370"/>
    <n v="1051.24"/>
    <s v="Complete Access"/>
    <x v="36"/>
    <x v="0"/>
    <x v="0"/>
    <d v="1900-01-12T00:00:00"/>
    <n v="37"/>
    <x v="5"/>
    <x v="2"/>
  </r>
  <r>
    <x v="408"/>
    <n v="-15.5"/>
    <x v="8"/>
    <n v="351.24"/>
    <s v="Complete Access"/>
    <x v="7"/>
    <x v="1"/>
    <x v="5"/>
    <d v="1900-01-12T00:00:00"/>
    <n v="37"/>
    <x v="5"/>
    <x v="2"/>
  </r>
  <r>
    <x v="408"/>
    <n v="-32.86"/>
    <x v="878"/>
    <n v="373.24"/>
    <s v="Complete Access"/>
    <x v="309"/>
    <x v="8"/>
    <x v="22"/>
    <d v="1900-01-12T00:00:00"/>
    <n v="37"/>
    <x v="5"/>
    <x v="2"/>
  </r>
  <r>
    <x v="408"/>
    <n v="-230"/>
    <x v="879"/>
    <n v="821.24"/>
    <s v="Complete Access"/>
    <x v="265"/>
    <x v="8"/>
    <x v="22"/>
    <d v="1900-01-12T00:00:00"/>
    <n v="37"/>
    <x v="5"/>
    <x v="2"/>
  </r>
  <r>
    <x v="409"/>
    <n v="-6.5"/>
    <x v="880"/>
    <n v="450.37"/>
    <s v="Complete Access"/>
    <x v="61"/>
    <x v="1"/>
    <x v="1"/>
    <d v="1900-01-11T00:00:00"/>
    <n v="37"/>
    <x v="5"/>
    <x v="2"/>
  </r>
  <r>
    <x v="409"/>
    <n v="-47.32"/>
    <x v="881"/>
    <n v="456.87"/>
    <s v="Complete Access"/>
    <x v="8"/>
    <x v="1"/>
    <x v="5"/>
    <d v="1900-01-11T00:00:00"/>
    <n v="37"/>
    <x v="5"/>
    <x v="2"/>
  </r>
  <r>
    <x v="409"/>
    <n v="-40"/>
    <x v="882"/>
    <n v="504.19"/>
    <s v="Complete Access"/>
    <x v="12"/>
    <x v="5"/>
    <x v="8"/>
    <d v="1900-01-11T00:00:00"/>
    <n v="37"/>
    <x v="5"/>
    <x v="2"/>
  </r>
  <r>
    <x v="409"/>
    <n v="-29.77"/>
    <x v="883"/>
    <n v="420.6"/>
    <s v="Complete Access"/>
    <x v="27"/>
    <x v="1"/>
    <x v="5"/>
    <d v="1900-01-11T00:00:00"/>
    <n v="37"/>
    <x v="5"/>
    <x v="2"/>
  </r>
  <r>
    <x v="409"/>
    <n v="-14.5"/>
    <x v="8"/>
    <n v="406.1"/>
    <s v="Complete Access"/>
    <x v="7"/>
    <x v="1"/>
    <x v="5"/>
    <d v="1900-01-11T00:00:00"/>
    <n v="37"/>
    <x v="5"/>
    <x v="2"/>
  </r>
  <r>
    <x v="410"/>
    <n v="-24.04"/>
    <x v="436"/>
    <n v="544.19000000000005"/>
    <s v="Complete Access"/>
    <x v="186"/>
    <x v="1"/>
    <x v="5"/>
    <d v="1900-01-10T00:00:00"/>
    <n v="37"/>
    <x v="5"/>
    <x v="2"/>
  </r>
  <r>
    <x v="411"/>
    <n v="500"/>
    <x v="370"/>
    <n v="568.23"/>
    <s v="Complete Access"/>
    <x v="36"/>
    <x v="0"/>
    <x v="0"/>
    <d v="1900-01-09T00:00:00"/>
    <n v="37"/>
    <x v="5"/>
    <x v="2"/>
  </r>
  <r>
    <x v="411"/>
    <n v="75"/>
    <x v="370"/>
    <n v="146.88999999999999"/>
    <s v="Complete Access"/>
    <x v="36"/>
    <x v="0"/>
    <x v="0"/>
    <d v="1900-01-09T00:00:00"/>
    <n v="37"/>
    <x v="5"/>
    <x v="2"/>
  </r>
  <r>
    <x v="411"/>
    <n v="-30.26"/>
    <x v="884"/>
    <n v="68.23"/>
    <s v="Complete Access"/>
    <x v="237"/>
    <x v="15"/>
    <x v="34"/>
    <d v="1900-01-09T00:00:00"/>
    <n v="37"/>
    <x v="5"/>
    <x v="2"/>
  </r>
  <r>
    <x v="411"/>
    <n v="-40.549999999999997"/>
    <x v="885"/>
    <n v="71.89"/>
    <s v="Complete Access"/>
    <x v="310"/>
    <x v="8"/>
    <x v="29"/>
    <d v="1900-01-09T00:00:00"/>
    <n v="37"/>
    <x v="5"/>
    <x v="2"/>
  </r>
  <r>
    <x v="411"/>
    <n v="-500"/>
    <x v="581"/>
    <n v="36999.160000000003"/>
    <s v="Netbank Saver"/>
    <x v="0"/>
    <x v="0"/>
    <x v="0"/>
    <d v="1900-01-09T00:00:00"/>
    <n v="37"/>
    <x v="5"/>
    <x v="2"/>
  </r>
  <r>
    <x v="411"/>
    <n v="-75"/>
    <x v="581"/>
    <n v="37499.160000000003"/>
    <s v="Netbank Saver"/>
    <x v="0"/>
    <x v="0"/>
    <x v="0"/>
    <d v="1900-01-09T00:00:00"/>
    <n v="37"/>
    <x v="5"/>
    <x v="2"/>
  </r>
  <r>
    <x v="411"/>
    <n v="-48.4"/>
    <x v="886"/>
    <n v="98.49"/>
    <s v="Complete Access"/>
    <x v="0"/>
    <x v="0"/>
    <x v="0"/>
    <d v="1900-01-09T00:00:00"/>
    <n v="37"/>
    <x v="5"/>
    <x v="2"/>
  </r>
  <r>
    <x v="412"/>
    <n v="-17.100000000000001"/>
    <x v="96"/>
    <n v="130.13999999999999"/>
    <s v="Complete Access"/>
    <x v="47"/>
    <x v="1"/>
    <x v="5"/>
    <d v="1900-01-08T00:00:00"/>
    <n v="36"/>
    <x v="5"/>
    <x v="2"/>
  </r>
  <r>
    <x v="412"/>
    <n v="-17.7"/>
    <x v="885"/>
    <n v="112.44"/>
    <s v="Complete Access"/>
    <x v="310"/>
    <x v="8"/>
    <x v="29"/>
    <d v="1900-01-08T00:00:00"/>
    <n v="36"/>
    <x v="5"/>
    <x v="2"/>
  </r>
  <r>
    <x v="412"/>
    <n v="-159"/>
    <x v="887"/>
    <n v="147.24"/>
    <s v="Complete Access"/>
    <x v="265"/>
    <x v="8"/>
    <x v="22"/>
    <d v="1900-01-08T00:00:00"/>
    <n v="36"/>
    <x v="5"/>
    <x v="2"/>
  </r>
  <r>
    <x v="413"/>
    <n v="-18.809999999999999"/>
    <x v="888"/>
    <n v="306.24"/>
    <s v="Complete Access"/>
    <x v="27"/>
    <x v="1"/>
    <x v="5"/>
    <d v="1900-01-06T00:00:00"/>
    <n v="36"/>
    <x v="5"/>
    <x v="2"/>
  </r>
  <r>
    <x v="414"/>
    <n v="-14.5"/>
    <x v="8"/>
    <n v="325.05"/>
    <s v="Complete Access"/>
    <x v="7"/>
    <x v="1"/>
    <x v="5"/>
    <d v="1900-01-05T00:00:00"/>
    <n v="36"/>
    <x v="5"/>
    <x v="2"/>
  </r>
  <r>
    <x v="414"/>
    <n v="-58.42"/>
    <x v="889"/>
    <n v="339.55"/>
    <s v="Complete Access"/>
    <x v="1"/>
    <x v="1"/>
    <x v="1"/>
    <d v="1900-01-05T00:00:00"/>
    <n v="36"/>
    <x v="5"/>
    <x v="2"/>
  </r>
  <r>
    <x v="415"/>
    <n v="350"/>
    <x v="370"/>
    <n v="397.97"/>
    <s v="Complete Access"/>
    <x v="36"/>
    <x v="0"/>
    <x v="0"/>
    <d v="1900-01-04T00:00:00"/>
    <n v="36"/>
    <x v="5"/>
    <x v="2"/>
  </r>
  <r>
    <x v="415"/>
    <n v="-480"/>
    <x v="890"/>
    <n v="63.47"/>
    <s v="Complete Access"/>
    <x v="311"/>
    <x v="4"/>
    <x v="17"/>
    <d v="1900-01-04T00:00:00"/>
    <n v="36"/>
    <x v="5"/>
    <x v="2"/>
  </r>
  <r>
    <x v="415"/>
    <n v="-15.5"/>
    <x v="8"/>
    <n v="47.97"/>
    <s v="Complete Access"/>
    <x v="7"/>
    <x v="1"/>
    <x v="5"/>
    <d v="1900-01-04T00:00:00"/>
    <n v="36"/>
    <x v="5"/>
    <x v="2"/>
  </r>
  <r>
    <x v="415"/>
    <n v="-45.22"/>
    <x v="891"/>
    <n v="543.47"/>
    <s v="Complete Access"/>
    <x v="1"/>
    <x v="1"/>
    <x v="1"/>
    <d v="1900-01-04T00:00:00"/>
    <n v="36"/>
    <x v="5"/>
    <x v="2"/>
  </r>
  <r>
    <x v="415"/>
    <n v="-350"/>
    <x v="581"/>
    <n v="37574.160000000003"/>
    <s v="Netbank Saver"/>
    <x v="0"/>
    <x v="0"/>
    <x v="0"/>
    <d v="1900-01-04T00:00:00"/>
    <n v="36"/>
    <x v="5"/>
    <x v="2"/>
  </r>
  <r>
    <x v="416"/>
    <n v="-14.5"/>
    <x v="8"/>
    <n v="588.69000000000005"/>
    <s v="Complete Access"/>
    <x v="7"/>
    <x v="1"/>
    <x v="5"/>
    <d v="1900-01-03T00:00:00"/>
    <n v="36"/>
    <x v="5"/>
    <x v="2"/>
  </r>
  <r>
    <x v="417"/>
    <n v="-18"/>
    <x v="892"/>
    <n v="603.19000000000005"/>
    <s v="Complete Access"/>
    <x v="312"/>
    <x v="1"/>
    <x v="5"/>
    <d v="1900-01-02T00:00:00"/>
    <n v="36"/>
    <x v="5"/>
    <x v="2"/>
  </r>
  <r>
    <x v="418"/>
    <n v="-20"/>
    <x v="782"/>
    <n v="714.54"/>
    <s v="Complete Access"/>
    <x v="130"/>
    <x v="0"/>
    <x v="0"/>
    <d v="1900-01-01T00:00:00"/>
    <n v="35"/>
    <x v="5"/>
    <x v="2"/>
  </r>
  <r>
    <x v="418"/>
    <n v="100"/>
    <x v="370"/>
    <n v="651.19000000000005"/>
    <s v="Complete Access"/>
    <x v="36"/>
    <x v="0"/>
    <x v="0"/>
    <d v="1900-01-01T00:00:00"/>
    <n v="35"/>
    <x v="5"/>
    <x v="2"/>
  </r>
  <r>
    <x v="418"/>
    <n v="270"/>
    <x v="370"/>
    <n v="921.19"/>
    <s v="Complete Access"/>
    <x v="36"/>
    <x v="0"/>
    <x v="0"/>
    <d v="1900-01-01T00:00:00"/>
    <n v="35"/>
    <x v="5"/>
    <x v="2"/>
  </r>
  <r>
    <x v="418"/>
    <n v="300"/>
    <x v="370"/>
    <n v="734.54"/>
    <s v="Complete Access"/>
    <x v="36"/>
    <x v="0"/>
    <x v="0"/>
    <d v="1900-01-01T00:00:00"/>
    <n v="35"/>
    <x v="5"/>
    <x v="2"/>
  </r>
  <r>
    <x v="418"/>
    <n v="-11.6"/>
    <x v="893"/>
    <n v="551.19000000000005"/>
    <s v="Complete Access"/>
    <x v="313"/>
    <x v="8"/>
    <x v="29"/>
    <d v="1900-01-01T00:00:00"/>
    <n v="35"/>
    <x v="5"/>
    <x v="2"/>
  </r>
  <r>
    <x v="418"/>
    <n v="-11.1"/>
    <x v="893"/>
    <n v="562.79"/>
    <s v="Complete Access"/>
    <x v="313"/>
    <x v="8"/>
    <x v="29"/>
    <d v="1900-01-01T00:00:00"/>
    <n v="35"/>
    <x v="5"/>
    <x v="2"/>
  </r>
  <r>
    <x v="418"/>
    <n v="-11.1"/>
    <x v="893"/>
    <n v="573.89"/>
    <s v="Complete Access"/>
    <x v="313"/>
    <x v="8"/>
    <x v="29"/>
    <d v="1900-01-01T00:00:00"/>
    <n v="35"/>
    <x v="5"/>
    <x v="2"/>
  </r>
  <r>
    <x v="418"/>
    <n v="-15"/>
    <x v="894"/>
    <n v="600.99"/>
    <s v="Complete Access"/>
    <x v="263"/>
    <x v="0"/>
    <x v="0"/>
    <d v="1900-01-01T00:00:00"/>
    <n v="35"/>
    <x v="5"/>
    <x v="2"/>
  </r>
  <r>
    <x v="418"/>
    <n v="-16"/>
    <x v="895"/>
    <n v="584.99"/>
    <s v="Complete Access"/>
    <x v="314"/>
    <x v="8"/>
    <x v="29"/>
    <d v="1900-01-01T00:00:00"/>
    <n v="35"/>
    <x v="5"/>
    <x v="2"/>
  </r>
  <r>
    <x v="418"/>
    <n v="-23.6"/>
    <x v="895"/>
    <n v="615.99"/>
    <s v="Complete Access"/>
    <x v="314"/>
    <x v="8"/>
    <x v="29"/>
    <d v="1900-01-01T00:00:00"/>
    <n v="35"/>
    <x v="5"/>
    <x v="2"/>
  </r>
  <r>
    <x v="418"/>
    <n v="-11.6"/>
    <x v="895"/>
    <n v="639.59"/>
    <s v="Complete Access"/>
    <x v="314"/>
    <x v="8"/>
    <x v="29"/>
    <d v="1900-01-01T00:00:00"/>
    <n v="35"/>
    <x v="5"/>
    <x v="2"/>
  </r>
  <r>
    <x v="418"/>
    <n v="-13.2"/>
    <x v="895"/>
    <n v="651.19000000000005"/>
    <s v="Complete Access"/>
    <x v="314"/>
    <x v="8"/>
    <x v="29"/>
    <d v="1900-01-01T00:00:00"/>
    <n v="35"/>
    <x v="5"/>
    <x v="2"/>
  </r>
  <r>
    <x v="418"/>
    <n v="-26.95"/>
    <x v="895"/>
    <n v="664.39"/>
    <s v="Complete Access"/>
    <x v="314"/>
    <x v="8"/>
    <x v="29"/>
    <d v="1900-01-01T00:00:00"/>
    <n v="35"/>
    <x v="5"/>
    <x v="2"/>
  </r>
  <r>
    <x v="418"/>
    <n v="-11.6"/>
    <x v="895"/>
    <n v="691.34"/>
    <s v="Complete Access"/>
    <x v="314"/>
    <x v="8"/>
    <x v="29"/>
    <d v="1900-01-01T00:00:00"/>
    <n v="35"/>
    <x v="5"/>
    <x v="2"/>
  </r>
  <r>
    <x v="418"/>
    <n v="-11.6"/>
    <x v="895"/>
    <n v="702.94"/>
    <s v="Complete Access"/>
    <x v="314"/>
    <x v="8"/>
    <x v="29"/>
    <d v="1900-01-01T00:00:00"/>
    <n v="35"/>
    <x v="5"/>
    <x v="2"/>
  </r>
  <r>
    <x v="418"/>
    <n v="-300"/>
    <x v="581"/>
    <n v="38294.160000000003"/>
    <s v="Netbank Saver"/>
    <x v="0"/>
    <x v="0"/>
    <x v="0"/>
    <d v="1900-01-01T00:00:00"/>
    <n v="35"/>
    <x v="5"/>
    <x v="2"/>
  </r>
  <r>
    <x v="418"/>
    <n v="-270"/>
    <x v="896"/>
    <n v="651.19000000000005"/>
    <s v="Complete Access"/>
    <x v="0"/>
    <x v="0"/>
    <x v="0"/>
    <d v="1900-01-01T00:00:00"/>
    <n v="35"/>
    <x v="5"/>
    <x v="2"/>
  </r>
  <r>
    <x v="418"/>
    <n v="-270"/>
    <x v="581"/>
    <n v="38024.160000000003"/>
    <s v="Netbank Saver"/>
    <x v="0"/>
    <x v="0"/>
    <x v="0"/>
    <d v="1900-01-01T00:00:00"/>
    <n v="35"/>
    <x v="5"/>
    <x v="2"/>
  </r>
  <r>
    <x v="418"/>
    <n v="-100"/>
    <x v="581"/>
    <n v="37924.160000000003"/>
    <s v="Netbank Saver"/>
    <x v="0"/>
    <x v="0"/>
    <x v="0"/>
    <d v="1900-01-01T00:00:00"/>
    <n v="35"/>
    <x v="5"/>
    <x v="2"/>
  </r>
  <r>
    <x v="418"/>
    <n v="-30"/>
    <x v="69"/>
    <n v="621.19000000000005"/>
    <s v="Complete Access"/>
    <x v="0"/>
    <x v="0"/>
    <x v="0"/>
    <d v="1900-01-01T00:00:00"/>
    <n v="35"/>
    <x v="5"/>
    <x v="2"/>
  </r>
  <r>
    <x v="419"/>
    <n v="-3300"/>
    <x v="538"/>
    <n v="635.44000000000005"/>
    <s v="Complete Access"/>
    <x v="0"/>
    <x v="0"/>
    <x v="0"/>
    <d v="1899-12-31T00:00:00"/>
    <n v="35"/>
    <x v="5"/>
    <x v="2"/>
  </r>
  <r>
    <x v="419"/>
    <n v="-5.85"/>
    <x v="897"/>
    <n v="629.59"/>
    <s v="Complete Access"/>
    <x v="27"/>
    <x v="1"/>
    <x v="5"/>
    <d v="1899-12-31T00:00:00"/>
    <n v="35"/>
    <x v="5"/>
    <x v="2"/>
  </r>
  <r>
    <x v="419"/>
    <n v="-195.05"/>
    <x v="898"/>
    <n v="434.54"/>
    <s v="Complete Access"/>
    <x v="76"/>
    <x v="2"/>
    <x v="2"/>
    <d v="1899-12-31T00:00:00"/>
    <n v="35"/>
    <x v="5"/>
    <x v="2"/>
  </r>
  <r>
    <x v="419"/>
    <n v="124.73"/>
    <x v="609"/>
    <n v="38594.160000000003"/>
    <s v="Netbank Saver"/>
    <x v="240"/>
    <x v="0"/>
    <x v="55"/>
    <d v="1899-12-31T00:00:00"/>
    <n v="35"/>
    <x v="5"/>
    <x v="2"/>
  </r>
  <r>
    <x v="419"/>
    <n v="3300"/>
    <x v="702"/>
    <n v="38469.43"/>
    <s v="Netbank Saver"/>
    <x v="36"/>
    <x v="0"/>
    <x v="0"/>
    <d v="1899-12-31T00:00:00"/>
    <n v="35"/>
    <x v="5"/>
    <x v="2"/>
  </r>
  <r>
    <x v="420"/>
    <n v="-500"/>
    <x v="656"/>
    <n v="3886.79"/>
    <s v="Complete Access"/>
    <x v="13"/>
    <x v="0"/>
    <x v="0"/>
    <d v="1900-01-30T00:00:00"/>
    <n v="35"/>
    <x v="6"/>
    <x v="2"/>
  </r>
  <r>
    <x v="420"/>
    <n v="-40"/>
    <x v="899"/>
    <n v="3846.79"/>
    <s v="Complete Access"/>
    <x v="12"/>
    <x v="5"/>
    <x v="8"/>
    <d v="1900-01-30T00:00:00"/>
    <n v="35"/>
    <x v="6"/>
    <x v="2"/>
  </r>
  <r>
    <x v="420"/>
    <n v="2348.84"/>
    <x v="900"/>
    <n v="4386.79"/>
    <s v="Complete Access"/>
    <x v="14"/>
    <x v="6"/>
    <x v="9"/>
    <d v="1900-01-30T00:00:00"/>
    <n v="35"/>
    <x v="6"/>
    <x v="2"/>
  </r>
  <r>
    <x v="420"/>
    <n v="100"/>
    <x v="901"/>
    <n v="3946.79"/>
    <s v="Complete Access"/>
    <x v="36"/>
    <x v="0"/>
    <x v="0"/>
    <d v="1900-01-30T00:00:00"/>
    <n v="35"/>
    <x v="6"/>
    <x v="2"/>
  </r>
  <r>
    <x v="420"/>
    <n v="-11.35"/>
    <x v="454"/>
    <n v="3935.44"/>
    <s v="Complete Access"/>
    <x v="9"/>
    <x v="4"/>
    <x v="6"/>
    <d v="1900-01-30T00:00:00"/>
    <n v="35"/>
    <x v="6"/>
    <x v="2"/>
  </r>
  <r>
    <x v="421"/>
    <n v="-14.5"/>
    <x v="8"/>
    <n v="2037.95"/>
    <s v="Complete Access"/>
    <x v="7"/>
    <x v="1"/>
    <x v="5"/>
    <d v="1900-01-29T00:00:00"/>
    <n v="35"/>
    <x v="6"/>
    <x v="2"/>
  </r>
  <r>
    <x v="422"/>
    <n v="-62.93"/>
    <x v="902"/>
    <n v="2132.59"/>
    <s v="Complete Access"/>
    <x v="8"/>
    <x v="1"/>
    <x v="5"/>
    <d v="1900-01-28T00:00:00"/>
    <n v="35"/>
    <x v="6"/>
    <x v="2"/>
  </r>
  <r>
    <x v="422"/>
    <n v="-40"/>
    <x v="903"/>
    <n v="2195.52"/>
    <s v="Complete Access"/>
    <x v="12"/>
    <x v="5"/>
    <x v="8"/>
    <d v="1900-01-28T00:00:00"/>
    <n v="35"/>
    <x v="6"/>
    <x v="2"/>
  </r>
  <r>
    <x v="422"/>
    <n v="-48"/>
    <x v="904"/>
    <n v="2066.9499999999998"/>
    <s v="Complete Access"/>
    <x v="27"/>
    <x v="1"/>
    <x v="5"/>
    <d v="1900-01-28T00:00:00"/>
    <n v="35"/>
    <x v="6"/>
    <x v="2"/>
  </r>
  <r>
    <x v="422"/>
    <n v="-17.13"/>
    <x v="905"/>
    <n v="2115.46"/>
    <s v="Complete Access"/>
    <x v="74"/>
    <x v="4"/>
    <x v="10"/>
    <d v="1900-01-28T00:00:00"/>
    <n v="35"/>
    <x v="6"/>
    <x v="2"/>
  </r>
  <r>
    <x v="422"/>
    <n v="-0.51"/>
    <x v="906"/>
    <n v="2114.9499999999998"/>
    <s v="Complete Access"/>
    <x v="10"/>
    <x v="0"/>
    <x v="0"/>
    <d v="1900-01-28T00:00:00"/>
    <n v="35"/>
    <x v="6"/>
    <x v="2"/>
  </r>
  <r>
    <x v="422"/>
    <n v="-14.5"/>
    <x v="8"/>
    <n v="2052.4499999999998"/>
    <s v="Complete Access"/>
    <x v="7"/>
    <x v="1"/>
    <x v="5"/>
    <d v="1900-01-28T00:00:00"/>
    <n v="35"/>
    <x v="6"/>
    <x v="2"/>
  </r>
  <r>
    <x v="423"/>
    <n v="16"/>
    <x v="907"/>
    <n v="2235.52"/>
    <s v="Complete Access"/>
    <x v="36"/>
    <x v="0"/>
    <x v="0"/>
    <d v="1900-01-26T00:00:00"/>
    <n v="35"/>
    <x v="6"/>
    <x v="2"/>
  </r>
  <r>
    <x v="424"/>
    <n v="-3.93"/>
    <x v="908"/>
    <n v="2251.89"/>
    <s v="Complete Access"/>
    <x v="285"/>
    <x v="5"/>
    <x v="8"/>
    <d v="1900-01-25T00:00:00"/>
    <n v="34"/>
    <x v="6"/>
    <x v="2"/>
  </r>
  <r>
    <x v="424"/>
    <n v="-32.369999999999997"/>
    <x v="578"/>
    <n v="2219.52"/>
    <s v="Complete Access"/>
    <x v="177"/>
    <x v="1"/>
    <x v="1"/>
    <d v="1900-01-25T00:00:00"/>
    <n v="34"/>
    <x v="6"/>
    <x v="2"/>
  </r>
  <r>
    <x v="425"/>
    <n v="-8.99"/>
    <x v="909"/>
    <n v="2268.8000000000002"/>
    <s v="Complete Access"/>
    <x v="27"/>
    <x v="1"/>
    <x v="5"/>
    <d v="1900-01-24T00:00:00"/>
    <n v="34"/>
    <x v="6"/>
    <x v="2"/>
  </r>
  <r>
    <x v="425"/>
    <n v="-12.98"/>
    <x v="910"/>
    <n v="2255.8200000000002"/>
    <s v="Complete Access"/>
    <x v="315"/>
    <x v="11"/>
    <x v="14"/>
    <d v="1900-01-24T00:00:00"/>
    <n v="34"/>
    <x v="6"/>
    <x v="2"/>
  </r>
  <r>
    <x v="426"/>
    <n v="35"/>
    <x v="911"/>
    <n v="2277.79"/>
    <s v="Complete Access"/>
    <x v="36"/>
    <x v="0"/>
    <x v="0"/>
    <d v="1900-01-23T00:00:00"/>
    <n v="34"/>
    <x v="6"/>
    <x v="2"/>
  </r>
  <r>
    <x v="427"/>
    <n v="-15"/>
    <x v="18"/>
    <n v="2242.79"/>
    <s v="Complete Access"/>
    <x v="16"/>
    <x v="1"/>
    <x v="5"/>
    <d v="1900-01-22T00:00:00"/>
    <n v="34"/>
    <x v="6"/>
    <x v="2"/>
  </r>
  <r>
    <x v="427"/>
    <n v="-11.13"/>
    <x v="912"/>
    <n v="2257.79"/>
    <s v="Complete Access"/>
    <x v="267"/>
    <x v="1"/>
    <x v="1"/>
    <d v="1900-01-22T00:00:00"/>
    <n v="34"/>
    <x v="6"/>
    <x v="2"/>
  </r>
  <r>
    <x v="428"/>
    <n v="-49.28"/>
    <x v="913"/>
    <n v="2410.5100000000002"/>
    <s v="Complete Access"/>
    <x v="8"/>
    <x v="1"/>
    <x v="5"/>
    <d v="1900-01-21T00:00:00"/>
    <n v="34"/>
    <x v="6"/>
    <x v="2"/>
  </r>
  <r>
    <x v="428"/>
    <n v="-107.05"/>
    <x v="914"/>
    <n v="2283.42"/>
    <s v="Complete Access"/>
    <x v="8"/>
    <x v="1"/>
    <x v="5"/>
    <d v="1900-01-21T00:00:00"/>
    <n v="34"/>
    <x v="6"/>
    <x v="2"/>
  </r>
  <r>
    <x v="428"/>
    <n v="-7.8"/>
    <x v="915"/>
    <n v="2459.79"/>
    <s v="Complete Access"/>
    <x v="218"/>
    <x v="8"/>
    <x v="29"/>
    <d v="1900-01-21T00:00:00"/>
    <n v="34"/>
    <x v="6"/>
    <x v="2"/>
  </r>
  <r>
    <x v="428"/>
    <n v="-14.5"/>
    <x v="8"/>
    <n v="2268.92"/>
    <s v="Complete Access"/>
    <x v="7"/>
    <x v="1"/>
    <x v="5"/>
    <d v="1900-01-21T00:00:00"/>
    <n v="34"/>
    <x v="6"/>
    <x v="2"/>
  </r>
  <r>
    <x v="428"/>
    <n v="-20.04"/>
    <x v="916"/>
    <n v="2390.4699999999998"/>
    <s v="Complete Access"/>
    <x v="316"/>
    <x v="1"/>
    <x v="5"/>
    <d v="1900-01-21T00:00:00"/>
    <n v="34"/>
    <x v="6"/>
    <x v="2"/>
  </r>
  <r>
    <x v="429"/>
    <n v="-93.08"/>
    <x v="772"/>
    <n v="2467.59"/>
    <s v="Complete Access"/>
    <x v="278"/>
    <x v="20"/>
    <x v="63"/>
    <d v="1900-01-20T00:00:00"/>
    <n v="34"/>
    <x v="6"/>
    <x v="2"/>
  </r>
  <r>
    <x v="430"/>
    <n v="-17.600000000000001"/>
    <x v="917"/>
    <n v="2525.67"/>
    <s v="Complete Access"/>
    <x v="317"/>
    <x v="1"/>
    <x v="5"/>
    <d v="1900-01-18T00:00:00"/>
    <n v="33"/>
    <x v="6"/>
    <x v="2"/>
  </r>
  <r>
    <x v="430"/>
    <n v="35"/>
    <x v="918"/>
    <n v="2560.67"/>
    <s v="Complete Access"/>
    <x v="36"/>
    <x v="0"/>
    <x v="0"/>
    <d v="1900-01-18T00:00:00"/>
    <n v="33"/>
    <x v="6"/>
    <x v="2"/>
  </r>
  <r>
    <x v="431"/>
    <n v="-342.5"/>
    <x v="919"/>
    <n v="2543.27"/>
    <s v="Complete Access"/>
    <x v="95"/>
    <x v="14"/>
    <x v="38"/>
    <d v="1900-01-17T00:00:00"/>
    <n v="33"/>
    <x v="6"/>
    <x v="2"/>
  </r>
  <r>
    <x v="432"/>
    <n v="-500"/>
    <x v="656"/>
    <n v="2863.83"/>
    <s v="Complete Access"/>
    <x v="13"/>
    <x v="0"/>
    <x v="0"/>
    <d v="1900-01-16T00:00:00"/>
    <n v="33"/>
    <x v="6"/>
    <x v="2"/>
  </r>
  <r>
    <x v="432"/>
    <n v="-28.39"/>
    <x v="920"/>
    <n v="2835.44"/>
    <s v="Complete Access"/>
    <x v="8"/>
    <x v="1"/>
    <x v="5"/>
    <d v="1900-01-16T00:00:00"/>
    <n v="33"/>
    <x v="6"/>
    <x v="2"/>
  </r>
  <r>
    <x v="432"/>
    <n v="2348.83"/>
    <x v="921"/>
    <n v="3363.83"/>
    <s v="Complete Access"/>
    <x v="14"/>
    <x v="6"/>
    <x v="9"/>
    <d v="1900-01-16T00:00:00"/>
    <n v="33"/>
    <x v="6"/>
    <x v="2"/>
  </r>
  <r>
    <x v="432"/>
    <n v="-37.200000000000003"/>
    <x v="922"/>
    <n v="2798.24"/>
    <s v="Complete Access"/>
    <x v="318"/>
    <x v="4"/>
    <x v="25"/>
    <d v="1900-01-16T00:00:00"/>
    <n v="33"/>
    <x v="6"/>
    <x v="2"/>
  </r>
  <r>
    <x v="432"/>
    <n v="-1.1200000000000001"/>
    <x v="923"/>
    <n v="2797.12"/>
    <s v="Complete Access"/>
    <x v="10"/>
    <x v="0"/>
    <x v="0"/>
    <d v="1900-01-16T00:00:00"/>
    <n v="33"/>
    <x v="6"/>
    <x v="2"/>
  </r>
  <r>
    <x v="432"/>
    <n v="100"/>
    <x v="924"/>
    <n v="2897.12"/>
    <s v="Complete Access"/>
    <x v="36"/>
    <x v="0"/>
    <x v="0"/>
    <d v="1900-01-16T00:00:00"/>
    <n v="33"/>
    <x v="6"/>
    <x v="2"/>
  </r>
  <r>
    <x v="432"/>
    <n v="-11.35"/>
    <x v="454"/>
    <n v="2885.77"/>
    <s v="Complete Access"/>
    <x v="9"/>
    <x v="4"/>
    <x v="6"/>
    <d v="1900-01-16T00:00:00"/>
    <n v="33"/>
    <x v="6"/>
    <x v="2"/>
  </r>
  <r>
    <x v="433"/>
    <n v="-100"/>
    <x v="925"/>
    <n v="1106.73"/>
    <s v="Complete Access"/>
    <x v="311"/>
    <x v="4"/>
    <x v="17"/>
    <d v="1900-01-15T00:00:00"/>
    <n v="33"/>
    <x v="6"/>
    <x v="2"/>
  </r>
  <r>
    <x v="433"/>
    <n v="-735.73"/>
    <x v="926"/>
    <n v="1251.42"/>
    <s v="Complete Access"/>
    <x v="93"/>
    <x v="9"/>
    <x v="36"/>
    <d v="1900-01-15T00:00:00"/>
    <n v="33"/>
    <x v="6"/>
    <x v="2"/>
  </r>
  <r>
    <x v="433"/>
    <n v="-18.45"/>
    <x v="578"/>
    <n v="1073.29"/>
    <s v="Complete Access"/>
    <x v="177"/>
    <x v="1"/>
    <x v="1"/>
    <d v="1900-01-15T00:00:00"/>
    <n v="33"/>
    <x v="6"/>
    <x v="2"/>
  </r>
  <r>
    <x v="433"/>
    <n v="-58.29"/>
    <x v="405"/>
    <n v="1015"/>
    <s v="Complete Access"/>
    <x v="177"/>
    <x v="1"/>
    <x v="1"/>
    <d v="1900-01-15T00:00:00"/>
    <n v="33"/>
    <x v="6"/>
    <x v="2"/>
  </r>
  <r>
    <x v="433"/>
    <n v="-14.99"/>
    <x v="927"/>
    <n v="1091.74"/>
    <s v="Complete Access"/>
    <x v="319"/>
    <x v="1"/>
    <x v="5"/>
    <d v="1900-01-15T00:00:00"/>
    <n v="33"/>
    <x v="6"/>
    <x v="2"/>
  </r>
  <r>
    <x v="433"/>
    <n v="-44.69"/>
    <x v="928"/>
    <n v="1206.73"/>
    <s v="Complete Access"/>
    <x v="1"/>
    <x v="1"/>
    <x v="1"/>
    <d v="1900-01-15T00:00:00"/>
    <n v="33"/>
    <x v="6"/>
    <x v="2"/>
  </r>
  <r>
    <x v="434"/>
    <n v="-1000"/>
    <x v="581"/>
    <n v="35169.43"/>
    <s v="Netbank Saver"/>
    <x v="0"/>
    <x v="0"/>
    <x v="0"/>
    <d v="1900-01-14T00:00:00"/>
    <n v="33"/>
    <x v="6"/>
    <x v="2"/>
  </r>
  <r>
    <x v="434"/>
    <n v="1000"/>
    <x v="370"/>
    <n v="1987.15"/>
    <s v="Complete Access"/>
    <x v="36"/>
    <x v="0"/>
    <x v="0"/>
    <d v="1900-01-14T00:00:00"/>
    <n v="33"/>
    <x v="6"/>
    <x v="2"/>
  </r>
  <r>
    <x v="434"/>
    <n v="-16.989999999999998"/>
    <x v="405"/>
    <n v="987.15"/>
    <s v="Complete Access"/>
    <x v="177"/>
    <x v="1"/>
    <x v="1"/>
    <d v="1900-01-14T00:00:00"/>
    <n v="33"/>
    <x v="6"/>
    <x v="2"/>
  </r>
  <r>
    <x v="435"/>
    <n v="-68"/>
    <x v="536"/>
    <n v="1004.14"/>
    <s v="Complete Access"/>
    <x v="216"/>
    <x v="9"/>
    <x v="36"/>
    <d v="1900-01-13T00:00:00"/>
    <n v="33"/>
    <x v="6"/>
    <x v="2"/>
  </r>
  <r>
    <x v="435"/>
    <n v="-22.53"/>
    <x v="532"/>
    <n v="1072.1400000000001"/>
    <s v="Complete Access"/>
    <x v="1"/>
    <x v="1"/>
    <x v="1"/>
    <d v="1900-01-13T00:00:00"/>
    <n v="33"/>
    <x v="6"/>
    <x v="2"/>
  </r>
  <r>
    <x v="436"/>
    <n v="-32"/>
    <x v="929"/>
    <n v="1094.67"/>
    <s v="Complete Access"/>
    <x v="320"/>
    <x v="8"/>
    <x v="29"/>
    <d v="1900-01-11T00:00:00"/>
    <n v="32"/>
    <x v="6"/>
    <x v="2"/>
  </r>
  <r>
    <x v="436"/>
    <n v="-1439.2"/>
    <x v="930"/>
    <n v="1164.97"/>
    <s v="Complete Access"/>
    <x v="321"/>
    <x v="4"/>
    <x v="47"/>
    <d v="1900-01-11T00:00:00"/>
    <n v="32"/>
    <x v="6"/>
    <x v="2"/>
  </r>
  <r>
    <x v="436"/>
    <n v="-38.299999999999997"/>
    <x v="931"/>
    <n v="1126.67"/>
    <s v="Complete Access"/>
    <x v="322"/>
    <x v="1"/>
    <x v="5"/>
    <d v="1900-01-11T00:00:00"/>
    <n v="32"/>
    <x v="6"/>
    <x v="2"/>
  </r>
  <r>
    <x v="437"/>
    <n v="-1500"/>
    <x v="932"/>
    <n v="36169.43"/>
    <s v="Netbank Saver"/>
    <x v="0"/>
    <x v="0"/>
    <x v="0"/>
    <d v="1900-01-09T00:00:00"/>
    <n v="32"/>
    <x v="6"/>
    <x v="2"/>
  </r>
  <r>
    <x v="437"/>
    <n v="1500"/>
    <x v="933"/>
    <n v="2604.17"/>
    <s v="Complete Access"/>
    <x v="36"/>
    <x v="0"/>
    <x v="0"/>
    <d v="1900-01-09T00:00:00"/>
    <n v="32"/>
    <x v="6"/>
    <x v="2"/>
  </r>
  <r>
    <x v="438"/>
    <n v="-1101.8900000000001"/>
    <x v="934"/>
    <n v="1174.6600000000001"/>
    <s v="Complete Access"/>
    <x v="13"/>
    <x v="0"/>
    <x v="0"/>
    <d v="1900-01-08T00:00:00"/>
    <n v="32"/>
    <x v="6"/>
    <x v="2"/>
  </r>
  <r>
    <x v="438"/>
    <n v="-33.24"/>
    <x v="533"/>
    <n v="1104.17"/>
    <s v="Complete Access"/>
    <x v="215"/>
    <x v="1"/>
    <x v="1"/>
    <d v="1900-01-08T00:00:00"/>
    <n v="32"/>
    <x v="6"/>
    <x v="2"/>
  </r>
  <r>
    <x v="438"/>
    <n v="-37.25"/>
    <x v="405"/>
    <n v="1137.4100000000001"/>
    <s v="Complete Access"/>
    <x v="177"/>
    <x v="1"/>
    <x v="1"/>
    <d v="1900-01-08T00:00:00"/>
    <n v="32"/>
    <x v="6"/>
    <x v="2"/>
  </r>
  <r>
    <x v="439"/>
    <n v="1.49"/>
    <x v="935"/>
    <n v="1947.19"/>
    <s v="Complete Access"/>
    <x v="323"/>
    <x v="0"/>
    <x v="0"/>
    <d v="1900-01-07T00:00:00"/>
    <n v="32"/>
    <x v="6"/>
    <x v="2"/>
  </r>
  <r>
    <x v="439"/>
    <n v="1.36"/>
    <x v="935"/>
    <n v="1945.7"/>
    <s v="Complete Access"/>
    <x v="323"/>
    <x v="0"/>
    <x v="0"/>
    <d v="1900-01-07T00:00:00"/>
    <n v="32"/>
    <x v="6"/>
    <x v="2"/>
  </r>
  <r>
    <x v="439"/>
    <n v="0.36"/>
    <x v="935"/>
    <n v="1944.34"/>
    <s v="Complete Access"/>
    <x v="323"/>
    <x v="0"/>
    <x v="0"/>
    <d v="1900-01-07T00:00:00"/>
    <n v="32"/>
    <x v="6"/>
    <x v="2"/>
  </r>
  <r>
    <x v="439"/>
    <n v="1.08"/>
    <x v="935"/>
    <n v="1943.98"/>
    <s v="Complete Access"/>
    <x v="323"/>
    <x v="0"/>
    <x v="0"/>
    <d v="1900-01-07T00:00:00"/>
    <n v="32"/>
    <x v="6"/>
    <x v="2"/>
  </r>
  <r>
    <x v="439"/>
    <n v="5.6"/>
    <x v="935"/>
    <n v="1942.9"/>
    <s v="Complete Access"/>
    <x v="323"/>
    <x v="0"/>
    <x v="0"/>
    <d v="1900-01-07T00:00:00"/>
    <n v="32"/>
    <x v="6"/>
    <x v="2"/>
  </r>
  <r>
    <x v="439"/>
    <n v="49.56"/>
    <x v="936"/>
    <n v="2276.5500000000002"/>
    <s v="Complete Access"/>
    <x v="324"/>
    <x v="0"/>
    <x v="0"/>
    <d v="1900-01-07T00:00:00"/>
    <n v="32"/>
    <x v="6"/>
    <x v="2"/>
  </r>
  <r>
    <x v="439"/>
    <n v="45.39"/>
    <x v="937"/>
    <n v="2226.9899999999998"/>
    <s v="Complete Access"/>
    <x v="324"/>
    <x v="0"/>
    <x v="0"/>
    <d v="1900-01-07T00:00:00"/>
    <n v="32"/>
    <x v="6"/>
    <x v="2"/>
  </r>
  <r>
    <x v="439"/>
    <n v="35.909999999999997"/>
    <x v="938"/>
    <n v="2169.69"/>
    <s v="Complete Access"/>
    <x v="324"/>
    <x v="0"/>
    <x v="0"/>
    <d v="1900-01-07T00:00:00"/>
    <n v="32"/>
    <x v="6"/>
    <x v="2"/>
  </r>
  <r>
    <x v="439"/>
    <n v="186.59"/>
    <x v="939"/>
    <n v="2133.7800000000002"/>
    <s v="Complete Access"/>
    <x v="324"/>
    <x v="0"/>
    <x v="0"/>
    <d v="1900-01-07T00:00:00"/>
    <n v="32"/>
    <x v="6"/>
    <x v="2"/>
  </r>
  <r>
    <x v="439"/>
    <n v="11.91"/>
    <x v="940"/>
    <n v="2181.6"/>
    <s v="Complete Access"/>
    <x v="324"/>
    <x v="0"/>
    <x v="0"/>
    <d v="1900-01-07T00:00:00"/>
    <n v="32"/>
    <x v="6"/>
    <x v="2"/>
  </r>
  <r>
    <x v="440"/>
    <n v="100"/>
    <x v="941"/>
    <n v="2037.3"/>
    <s v="Complete Access"/>
    <x v="27"/>
    <x v="1"/>
    <x v="5"/>
    <d v="1900-01-06T00:00:00"/>
    <n v="32"/>
    <x v="6"/>
    <x v="2"/>
  </r>
  <r>
    <x v="440"/>
    <n v="-100"/>
    <x v="942"/>
    <n v="1937.3"/>
    <s v="Complete Access"/>
    <x v="27"/>
    <x v="1"/>
    <x v="5"/>
    <d v="1900-01-06T00:00:00"/>
    <n v="32"/>
    <x v="6"/>
    <x v="2"/>
  </r>
  <r>
    <x v="440"/>
    <n v="-100"/>
    <x v="942"/>
    <n v="1937.3"/>
    <s v="Complete Access"/>
    <x v="27"/>
    <x v="1"/>
    <x v="5"/>
    <d v="1900-01-06T00:00:00"/>
    <n v="32"/>
    <x v="6"/>
    <x v="2"/>
  </r>
  <r>
    <x v="441"/>
    <n v="-40"/>
    <x v="942"/>
    <n v="2037.3"/>
    <s v="Complete Access"/>
    <x v="27"/>
    <x v="1"/>
    <x v="5"/>
    <d v="1900-01-03T00:00:00"/>
    <n v="31"/>
    <x v="6"/>
    <x v="2"/>
  </r>
  <r>
    <x v="442"/>
    <n v="-35000"/>
    <x v="943"/>
    <n v="1088.6500000000001"/>
    <s v="Complete Access"/>
    <x v="0"/>
    <x v="0"/>
    <x v="0"/>
    <d v="1900-01-02T00:00:00"/>
    <n v="31"/>
    <x v="6"/>
    <x v="2"/>
  </r>
  <r>
    <x v="442"/>
    <n v="-500"/>
    <x v="656"/>
    <n v="36038.65"/>
    <s v="Complete Access"/>
    <x v="13"/>
    <x v="0"/>
    <x v="0"/>
    <d v="1900-01-02T00:00:00"/>
    <n v="31"/>
    <x v="6"/>
    <x v="2"/>
  </r>
  <r>
    <x v="442"/>
    <n v="2348.84"/>
    <x v="944"/>
    <n v="36538.65"/>
    <s v="Complete Access"/>
    <x v="14"/>
    <x v="6"/>
    <x v="9"/>
    <d v="1900-01-02T00:00:00"/>
    <n v="31"/>
    <x v="6"/>
    <x v="2"/>
  </r>
  <r>
    <x v="442"/>
    <n v="100"/>
    <x v="945"/>
    <n v="36138.65"/>
    <s v="Complete Access"/>
    <x v="36"/>
    <x v="0"/>
    <x v="0"/>
    <d v="1900-01-02T00:00:00"/>
    <n v="31"/>
    <x v="6"/>
    <x v="2"/>
  </r>
  <r>
    <x v="442"/>
    <n v="1000"/>
    <x v="946"/>
    <n v="2088.65"/>
    <s v="Complete Access"/>
    <x v="325"/>
    <x v="6"/>
    <x v="64"/>
    <d v="1900-01-02T00:00:00"/>
    <n v="31"/>
    <x v="6"/>
    <x v="2"/>
  </r>
  <r>
    <x v="442"/>
    <n v="-11.35"/>
    <x v="454"/>
    <n v="2077.3000000000002"/>
    <s v="Complete Access"/>
    <x v="9"/>
    <x v="4"/>
    <x v="6"/>
    <d v="1900-01-02T00:00:00"/>
    <n v="31"/>
    <x v="6"/>
    <x v="2"/>
  </r>
  <r>
    <x v="442"/>
    <n v="-50"/>
    <x v="942"/>
    <n v="36088.65"/>
    <s v="Complete Access"/>
    <x v="27"/>
    <x v="1"/>
    <x v="5"/>
    <d v="1900-01-02T00:00:00"/>
    <n v="31"/>
    <x v="6"/>
    <x v="2"/>
  </r>
  <r>
    <x v="442"/>
    <n v="35000"/>
    <x v="947"/>
    <n v="37669.43"/>
    <s v="Netbank Saver"/>
    <x v="36"/>
    <x v="0"/>
    <x v="0"/>
    <d v="1900-01-02T00:00:00"/>
    <n v="31"/>
    <x v="6"/>
    <x v="2"/>
  </r>
  <r>
    <x v="443"/>
    <n v="40"/>
    <x v="941"/>
    <n v="34239.81"/>
    <s v="Complete Access"/>
    <x v="27"/>
    <x v="1"/>
    <x v="5"/>
    <d v="1900-01-01T00:00:00"/>
    <n v="31"/>
    <x v="6"/>
    <x v="2"/>
  </r>
  <r>
    <x v="443"/>
    <n v="-50"/>
    <x v="942"/>
    <n v="34189.81"/>
    <s v="Complete Access"/>
    <x v="27"/>
    <x v="1"/>
    <x v="5"/>
    <d v="1900-01-01T00:00:00"/>
    <n v="31"/>
    <x v="6"/>
    <x v="2"/>
  </r>
  <r>
    <x v="443"/>
    <n v="-40"/>
    <x v="942"/>
    <n v="34199.81"/>
    <s v="Complete Access"/>
    <x v="27"/>
    <x v="1"/>
    <x v="5"/>
    <d v="1900-01-01T00:00:00"/>
    <n v="31"/>
    <x v="6"/>
    <x v="2"/>
  </r>
  <r>
    <x v="444"/>
    <n v="-186.7"/>
    <x v="948"/>
    <n v="34239.81"/>
    <s v="Complete Access"/>
    <x v="76"/>
    <x v="2"/>
    <x v="2"/>
    <d v="1899-12-31T00:00:00"/>
    <n v="31"/>
    <x v="6"/>
    <x v="2"/>
  </r>
  <r>
    <x v="444"/>
    <n v="-20"/>
    <x v="942"/>
    <n v="34426.51"/>
    <s v="Complete Access"/>
    <x v="27"/>
    <x v="1"/>
    <x v="5"/>
    <d v="1899-12-31T00:00:00"/>
    <n v="31"/>
    <x v="6"/>
    <x v="2"/>
  </r>
  <r>
    <x v="444"/>
    <n v="4.9800000000000004"/>
    <x v="609"/>
    <n v="2669.43"/>
    <s v="Netbank Saver"/>
    <x v="240"/>
    <x v="0"/>
    <x v="55"/>
    <d v="1899-12-31T00:00:00"/>
    <n v="31"/>
    <x v="6"/>
    <x v="2"/>
  </r>
  <r>
    <x v="445"/>
    <n v="-60"/>
    <x v="949"/>
    <n v="34446.51"/>
    <s v="Complete Access"/>
    <x v="0"/>
    <x v="0"/>
    <x v="0"/>
    <d v="1900-01-29T00:00:00"/>
    <n v="31"/>
    <x v="7"/>
    <x v="2"/>
  </r>
  <r>
    <x v="445"/>
    <n v="-60"/>
    <x v="949"/>
    <n v="34446.51"/>
    <s v="Complete Access"/>
    <x v="0"/>
    <x v="0"/>
    <x v="0"/>
    <d v="1900-01-29T00:00:00"/>
    <n v="31"/>
    <x v="7"/>
    <x v="2"/>
  </r>
  <r>
    <x v="446"/>
    <n v="150"/>
    <x v="950"/>
    <n v="34656.51"/>
    <s v="Complete Access"/>
    <x v="27"/>
    <x v="1"/>
    <x v="5"/>
    <d v="1900-01-28T00:00:00"/>
    <n v="30"/>
    <x v="7"/>
    <x v="2"/>
  </r>
  <r>
    <x v="446"/>
    <n v="-150"/>
    <x v="951"/>
    <n v="34506.51"/>
    <s v="Complete Access"/>
    <x v="326"/>
    <x v="0"/>
    <x v="42"/>
    <d v="1900-01-28T00:00:00"/>
    <n v="30"/>
    <x v="7"/>
    <x v="2"/>
  </r>
  <r>
    <x v="446"/>
    <n v="-150"/>
    <x v="951"/>
    <n v="34506.51"/>
    <s v="Complete Access"/>
    <x v="326"/>
    <x v="0"/>
    <x v="42"/>
    <d v="1900-01-28T00:00:00"/>
    <n v="30"/>
    <x v="7"/>
    <x v="2"/>
  </r>
  <r>
    <x v="446"/>
    <n v="-150"/>
    <x v="952"/>
    <n v="34506.51"/>
    <s v="Complete Access"/>
    <x v="27"/>
    <x v="1"/>
    <x v="5"/>
    <d v="1900-01-28T00:00:00"/>
    <n v="30"/>
    <x v="7"/>
    <x v="2"/>
  </r>
  <r>
    <x v="447"/>
    <n v="-11.91"/>
    <x v="953"/>
    <n v="34951.949999999997"/>
    <s v="Complete Access"/>
    <x v="8"/>
    <x v="1"/>
    <x v="5"/>
    <d v="1900-01-26T00:00:00"/>
    <n v="30"/>
    <x v="7"/>
    <x v="2"/>
  </r>
  <r>
    <x v="447"/>
    <n v="-49.56"/>
    <x v="954"/>
    <n v="34818.29"/>
    <s v="Complete Access"/>
    <x v="8"/>
    <x v="1"/>
    <x v="5"/>
    <d v="1900-01-26T00:00:00"/>
    <n v="30"/>
    <x v="7"/>
    <x v="2"/>
  </r>
  <r>
    <x v="447"/>
    <n v="-45.39"/>
    <x v="955"/>
    <n v="34869.21"/>
    <s v="Complete Access"/>
    <x v="8"/>
    <x v="1"/>
    <x v="5"/>
    <d v="1900-01-26T00:00:00"/>
    <n v="30"/>
    <x v="7"/>
    <x v="2"/>
  </r>
  <r>
    <x v="447"/>
    <n v="-35.909999999999997"/>
    <x v="956"/>
    <n v="34915.68"/>
    <s v="Complete Access"/>
    <x v="8"/>
    <x v="1"/>
    <x v="5"/>
    <d v="1900-01-26T00:00:00"/>
    <n v="30"/>
    <x v="7"/>
    <x v="2"/>
  </r>
  <r>
    <x v="447"/>
    <n v="-16.39"/>
    <x v="957"/>
    <n v="34657"/>
    <s v="Complete Access"/>
    <x v="74"/>
    <x v="4"/>
    <x v="10"/>
    <d v="1900-01-26T00:00:00"/>
    <n v="30"/>
    <x v="7"/>
    <x v="2"/>
  </r>
  <r>
    <x v="447"/>
    <n v="-0.49"/>
    <x v="958"/>
    <n v="34656.51"/>
    <s v="Complete Access"/>
    <x v="10"/>
    <x v="0"/>
    <x v="0"/>
    <d v="1900-01-26T00:00:00"/>
    <n v="30"/>
    <x v="7"/>
    <x v="2"/>
  </r>
  <r>
    <x v="447"/>
    <n v="-3.3"/>
    <x v="959"/>
    <n v="34703.39"/>
    <s v="Complete Access"/>
    <x v="10"/>
    <x v="0"/>
    <x v="0"/>
    <d v="1900-01-26T00:00:00"/>
    <n v="30"/>
    <x v="7"/>
    <x v="2"/>
  </r>
  <r>
    <x v="447"/>
    <n v="-1.49"/>
    <x v="959"/>
    <n v="34816.800000000003"/>
    <s v="Complete Access"/>
    <x v="10"/>
    <x v="0"/>
    <x v="0"/>
    <d v="1900-01-26T00:00:00"/>
    <n v="30"/>
    <x v="7"/>
    <x v="2"/>
  </r>
  <r>
    <x v="447"/>
    <n v="-1.36"/>
    <x v="959"/>
    <n v="34867.85"/>
    <s v="Complete Access"/>
    <x v="10"/>
    <x v="0"/>
    <x v="0"/>
    <d v="1900-01-26T00:00:00"/>
    <n v="30"/>
    <x v="7"/>
    <x v="2"/>
  </r>
  <r>
    <x v="447"/>
    <n v="-1.08"/>
    <x v="959"/>
    <n v="34914.6"/>
    <s v="Complete Access"/>
    <x v="10"/>
    <x v="0"/>
    <x v="0"/>
    <d v="1900-01-26T00:00:00"/>
    <n v="30"/>
    <x v="7"/>
    <x v="2"/>
  </r>
  <r>
    <x v="447"/>
    <n v="-0.36"/>
    <x v="959"/>
    <n v="34951.589999999997"/>
    <s v="Complete Access"/>
    <x v="10"/>
    <x v="0"/>
    <x v="0"/>
    <d v="1900-01-26T00:00:00"/>
    <n v="30"/>
    <x v="7"/>
    <x v="2"/>
  </r>
  <r>
    <x v="447"/>
    <n v="-15"/>
    <x v="960"/>
    <n v="34673.39"/>
    <s v="Complete Access"/>
    <x v="327"/>
    <x v="4"/>
    <x v="27"/>
    <d v="1900-01-26T00:00:00"/>
    <n v="30"/>
    <x v="7"/>
    <x v="2"/>
  </r>
  <r>
    <x v="447"/>
    <n v="-15"/>
    <x v="960"/>
    <n v="34688.39"/>
    <s v="Complete Access"/>
    <x v="327"/>
    <x v="4"/>
    <x v="27"/>
    <d v="1900-01-26T00:00:00"/>
    <n v="30"/>
    <x v="7"/>
    <x v="2"/>
  </r>
  <r>
    <x v="447"/>
    <n v="-110.11"/>
    <x v="961"/>
    <n v="34706.69"/>
    <s v="Complete Access"/>
    <x v="328"/>
    <x v="4"/>
    <x v="47"/>
    <d v="1900-01-26T00:00:00"/>
    <n v="30"/>
    <x v="7"/>
    <x v="2"/>
  </r>
  <r>
    <x v="448"/>
    <n v="-186.59"/>
    <x v="962"/>
    <n v="34969.46"/>
    <s v="Complete Access"/>
    <x v="8"/>
    <x v="1"/>
    <x v="5"/>
    <d v="1900-01-25T00:00:00"/>
    <n v="30"/>
    <x v="7"/>
    <x v="2"/>
  </r>
  <r>
    <x v="448"/>
    <n v="-5.6"/>
    <x v="959"/>
    <n v="34963.86"/>
    <s v="Complete Access"/>
    <x v="10"/>
    <x v="0"/>
    <x v="0"/>
    <d v="1900-01-25T00:00:00"/>
    <n v="30"/>
    <x v="7"/>
    <x v="2"/>
  </r>
  <r>
    <x v="449"/>
    <n v="-28.49"/>
    <x v="963"/>
    <n v="35201.32"/>
    <s v="Complete Access"/>
    <x v="8"/>
    <x v="1"/>
    <x v="5"/>
    <d v="1900-01-21T00:00:00"/>
    <n v="29"/>
    <x v="7"/>
    <x v="2"/>
  </r>
  <r>
    <x v="449"/>
    <n v="-13.99"/>
    <x v="533"/>
    <n v="35156.050000000003"/>
    <s v="Complete Access"/>
    <x v="215"/>
    <x v="1"/>
    <x v="1"/>
    <d v="1900-01-21T00:00:00"/>
    <n v="29"/>
    <x v="7"/>
    <x v="2"/>
  </r>
  <r>
    <x v="449"/>
    <n v="-31.28"/>
    <x v="405"/>
    <n v="35170.04"/>
    <s v="Complete Access"/>
    <x v="177"/>
    <x v="1"/>
    <x v="1"/>
    <d v="1900-01-21T00:00:00"/>
    <n v="29"/>
    <x v="7"/>
    <x v="2"/>
  </r>
  <r>
    <x v="450"/>
    <n v="-8.76"/>
    <x v="964"/>
    <n v="35229.81"/>
    <s v="Complete Access"/>
    <x v="34"/>
    <x v="9"/>
    <x v="12"/>
    <d v="1900-01-20T00:00:00"/>
    <n v="29"/>
    <x v="7"/>
    <x v="2"/>
  </r>
  <r>
    <x v="450"/>
    <n v="-14"/>
    <x v="964"/>
    <n v="35238.57"/>
    <s v="Complete Access"/>
    <x v="34"/>
    <x v="9"/>
    <x v="12"/>
    <d v="1900-01-20T00:00:00"/>
    <n v="29"/>
    <x v="7"/>
    <x v="2"/>
  </r>
  <r>
    <x v="451"/>
    <n v="-500"/>
    <x v="656"/>
    <n v="35170.42"/>
    <s v="Complete Access"/>
    <x v="13"/>
    <x v="0"/>
    <x v="0"/>
    <d v="1900-01-19T00:00:00"/>
    <n v="29"/>
    <x v="7"/>
    <x v="2"/>
  </r>
  <r>
    <x v="451"/>
    <n v="2348.83"/>
    <x v="965"/>
    <n v="35670.42"/>
    <s v="Complete Access"/>
    <x v="14"/>
    <x v="6"/>
    <x v="9"/>
    <d v="1900-01-19T00:00:00"/>
    <n v="29"/>
    <x v="7"/>
    <x v="2"/>
  </r>
  <r>
    <x v="451"/>
    <n v="-6.5"/>
    <x v="966"/>
    <n v="35263.919999999998"/>
    <s v="Complete Access"/>
    <x v="215"/>
    <x v="1"/>
    <x v="1"/>
    <d v="1900-01-19T00:00:00"/>
    <n v="29"/>
    <x v="7"/>
    <x v="2"/>
  </r>
  <r>
    <x v="451"/>
    <n v="100"/>
    <x v="967"/>
    <n v="35270.42"/>
    <s v="Complete Access"/>
    <x v="36"/>
    <x v="0"/>
    <x v="0"/>
    <d v="1900-01-19T00:00:00"/>
    <n v="29"/>
    <x v="7"/>
    <x v="2"/>
  </r>
  <r>
    <x v="451"/>
    <n v="-11.35"/>
    <x v="454"/>
    <n v="35252.57"/>
    <s v="Complete Access"/>
    <x v="9"/>
    <x v="4"/>
    <x v="6"/>
    <d v="1900-01-19T00:00:00"/>
    <n v="29"/>
    <x v="7"/>
    <x v="2"/>
  </r>
  <r>
    <x v="452"/>
    <n v="-69"/>
    <x v="968"/>
    <n v="33321.589999999997"/>
    <s v="Complete Access"/>
    <x v="207"/>
    <x v="7"/>
    <x v="11"/>
    <d v="1900-01-18T00:00:00"/>
    <n v="29"/>
    <x v="7"/>
    <x v="2"/>
  </r>
  <r>
    <x v="453"/>
    <n v="-13.99"/>
    <x v="405"/>
    <n v="33390.589999999997"/>
    <s v="Complete Access"/>
    <x v="177"/>
    <x v="1"/>
    <x v="1"/>
    <d v="1900-01-17T00:00:00"/>
    <n v="29"/>
    <x v="7"/>
    <x v="2"/>
  </r>
  <r>
    <x v="454"/>
    <n v="-69.81"/>
    <x v="405"/>
    <n v="33404.58"/>
    <s v="Complete Access"/>
    <x v="177"/>
    <x v="1"/>
    <x v="1"/>
    <d v="1900-01-16T00:00:00"/>
    <n v="29"/>
    <x v="7"/>
    <x v="2"/>
  </r>
  <r>
    <x v="454"/>
    <n v="-27.4"/>
    <x v="532"/>
    <n v="33474.39"/>
    <s v="Complete Access"/>
    <x v="1"/>
    <x v="1"/>
    <x v="1"/>
    <d v="1900-01-16T00:00:00"/>
    <n v="29"/>
    <x v="7"/>
    <x v="2"/>
  </r>
  <r>
    <x v="455"/>
    <n v="-16.13"/>
    <x v="969"/>
    <n v="33507.29"/>
    <s v="Complete Access"/>
    <x v="177"/>
    <x v="1"/>
    <x v="1"/>
    <d v="1900-01-14T00:00:00"/>
    <n v="28"/>
    <x v="7"/>
    <x v="2"/>
  </r>
  <r>
    <x v="455"/>
    <n v="-5.5"/>
    <x v="532"/>
    <n v="33501.79"/>
    <s v="Complete Access"/>
    <x v="1"/>
    <x v="1"/>
    <x v="1"/>
    <d v="1900-01-14T00:00:00"/>
    <n v="28"/>
    <x v="7"/>
    <x v="2"/>
  </r>
  <r>
    <x v="456"/>
    <n v="-20"/>
    <x v="970"/>
    <n v="33537.919999999998"/>
    <s v="Complete Access"/>
    <x v="12"/>
    <x v="5"/>
    <x v="8"/>
    <d v="1900-01-11T00:00:00"/>
    <n v="28"/>
    <x v="7"/>
    <x v="2"/>
  </r>
  <r>
    <x v="456"/>
    <n v="-14.5"/>
    <x v="8"/>
    <n v="33523.42"/>
    <s v="Complete Access"/>
    <x v="7"/>
    <x v="1"/>
    <x v="5"/>
    <d v="1900-01-11T00:00:00"/>
    <n v="28"/>
    <x v="7"/>
    <x v="2"/>
  </r>
  <r>
    <x v="457"/>
    <n v="-28.25"/>
    <x v="969"/>
    <n v="33557.919999999998"/>
    <s v="Complete Access"/>
    <x v="177"/>
    <x v="1"/>
    <x v="1"/>
    <d v="1900-01-10T00:00:00"/>
    <n v="28"/>
    <x v="7"/>
    <x v="2"/>
  </r>
  <r>
    <x v="457"/>
    <n v="-14.5"/>
    <x v="8"/>
    <n v="33586.17"/>
    <s v="Complete Access"/>
    <x v="7"/>
    <x v="1"/>
    <x v="5"/>
    <d v="1900-01-10T00:00:00"/>
    <n v="28"/>
    <x v="7"/>
    <x v="2"/>
  </r>
  <r>
    <x v="457"/>
    <n v="396"/>
    <x v="971"/>
    <n v="33600.67"/>
    <s v="Complete Access"/>
    <x v="36"/>
    <x v="0"/>
    <x v="0"/>
    <d v="1900-01-10T00:00:00"/>
    <n v="28"/>
    <x v="7"/>
    <x v="2"/>
  </r>
  <r>
    <x v="458"/>
    <n v="1949.33"/>
    <x v="972"/>
    <n v="33204.67"/>
    <s v="Complete Access"/>
    <x v="192"/>
    <x v="4"/>
    <x v="20"/>
    <d v="1900-01-09T00:00:00"/>
    <n v="28"/>
    <x v="7"/>
    <x v="2"/>
  </r>
  <r>
    <x v="459"/>
    <n v="-39.590000000000003"/>
    <x v="405"/>
    <n v="31255.34"/>
    <s v="Complete Access"/>
    <x v="177"/>
    <x v="1"/>
    <x v="1"/>
    <d v="1900-01-07T00:00:00"/>
    <n v="27"/>
    <x v="7"/>
    <x v="2"/>
  </r>
  <r>
    <x v="460"/>
    <n v="-500"/>
    <x v="656"/>
    <n v="31194.93"/>
    <s v="Complete Access"/>
    <x v="13"/>
    <x v="0"/>
    <x v="0"/>
    <d v="1900-01-05T00:00:00"/>
    <n v="27"/>
    <x v="7"/>
    <x v="2"/>
  </r>
  <r>
    <x v="460"/>
    <n v="-20"/>
    <x v="973"/>
    <n v="31694.93"/>
    <s v="Complete Access"/>
    <x v="12"/>
    <x v="5"/>
    <x v="8"/>
    <d v="1900-01-05T00:00:00"/>
    <n v="27"/>
    <x v="7"/>
    <x v="2"/>
  </r>
  <r>
    <x v="460"/>
    <n v="2348.84"/>
    <x v="974"/>
    <n v="31714.93"/>
    <s v="Complete Access"/>
    <x v="14"/>
    <x v="6"/>
    <x v="9"/>
    <d v="1900-01-05T00:00:00"/>
    <n v="27"/>
    <x v="7"/>
    <x v="2"/>
  </r>
  <r>
    <x v="460"/>
    <n v="100"/>
    <x v="975"/>
    <n v="31294.93"/>
    <s v="Complete Access"/>
    <x v="36"/>
    <x v="0"/>
    <x v="0"/>
    <d v="1900-01-05T00:00:00"/>
    <n v="27"/>
    <x v="7"/>
    <x v="2"/>
  </r>
  <r>
    <x v="461"/>
    <n v="-21.78"/>
    <x v="976"/>
    <n v="29406.93"/>
    <s v="Complete Access"/>
    <x v="8"/>
    <x v="1"/>
    <x v="5"/>
    <d v="1900-01-03T00:00:00"/>
    <n v="27"/>
    <x v="7"/>
    <x v="2"/>
  </r>
  <r>
    <x v="461"/>
    <n v="-20"/>
    <x v="977"/>
    <n v="29448.51"/>
    <s v="Complete Access"/>
    <x v="12"/>
    <x v="5"/>
    <x v="8"/>
    <d v="1900-01-03T00:00:00"/>
    <n v="27"/>
    <x v="7"/>
    <x v="2"/>
  </r>
  <r>
    <x v="461"/>
    <n v="-25.34"/>
    <x v="966"/>
    <n v="29366.09"/>
    <s v="Complete Access"/>
    <x v="215"/>
    <x v="1"/>
    <x v="1"/>
    <d v="1900-01-03T00:00:00"/>
    <n v="27"/>
    <x v="7"/>
    <x v="2"/>
  </r>
  <r>
    <x v="461"/>
    <n v="-15.5"/>
    <x v="8"/>
    <n v="29391.43"/>
    <s v="Complete Access"/>
    <x v="7"/>
    <x v="1"/>
    <x v="5"/>
    <d v="1900-01-03T00:00:00"/>
    <n v="27"/>
    <x v="7"/>
    <x v="2"/>
  </r>
  <r>
    <x v="461"/>
    <n v="-19.8"/>
    <x v="978"/>
    <n v="29428.71"/>
    <s v="Complete Access"/>
    <x v="329"/>
    <x v="4"/>
    <x v="7"/>
    <d v="1900-01-03T00:00:00"/>
    <n v="27"/>
    <x v="7"/>
    <x v="2"/>
  </r>
  <r>
    <x v="462"/>
    <n v="-28.6"/>
    <x v="969"/>
    <n v="29655.21"/>
    <s v="Complete Access"/>
    <x v="177"/>
    <x v="1"/>
    <x v="1"/>
    <d v="1900-01-02T00:00:00"/>
    <n v="27"/>
    <x v="7"/>
    <x v="2"/>
  </r>
  <r>
    <x v="462"/>
    <n v="-14.5"/>
    <x v="8"/>
    <n v="29690.54"/>
    <s v="Complete Access"/>
    <x v="7"/>
    <x v="1"/>
    <x v="5"/>
    <d v="1900-01-02T00:00:00"/>
    <n v="27"/>
    <x v="7"/>
    <x v="2"/>
  </r>
  <r>
    <x v="462"/>
    <n v="-186.7"/>
    <x v="979"/>
    <n v="29468.51"/>
    <s v="Complete Access"/>
    <x v="76"/>
    <x v="2"/>
    <x v="2"/>
    <d v="1900-01-02T00:00:00"/>
    <n v="27"/>
    <x v="7"/>
    <x v="2"/>
  </r>
  <r>
    <x v="462"/>
    <n v="-6.73"/>
    <x v="532"/>
    <n v="29683.81"/>
    <s v="Complete Access"/>
    <x v="1"/>
    <x v="1"/>
    <x v="1"/>
    <d v="1900-01-02T00:00:00"/>
    <n v="27"/>
    <x v="7"/>
    <x v="2"/>
  </r>
  <r>
    <x v="463"/>
    <n v="-38.74"/>
    <x v="532"/>
    <n v="29705.040000000001"/>
    <s v="Complete Access"/>
    <x v="1"/>
    <x v="1"/>
    <x v="1"/>
    <d v="1899-12-31T00:00:00"/>
    <n v="26"/>
    <x v="7"/>
    <x v="2"/>
  </r>
  <r>
    <x v="463"/>
    <n v="4.54"/>
    <x v="609"/>
    <n v="2664.45"/>
    <s v="Netbank Saver"/>
    <x v="240"/>
    <x v="0"/>
    <x v="55"/>
    <d v="1899-12-31T00:00:00"/>
    <n v="26"/>
    <x v="7"/>
    <x v="2"/>
  </r>
  <r>
    <x v="464"/>
    <n v="-362.91"/>
    <x v="980"/>
    <n v="29743.78"/>
    <s v="Complete Access"/>
    <x v="295"/>
    <x v="14"/>
    <x v="66"/>
    <d v="1900-01-28T00:00:00"/>
    <n v="26"/>
    <x v="8"/>
    <x v="2"/>
  </r>
  <r>
    <x v="465"/>
    <n v="-25"/>
    <x v="981"/>
    <n v="30106.69"/>
    <s v="Complete Access"/>
    <x v="330"/>
    <x v="0"/>
    <x v="0"/>
    <d v="1900-01-27T00:00:00"/>
    <n v="26"/>
    <x v="8"/>
    <x v="2"/>
  </r>
  <r>
    <x v="465"/>
    <n v="-16"/>
    <x v="981"/>
    <n v="30131.69"/>
    <s v="Complete Access"/>
    <x v="330"/>
    <x v="0"/>
    <x v="0"/>
    <d v="1900-01-27T00:00:00"/>
    <n v="26"/>
    <x v="8"/>
    <x v="2"/>
  </r>
  <r>
    <x v="466"/>
    <n v="-28.94"/>
    <x v="982"/>
    <n v="30163.69"/>
    <s v="Complete Access"/>
    <x v="8"/>
    <x v="1"/>
    <x v="5"/>
    <d v="1900-01-26T00:00:00"/>
    <n v="26"/>
    <x v="8"/>
    <x v="2"/>
  </r>
  <r>
    <x v="466"/>
    <n v="-16.510000000000002"/>
    <x v="983"/>
    <n v="30193.13"/>
    <s v="Complete Access"/>
    <x v="74"/>
    <x v="4"/>
    <x v="10"/>
    <d v="1900-01-26T00:00:00"/>
    <n v="26"/>
    <x v="8"/>
    <x v="2"/>
  </r>
  <r>
    <x v="466"/>
    <n v="-0.5"/>
    <x v="984"/>
    <n v="30192.63"/>
    <s v="Complete Access"/>
    <x v="10"/>
    <x v="0"/>
    <x v="0"/>
    <d v="1900-01-26T00:00:00"/>
    <n v="26"/>
    <x v="8"/>
    <x v="2"/>
  </r>
  <r>
    <x v="466"/>
    <n v="-16"/>
    <x v="966"/>
    <n v="30147.69"/>
    <s v="Complete Access"/>
    <x v="215"/>
    <x v="1"/>
    <x v="1"/>
    <d v="1900-01-26T00:00:00"/>
    <n v="26"/>
    <x v="8"/>
    <x v="2"/>
  </r>
  <r>
    <x v="467"/>
    <n v="-19.940000000000001"/>
    <x v="969"/>
    <n v="30209.64"/>
    <s v="Complete Access"/>
    <x v="177"/>
    <x v="1"/>
    <x v="1"/>
    <d v="1900-01-24T00:00:00"/>
    <n v="26"/>
    <x v="8"/>
    <x v="2"/>
  </r>
  <r>
    <x v="468"/>
    <n v="-38.39"/>
    <x v="405"/>
    <n v="30229.58"/>
    <s v="Complete Access"/>
    <x v="177"/>
    <x v="1"/>
    <x v="1"/>
    <d v="1900-01-23T00:00:00"/>
    <n v="25"/>
    <x v="8"/>
    <x v="2"/>
  </r>
  <r>
    <x v="469"/>
    <n v="-60.39"/>
    <x v="985"/>
    <n v="30267.97"/>
    <s v="Complete Access"/>
    <x v="1"/>
    <x v="1"/>
    <x v="1"/>
    <d v="1900-01-22T00:00:00"/>
    <n v="25"/>
    <x v="8"/>
    <x v="2"/>
  </r>
  <r>
    <x v="470"/>
    <n v="-500"/>
    <x v="656"/>
    <n v="30228.36"/>
    <s v="Complete Access"/>
    <x v="13"/>
    <x v="0"/>
    <x v="0"/>
    <d v="1900-01-21T00:00:00"/>
    <n v="25"/>
    <x v="8"/>
    <x v="2"/>
  </r>
  <r>
    <x v="470"/>
    <n v="2332.84"/>
    <x v="728"/>
    <n v="30728.36"/>
    <s v="Complete Access"/>
    <x v="14"/>
    <x v="6"/>
    <x v="9"/>
    <d v="1900-01-21T00:00:00"/>
    <n v="25"/>
    <x v="8"/>
    <x v="2"/>
  </r>
  <r>
    <x v="470"/>
    <n v="100"/>
    <x v="986"/>
    <n v="30328.36"/>
    <s v="Complete Access"/>
    <x v="36"/>
    <x v="0"/>
    <x v="0"/>
    <d v="1900-01-21T00:00:00"/>
    <n v="25"/>
    <x v="8"/>
    <x v="2"/>
  </r>
  <r>
    <x v="471"/>
    <n v="-30.27"/>
    <x v="987"/>
    <n v="28480.32"/>
    <s v="Complete Access"/>
    <x v="8"/>
    <x v="1"/>
    <x v="5"/>
    <d v="1900-01-20T00:00:00"/>
    <n v="25"/>
    <x v="8"/>
    <x v="2"/>
  </r>
  <r>
    <x v="471"/>
    <n v="-11"/>
    <x v="988"/>
    <n v="28469.32"/>
    <s v="Complete Access"/>
    <x v="331"/>
    <x v="1"/>
    <x v="5"/>
    <d v="1900-01-20T00:00:00"/>
    <n v="25"/>
    <x v="8"/>
    <x v="2"/>
  </r>
  <r>
    <x v="471"/>
    <n v="-73.8"/>
    <x v="989"/>
    <n v="28395.52"/>
    <s v="Complete Access"/>
    <x v="332"/>
    <x v="1"/>
    <x v="5"/>
    <d v="1900-01-20T00:00:00"/>
    <n v="25"/>
    <x v="8"/>
    <x v="2"/>
  </r>
  <r>
    <x v="472"/>
    <n v="-29.59"/>
    <x v="990"/>
    <n v="28541.56"/>
    <s v="Complete Access"/>
    <x v="8"/>
    <x v="1"/>
    <x v="5"/>
    <d v="1900-01-19T00:00:00"/>
    <n v="25"/>
    <x v="8"/>
    <x v="2"/>
  </r>
  <r>
    <x v="472"/>
    <n v="-30.97"/>
    <x v="969"/>
    <n v="28510.59"/>
    <s v="Complete Access"/>
    <x v="177"/>
    <x v="1"/>
    <x v="1"/>
    <d v="1900-01-19T00:00:00"/>
    <n v="25"/>
    <x v="8"/>
    <x v="2"/>
  </r>
  <r>
    <x v="473"/>
    <n v="-69"/>
    <x v="991"/>
    <n v="28625.03"/>
    <s v="Complete Access"/>
    <x v="207"/>
    <x v="7"/>
    <x v="11"/>
    <d v="1900-01-16T00:00:00"/>
    <n v="24"/>
    <x v="8"/>
    <x v="2"/>
  </r>
  <r>
    <x v="473"/>
    <n v="-16.18"/>
    <x v="992"/>
    <n v="28608.85"/>
    <s v="Complete Access"/>
    <x v="333"/>
    <x v="1"/>
    <x v="5"/>
    <d v="1900-01-16T00:00:00"/>
    <n v="24"/>
    <x v="8"/>
    <x v="2"/>
  </r>
  <r>
    <x v="473"/>
    <n v="-37.700000000000003"/>
    <x v="405"/>
    <n v="28571.15"/>
    <s v="Complete Access"/>
    <x v="177"/>
    <x v="1"/>
    <x v="1"/>
    <d v="1900-01-16T00:00:00"/>
    <n v="24"/>
    <x v="8"/>
    <x v="2"/>
  </r>
  <r>
    <x v="474"/>
    <n v="-4.5"/>
    <x v="993"/>
    <n v="28694.03"/>
    <s v="Complete Access"/>
    <x v="277"/>
    <x v="8"/>
    <x v="29"/>
    <d v="1900-01-14T00:00:00"/>
    <n v="24"/>
    <x v="8"/>
    <x v="2"/>
  </r>
  <r>
    <x v="475"/>
    <n v="-20"/>
    <x v="994"/>
    <n v="28698.53"/>
    <s v="Complete Access"/>
    <x v="12"/>
    <x v="5"/>
    <x v="8"/>
    <d v="1900-01-13T00:00:00"/>
    <n v="24"/>
    <x v="8"/>
    <x v="2"/>
  </r>
  <r>
    <x v="476"/>
    <n v="-27.19"/>
    <x v="995"/>
    <n v="28753.24"/>
    <s v="Complete Access"/>
    <x v="8"/>
    <x v="1"/>
    <x v="5"/>
    <d v="1900-01-12T00:00:00"/>
    <n v="24"/>
    <x v="8"/>
    <x v="2"/>
  </r>
  <r>
    <x v="476"/>
    <n v="-19.72"/>
    <x v="966"/>
    <n v="28718.53"/>
    <s v="Complete Access"/>
    <x v="215"/>
    <x v="1"/>
    <x v="1"/>
    <d v="1900-01-12T00:00:00"/>
    <n v="24"/>
    <x v="8"/>
    <x v="2"/>
  </r>
  <r>
    <x v="476"/>
    <n v="-14.99"/>
    <x v="927"/>
    <n v="28738.25"/>
    <s v="Complete Access"/>
    <x v="319"/>
    <x v="1"/>
    <x v="5"/>
    <d v="1900-01-12T00:00:00"/>
    <n v="24"/>
    <x v="8"/>
    <x v="2"/>
  </r>
  <r>
    <x v="477"/>
    <n v="800"/>
    <x v="946"/>
    <n v="28780.43"/>
    <s v="Complete Access"/>
    <x v="325"/>
    <x v="6"/>
    <x v="64"/>
    <d v="1900-01-11T00:00:00"/>
    <n v="24"/>
    <x v="8"/>
    <x v="2"/>
  </r>
  <r>
    <x v="478"/>
    <n v="-19.34"/>
    <x v="532"/>
    <n v="27980.43"/>
    <s v="Complete Access"/>
    <x v="1"/>
    <x v="1"/>
    <x v="1"/>
    <d v="1900-01-10T00:00:00"/>
    <n v="24"/>
    <x v="8"/>
    <x v="2"/>
  </r>
  <r>
    <x v="479"/>
    <n v="-25.19"/>
    <x v="996"/>
    <n v="28074.32"/>
    <s v="Complete Access"/>
    <x v="8"/>
    <x v="1"/>
    <x v="5"/>
    <d v="1900-01-09T00:00:00"/>
    <n v="23"/>
    <x v="8"/>
    <x v="2"/>
  </r>
  <r>
    <x v="479"/>
    <n v="-74.55"/>
    <x v="405"/>
    <n v="27999.77"/>
    <s v="Complete Access"/>
    <x v="177"/>
    <x v="1"/>
    <x v="1"/>
    <d v="1900-01-09T00:00:00"/>
    <n v="23"/>
    <x v="8"/>
    <x v="2"/>
  </r>
  <r>
    <x v="480"/>
    <n v="-24.09"/>
    <x v="997"/>
    <n v="28099.51"/>
    <s v="Complete Access"/>
    <x v="8"/>
    <x v="1"/>
    <x v="5"/>
    <d v="1900-01-08T00:00:00"/>
    <n v="23"/>
    <x v="8"/>
    <x v="2"/>
  </r>
  <r>
    <x v="481"/>
    <n v="-500"/>
    <x v="656"/>
    <n v="28057.58"/>
    <s v="Complete Access"/>
    <x v="13"/>
    <x v="0"/>
    <x v="0"/>
    <d v="1900-01-07T00:00:00"/>
    <n v="23"/>
    <x v="8"/>
    <x v="2"/>
  </r>
  <r>
    <x v="481"/>
    <n v="2332.84"/>
    <x v="832"/>
    <n v="28557.58"/>
    <s v="Complete Access"/>
    <x v="14"/>
    <x v="6"/>
    <x v="9"/>
    <d v="1900-01-07T00:00:00"/>
    <n v="23"/>
    <x v="8"/>
    <x v="2"/>
  </r>
  <r>
    <x v="481"/>
    <n v="66.02"/>
    <x v="998"/>
    <n v="28123.599999999999"/>
    <s v="Complete Access"/>
    <x v="275"/>
    <x v="0"/>
    <x v="0"/>
    <d v="1900-01-07T00:00:00"/>
    <n v="23"/>
    <x v="8"/>
    <x v="2"/>
  </r>
  <r>
    <x v="482"/>
    <n v="-2.75"/>
    <x v="999"/>
    <n v="26240.74"/>
    <s v="Complete Access"/>
    <x v="188"/>
    <x v="1"/>
    <x v="1"/>
    <d v="1900-01-06T00:00:00"/>
    <n v="23"/>
    <x v="8"/>
    <x v="2"/>
  </r>
  <r>
    <x v="482"/>
    <n v="-3.93"/>
    <x v="1000"/>
    <n v="26243.49"/>
    <s v="Complete Access"/>
    <x v="285"/>
    <x v="5"/>
    <x v="8"/>
    <d v="1900-01-06T00:00:00"/>
    <n v="23"/>
    <x v="8"/>
    <x v="2"/>
  </r>
  <r>
    <x v="482"/>
    <n v="-16"/>
    <x v="1001"/>
    <n v="26224.74"/>
    <s v="Complete Access"/>
    <x v="242"/>
    <x v="1"/>
    <x v="5"/>
    <d v="1900-01-06T00:00:00"/>
    <n v="23"/>
    <x v="8"/>
    <x v="2"/>
  </r>
  <r>
    <x v="483"/>
    <n v="-31.98"/>
    <x v="1002"/>
    <n v="26274.62"/>
    <s v="Complete Access"/>
    <x v="8"/>
    <x v="1"/>
    <x v="5"/>
    <d v="1900-01-05T00:00:00"/>
    <n v="23"/>
    <x v="8"/>
    <x v="2"/>
  </r>
  <r>
    <x v="483"/>
    <n v="-27.2"/>
    <x v="1003"/>
    <n v="26247.42"/>
    <s v="Complete Access"/>
    <x v="304"/>
    <x v="1"/>
    <x v="5"/>
    <d v="1900-01-05T00:00:00"/>
    <n v="23"/>
    <x v="8"/>
    <x v="2"/>
  </r>
  <r>
    <x v="484"/>
    <n v="-16.18"/>
    <x v="1004"/>
    <n v="26625.3"/>
    <s v="Complete Access"/>
    <x v="333"/>
    <x v="1"/>
    <x v="5"/>
    <d v="1900-01-02T00:00:00"/>
    <n v="22"/>
    <x v="8"/>
    <x v="2"/>
  </r>
  <r>
    <x v="484"/>
    <n v="-18.7"/>
    <x v="1005"/>
    <n v="26606.6"/>
    <s v="Complete Access"/>
    <x v="329"/>
    <x v="4"/>
    <x v="7"/>
    <d v="1900-01-02T00:00:00"/>
    <n v="22"/>
    <x v="8"/>
    <x v="2"/>
  </r>
  <r>
    <x v="484"/>
    <n v="-300"/>
    <x v="1006"/>
    <n v="26306.6"/>
    <s v="Complete Access"/>
    <x v="0"/>
    <x v="0"/>
    <x v="0"/>
    <d v="1900-01-02T00:00:00"/>
    <n v="22"/>
    <x v="8"/>
    <x v="2"/>
  </r>
  <r>
    <x v="485"/>
    <n v="-2.75"/>
    <x v="1007"/>
    <n v="26641.48"/>
    <s v="Complete Access"/>
    <x v="188"/>
    <x v="1"/>
    <x v="1"/>
    <d v="1900-01-01T00:00:00"/>
    <n v="22"/>
    <x v="8"/>
    <x v="2"/>
  </r>
  <r>
    <x v="486"/>
    <n v="-20"/>
    <x v="1008"/>
    <n v="26924.85"/>
    <s v="Complete Access"/>
    <x v="12"/>
    <x v="5"/>
    <x v="8"/>
    <d v="1899-12-31T00:00:00"/>
    <n v="22"/>
    <x v="8"/>
    <x v="2"/>
  </r>
  <r>
    <x v="486"/>
    <n v="-50.19"/>
    <x v="1009"/>
    <n v="26874.66"/>
    <s v="Complete Access"/>
    <x v="56"/>
    <x v="9"/>
    <x v="31"/>
    <d v="1899-12-31T00:00:00"/>
    <n v="22"/>
    <x v="8"/>
    <x v="2"/>
  </r>
  <r>
    <x v="486"/>
    <n v="-50.03"/>
    <x v="405"/>
    <n v="26815.43"/>
    <s v="Complete Access"/>
    <x v="177"/>
    <x v="1"/>
    <x v="1"/>
    <d v="1899-12-31T00:00:00"/>
    <n v="22"/>
    <x v="8"/>
    <x v="2"/>
  </r>
  <r>
    <x v="486"/>
    <n v="15.5"/>
    <x v="1010"/>
    <n v="26830.93"/>
    <s v="Complete Access"/>
    <x v="36"/>
    <x v="0"/>
    <x v="0"/>
    <d v="1899-12-31T00:00:00"/>
    <n v="22"/>
    <x v="8"/>
    <x v="2"/>
  </r>
  <r>
    <x v="486"/>
    <n v="-186.7"/>
    <x v="1011"/>
    <n v="26644.23"/>
    <s v="Complete Access"/>
    <x v="76"/>
    <x v="2"/>
    <x v="2"/>
    <d v="1899-12-31T00:00:00"/>
    <n v="22"/>
    <x v="8"/>
    <x v="2"/>
  </r>
  <r>
    <x v="486"/>
    <n v="-9.1999999999999993"/>
    <x v="1012"/>
    <n v="26865.46"/>
    <s v="Complete Access"/>
    <x v="277"/>
    <x v="8"/>
    <x v="29"/>
    <d v="1899-12-31T00:00:00"/>
    <n v="22"/>
    <x v="8"/>
    <x v="2"/>
  </r>
  <r>
    <x v="486"/>
    <n v="4.32"/>
    <x v="609"/>
    <n v="2659.91"/>
    <s v="Netbank Saver"/>
    <x v="240"/>
    <x v="0"/>
    <x v="55"/>
    <d v="1899-12-31T00:00:00"/>
    <n v="22"/>
    <x v="8"/>
    <x v="2"/>
  </r>
  <r>
    <x v="487"/>
    <n v="-16"/>
    <x v="1013"/>
    <n v="26944.85"/>
    <s v="Complete Access"/>
    <x v="242"/>
    <x v="1"/>
    <x v="5"/>
    <d v="1900-01-30T00:00:00"/>
    <n v="22"/>
    <x v="9"/>
    <x v="2"/>
  </r>
  <r>
    <x v="488"/>
    <n v="-37.090000000000003"/>
    <x v="1014"/>
    <n v="26960.85"/>
    <s v="Complete Access"/>
    <x v="8"/>
    <x v="1"/>
    <x v="5"/>
    <d v="1900-01-29T00:00:00"/>
    <n v="22"/>
    <x v="9"/>
    <x v="2"/>
  </r>
  <r>
    <x v="488"/>
    <n v="-20"/>
    <x v="1015"/>
    <n v="26997.94"/>
    <s v="Complete Access"/>
    <x v="12"/>
    <x v="5"/>
    <x v="8"/>
    <d v="1900-01-29T00:00:00"/>
    <n v="22"/>
    <x v="9"/>
    <x v="2"/>
  </r>
  <r>
    <x v="489"/>
    <n v="600"/>
    <x v="946"/>
    <n v="27017.94"/>
    <s v="Complete Access"/>
    <x v="325"/>
    <x v="6"/>
    <x v="64"/>
    <d v="1900-01-27T00:00:00"/>
    <n v="22"/>
    <x v="9"/>
    <x v="2"/>
  </r>
  <r>
    <x v="490"/>
    <n v="-16.850000000000001"/>
    <x v="1016"/>
    <n v="26476.880000000001"/>
    <s v="Complete Access"/>
    <x v="74"/>
    <x v="4"/>
    <x v="10"/>
    <d v="1900-01-26T00:00:00"/>
    <n v="21"/>
    <x v="9"/>
    <x v="2"/>
  </r>
  <r>
    <x v="490"/>
    <n v="-0.51"/>
    <x v="1017"/>
    <n v="26476.37"/>
    <s v="Complete Access"/>
    <x v="10"/>
    <x v="0"/>
    <x v="0"/>
    <d v="1900-01-26T00:00:00"/>
    <n v="21"/>
    <x v="9"/>
    <x v="2"/>
  </r>
  <r>
    <x v="490"/>
    <n v="-44.43"/>
    <x v="405"/>
    <n v="26431.94"/>
    <s v="Complete Access"/>
    <x v="177"/>
    <x v="1"/>
    <x v="1"/>
    <d v="1900-01-26T00:00:00"/>
    <n v="21"/>
    <x v="9"/>
    <x v="2"/>
  </r>
  <r>
    <x v="490"/>
    <n v="-14"/>
    <x v="1018"/>
    <n v="26417.94"/>
    <s v="Complete Access"/>
    <x v="0"/>
    <x v="0"/>
    <x v="0"/>
    <d v="1900-01-26T00:00:00"/>
    <n v="21"/>
    <x v="9"/>
    <x v="2"/>
  </r>
  <r>
    <x v="491"/>
    <n v="-500"/>
    <x v="656"/>
    <n v="26496.48"/>
    <s v="Complete Access"/>
    <x v="13"/>
    <x v="0"/>
    <x v="0"/>
    <d v="1900-01-24T00:00:00"/>
    <n v="21"/>
    <x v="9"/>
    <x v="2"/>
  </r>
  <r>
    <x v="491"/>
    <n v="-2.75"/>
    <x v="1019"/>
    <n v="26493.73"/>
    <s v="Complete Access"/>
    <x v="188"/>
    <x v="1"/>
    <x v="1"/>
    <d v="1900-01-24T00:00:00"/>
    <n v="21"/>
    <x v="9"/>
    <x v="2"/>
  </r>
  <r>
    <x v="491"/>
    <n v="2332.84"/>
    <x v="1020"/>
    <n v="26996.48"/>
    <s v="Complete Access"/>
    <x v="14"/>
    <x v="6"/>
    <x v="9"/>
    <d v="1900-01-24T00:00:00"/>
    <n v="21"/>
    <x v="9"/>
    <x v="2"/>
  </r>
  <r>
    <x v="492"/>
    <n v="-4.6500000000000004"/>
    <x v="1021"/>
    <n v="24708.12"/>
    <s v="Complete Access"/>
    <x v="188"/>
    <x v="1"/>
    <x v="1"/>
    <d v="1900-01-23T00:00:00"/>
    <n v="21"/>
    <x v="9"/>
    <x v="2"/>
  </r>
  <r>
    <x v="492"/>
    <n v="-20"/>
    <x v="1022"/>
    <n v="24712.77"/>
    <s v="Complete Access"/>
    <x v="12"/>
    <x v="5"/>
    <x v="8"/>
    <d v="1900-01-23T00:00:00"/>
    <n v="21"/>
    <x v="9"/>
    <x v="2"/>
  </r>
  <r>
    <x v="492"/>
    <n v="-29.98"/>
    <x v="405"/>
    <n v="24663.64"/>
    <s v="Complete Access"/>
    <x v="177"/>
    <x v="1"/>
    <x v="1"/>
    <d v="1900-01-23T00:00:00"/>
    <n v="21"/>
    <x v="9"/>
    <x v="2"/>
  </r>
  <r>
    <x v="492"/>
    <n v="-14.5"/>
    <x v="8"/>
    <n v="24693.62"/>
    <s v="Complete Access"/>
    <x v="7"/>
    <x v="1"/>
    <x v="5"/>
    <d v="1900-01-23T00:00:00"/>
    <n v="21"/>
    <x v="9"/>
    <x v="2"/>
  </r>
  <r>
    <x v="493"/>
    <n v="-27.19"/>
    <x v="1023"/>
    <n v="24753.84"/>
    <s v="Complete Access"/>
    <x v="8"/>
    <x v="1"/>
    <x v="5"/>
    <d v="1900-01-22T00:00:00"/>
    <n v="21"/>
    <x v="9"/>
    <x v="2"/>
  </r>
  <r>
    <x v="493"/>
    <n v="-44.69"/>
    <x v="1023"/>
    <n v="25030.03"/>
    <s v="Complete Access"/>
    <x v="8"/>
    <x v="1"/>
    <x v="5"/>
    <d v="1900-01-22T00:00:00"/>
    <n v="21"/>
    <x v="9"/>
    <x v="2"/>
  </r>
  <r>
    <x v="493"/>
    <n v="-15"/>
    <x v="1024"/>
    <n v="24738.84"/>
    <s v="Complete Access"/>
    <x v="16"/>
    <x v="1"/>
    <x v="5"/>
    <d v="1900-01-22T00:00:00"/>
    <n v="21"/>
    <x v="9"/>
    <x v="2"/>
  </r>
  <r>
    <x v="493"/>
    <n v="-6.07"/>
    <x v="966"/>
    <n v="24732.77"/>
    <s v="Complete Access"/>
    <x v="215"/>
    <x v="1"/>
    <x v="1"/>
    <d v="1900-01-22T00:00:00"/>
    <n v="21"/>
    <x v="9"/>
    <x v="2"/>
  </r>
  <r>
    <x v="493"/>
    <n v="-13"/>
    <x v="1025"/>
    <n v="24781.03"/>
    <s v="Complete Access"/>
    <x v="334"/>
    <x v="14"/>
    <x v="32"/>
    <d v="1900-01-22T00:00:00"/>
    <n v="21"/>
    <x v="9"/>
    <x v="2"/>
  </r>
  <r>
    <x v="493"/>
    <n v="-236"/>
    <x v="1026"/>
    <n v="24794.03"/>
    <s v="Complete Access"/>
    <x v="335"/>
    <x v="1"/>
    <x v="5"/>
    <d v="1900-01-22T00:00:00"/>
    <n v="21"/>
    <x v="9"/>
    <x v="2"/>
  </r>
  <r>
    <x v="494"/>
    <n v="-25"/>
    <x v="1027"/>
    <n v="25074.720000000001"/>
    <s v="Complete Access"/>
    <x v="336"/>
    <x v="8"/>
    <x v="22"/>
    <d v="1900-01-19T00:00:00"/>
    <n v="20"/>
    <x v="9"/>
    <x v="2"/>
  </r>
  <r>
    <x v="494"/>
    <n v="-37"/>
    <x v="1028"/>
    <n v="25099.72"/>
    <s v="Complete Access"/>
    <x v="0"/>
    <x v="0"/>
    <x v="0"/>
    <d v="1900-01-19T00:00:00"/>
    <n v="20"/>
    <x v="9"/>
    <x v="2"/>
  </r>
  <r>
    <x v="495"/>
    <n v="-2.75"/>
    <x v="1029"/>
    <n v="25216.44"/>
    <s v="Complete Access"/>
    <x v="188"/>
    <x v="1"/>
    <x v="1"/>
    <d v="1900-01-17T00:00:00"/>
    <n v="20"/>
    <x v="9"/>
    <x v="2"/>
  </r>
  <r>
    <x v="495"/>
    <n v="-69"/>
    <x v="1030"/>
    <n v="25219.19"/>
    <s v="Complete Access"/>
    <x v="207"/>
    <x v="7"/>
    <x v="11"/>
    <d v="1900-01-17T00:00:00"/>
    <n v="20"/>
    <x v="9"/>
    <x v="2"/>
  </r>
  <r>
    <x v="495"/>
    <n v="-79.72"/>
    <x v="532"/>
    <n v="25136.720000000001"/>
    <s v="Complete Access"/>
    <x v="1"/>
    <x v="1"/>
    <x v="1"/>
    <d v="1900-01-17T00:00:00"/>
    <n v="20"/>
    <x v="9"/>
    <x v="2"/>
  </r>
  <r>
    <x v="496"/>
    <n v="-2.75"/>
    <x v="1031"/>
    <n v="25288.19"/>
    <s v="Complete Access"/>
    <x v="188"/>
    <x v="1"/>
    <x v="1"/>
    <d v="1900-01-16T00:00:00"/>
    <n v="20"/>
    <x v="9"/>
    <x v="2"/>
  </r>
  <r>
    <x v="496"/>
    <n v="-20"/>
    <x v="1032"/>
    <n v="25290.94"/>
    <s v="Complete Access"/>
    <x v="12"/>
    <x v="5"/>
    <x v="8"/>
    <d v="1900-01-16T00:00:00"/>
    <n v="20"/>
    <x v="9"/>
    <x v="2"/>
  </r>
  <r>
    <x v="497"/>
    <n v="-27.19"/>
    <x v="1033"/>
    <n v="25356.7"/>
    <s v="Complete Access"/>
    <x v="8"/>
    <x v="1"/>
    <x v="5"/>
    <d v="1900-01-15T00:00:00"/>
    <n v="20"/>
    <x v="9"/>
    <x v="2"/>
  </r>
  <r>
    <x v="497"/>
    <n v="-15"/>
    <x v="18"/>
    <n v="25364.7"/>
    <s v="Complete Access"/>
    <x v="16"/>
    <x v="1"/>
    <x v="5"/>
    <d v="1900-01-15T00:00:00"/>
    <n v="20"/>
    <x v="9"/>
    <x v="2"/>
  </r>
  <r>
    <x v="497"/>
    <n v="-53.76"/>
    <x v="405"/>
    <n v="25310.94"/>
    <s v="Complete Access"/>
    <x v="177"/>
    <x v="1"/>
    <x v="1"/>
    <d v="1900-01-15T00:00:00"/>
    <n v="20"/>
    <x v="9"/>
    <x v="2"/>
  </r>
  <r>
    <x v="497"/>
    <n v="23"/>
    <x v="1034"/>
    <n v="25379.7"/>
    <s v="Complete Access"/>
    <x v="36"/>
    <x v="0"/>
    <x v="0"/>
    <d v="1900-01-15T00:00:00"/>
    <n v="20"/>
    <x v="9"/>
    <x v="2"/>
  </r>
  <r>
    <x v="498"/>
    <n v="-14.99"/>
    <x v="1035"/>
    <n v="24983.89"/>
    <s v="Complete Access"/>
    <x v="337"/>
    <x v="1"/>
    <x v="1"/>
    <d v="1900-01-14T00:00:00"/>
    <n v="20"/>
    <x v="9"/>
    <x v="2"/>
  </r>
  <r>
    <x v="498"/>
    <n v="400"/>
    <x v="1036"/>
    <n v="25383.89"/>
    <s v="Complete Access"/>
    <x v="36"/>
    <x v="0"/>
    <x v="0"/>
    <d v="1900-01-14T00:00:00"/>
    <n v="20"/>
    <x v="9"/>
    <x v="2"/>
  </r>
  <r>
    <x v="499"/>
    <n v="-23.33"/>
    <x v="405"/>
    <n v="25065.68"/>
    <s v="Complete Access"/>
    <x v="177"/>
    <x v="1"/>
    <x v="1"/>
    <d v="1900-01-12T00:00:00"/>
    <n v="19"/>
    <x v="9"/>
    <x v="2"/>
  </r>
  <r>
    <x v="499"/>
    <n v="-16.899999999999999"/>
    <x v="451"/>
    <n v="24998.880000000001"/>
    <s v="Complete Access"/>
    <x v="190"/>
    <x v="8"/>
    <x v="29"/>
    <d v="1900-01-12T00:00:00"/>
    <n v="19"/>
    <x v="9"/>
    <x v="2"/>
  </r>
  <r>
    <x v="499"/>
    <n v="-11.7"/>
    <x v="451"/>
    <n v="25015.78"/>
    <s v="Complete Access"/>
    <x v="190"/>
    <x v="8"/>
    <x v="29"/>
    <d v="1900-01-12T00:00:00"/>
    <n v="19"/>
    <x v="9"/>
    <x v="2"/>
  </r>
  <r>
    <x v="499"/>
    <n v="-28"/>
    <x v="451"/>
    <n v="25027.48"/>
    <s v="Complete Access"/>
    <x v="190"/>
    <x v="8"/>
    <x v="29"/>
    <d v="1900-01-12T00:00:00"/>
    <n v="19"/>
    <x v="9"/>
    <x v="2"/>
  </r>
  <r>
    <x v="499"/>
    <n v="-10.199999999999999"/>
    <x v="451"/>
    <n v="25055.48"/>
    <s v="Complete Access"/>
    <x v="190"/>
    <x v="8"/>
    <x v="29"/>
    <d v="1900-01-12T00:00:00"/>
    <n v="19"/>
    <x v="9"/>
    <x v="2"/>
  </r>
  <r>
    <x v="500"/>
    <n v="-25.5"/>
    <x v="1037"/>
    <n v="25089.01"/>
    <s v="Complete Access"/>
    <x v="188"/>
    <x v="1"/>
    <x v="1"/>
    <d v="1900-01-11T00:00:00"/>
    <n v="19"/>
    <x v="9"/>
    <x v="2"/>
  </r>
  <r>
    <x v="501"/>
    <n v="-500"/>
    <x v="656"/>
    <n v="25114.51"/>
    <s v="Complete Access"/>
    <x v="13"/>
    <x v="0"/>
    <x v="0"/>
    <d v="1900-01-10T00:00:00"/>
    <n v="19"/>
    <x v="9"/>
    <x v="2"/>
  </r>
  <r>
    <x v="501"/>
    <n v="2332.84"/>
    <x v="1038"/>
    <n v="25614.51"/>
    <s v="Complete Access"/>
    <x v="14"/>
    <x v="6"/>
    <x v="9"/>
    <d v="1900-01-10T00:00:00"/>
    <n v="19"/>
    <x v="9"/>
    <x v="2"/>
  </r>
  <r>
    <x v="502"/>
    <n v="-20"/>
    <x v="1039"/>
    <n v="23281.67"/>
    <s v="Complete Access"/>
    <x v="12"/>
    <x v="5"/>
    <x v="8"/>
    <d v="1900-01-09T00:00:00"/>
    <n v="19"/>
    <x v="9"/>
    <x v="2"/>
  </r>
  <r>
    <x v="503"/>
    <n v="-15"/>
    <x v="18"/>
    <n v="23301.67"/>
    <s v="Complete Access"/>
    <x v="16"/>
    <x v="1"/>
    <x v="5"/>
    <d v="1900-01-08T00:00:00"/>
    <n v="19"/>
    <x v="9"/>
    <x v="2"/>
  </r>
  <r>
    <x v="503"/>
    <n v="-5"/>
    <x v="1040"/>
    <n v="23316.67"/>
    <s v="Complete Access"/>
    <x v="338"/>
    <x v="1"/>
    <x v="5"/>
    <d v="1900-01-08T00:00:00"/>
    <n v="19"/>
    <x v="9"/>
    <x v="2"/>
  </r>
  <r>
    <x v="503"/>
    <n v="-51.62"/>
    <x v="1041"/>
    <n v="23321.67"/>
    <s v="Complete Access"/>
    <x v="34"/>
    <x v="9"/>
    <x v="12"/>
    <d v="1900-01-08T00:00:00"/>
    <n v="19"/>
    <x v="9"/>
    <x v="2"/>
  </r>
  <r>
    <x v="504"/>
    <n v="-317"/>
    <x v="1042"/>
    <n v="23056.29"/>
    <s v="Complete Access"/>
    <x v="339"/>
    <x v="1"/>
    <x v="5"/>
    <d v="1900-01-06T00:00:00"/>
    <n v="19"/>
    <x v="9"/>
    <x v="2"/>
  </r>
  <r>
    <x v="504"/>
    <n v="-0.9"/>
    <x v="1043"/>
    <n v="23373.29"/>
    <s v="Complete Access"/>
    <x v="30"/>
    <x v="4"/>
    <x v="20"/>
    <d v="1900-01-06T00:00:00"/>
    <n v="19"/>
    <x v="9"/>
    <x v="2"/>
  </r>
  <r>
    <x v="504"/>
    <n v="-12.25"/>
    <x v="1044"/>
    <n v="23374.19"/>
    <s v="Complete Access"/>
    <x v="30"/>
    <x v="4"/>
    <x v="20"/>
    <d v="1900-01-06T00:00:00"/>
    <n v="19"/>
    <x v="9"/>
    <x v="2"/>
  </r>
  <r>
    <x v="504"/>
    <n v="-10.5"/>
    <x v="1044"/>
    <n v="23386.44"/>
    <s v="Complete Access"/>
    <x v="30"/>
    <x v="4"/>
    <x v="20"/>
    <d v="1900-01-06T00:00:00"/>
    <n v="19"/>
    <x v="9"/>
    <x v="2"/>
  </r>
  <r>
    <x v="504"/>
    <n v="317"/>
    <x v="1045"/>
    <n v="23373.29"/>
    <s v="Complete Access"/>
    <x v="36"/>
    <x v="0"/>
    <x v="0"/>
    <d v="1900-01-06T00:00:00"/>
    <n v="19"/>
    <x v="9"/>
    <x v="2"/>
  </r>
  <r>
    <x v="505"/>
    <n v="-1600"/>
    <x v="1046"/>
    <n v="23557.439999999999"/>
    <s v="Complete Access"/>
    <x v="340"/>
    <x v="4"/>
    <x v="20"/>
    <d v="1900-01-05T00:00:00"/>
    <n v="18"/>
    <x v="9"/>
    <x v="2"/>
  </r>
  <r>
    <x v="505"/>
    <n v="-15.15"/>
    <x v="96"/>
    <n v="23396.94"/>
    <s v="Complete Access"/>
    <x v="47"/>
    <x v="1"/>
    <x v="5"/>
    <d v="1900-01-05T00:00:00"/>
    <n v="18"/>
    <x v="9"/>
    <x v="2"/>
  </r>
  <r>
    <x v="505"/>
    <n v="-118"/>
    <x v="112"/>
    <n v="23439.439999999999"/>
    <s v="Complete Access"/>
    <x v="50"/>
    <x v="4"/>
    <x v="25"/>
    <d v="1900-01-05T00:00:00"/>
    <n v="18"/>
    <x v="9"/>
    <x v="2"/>
  </r>
  <r>
    <x v="505"/>
    <n v="-27.35"/>
    <x v="966"/>
    <n v="23412.09"/>
    <s v="Complete Access"/>
    <x v="215"/>
    <x v="1"/>
    <x v="1"/>
    <d v="1900-01-05T00:00:00"/>
    <n v="18"/>
    <x v="9"/>
    <x v="2"/>
  </r>
  <r>
    <x v="506"/>
    <n v="-2.75"/>
    <x v="1047"/>
    <n v="25157.439999999999"/>
    <s v="Complete Access"/>
    <x v="188"/>
    <x v="1"/>
    <x v="1"/>
    <d v="1900-01-04T00:00:00"/>
    <n v="18"/>
    <x v="9"/>
    <x v="2"/>
  </r>
  <r>
    <x v="507"/>
    <n v="-2.75"/>
    <x v="1048"/>
    <n v="25198.23"/>
    <s v="Complete Access"/>
    <x v="188"/>
    <x v="1"/>
    <x v="1"/>
    <d v="1900-01-03T00:00:00"/>
    <n v="18"/>
    <x v="9"/>
    <x v="2"/>
  </r>
  <r>
    <x v="507"/>
    <n v="-38.04"/>
    <x v="966"/>
    <n v="25160.19"/>
    <s v="Complete Access"/>
    <x v="215"/>
    <x v="1"/>
    <x v="1"/>
    <d v="1900-01-03T00:00:00"/>
    <n v="18"/>
    <x v="9"/>
    <x v="2"/>
  </r>
  <r>
    <x v="508"/>
    <n v="-2.75"/>
    <x v="1049"/>
    <n v="25259.200000000001"/>
    <s v="Complete Access"/>
    <x v="188"/>
    <x v="1"/>
    <x v="1"/>
    <d v="1900-01-02T00:00:00"/>
    <n v="18"/>
    <x v="9"/>
    <x v="2"/>
  </r>
  <r>
    <x v="508"/>
    <n v="-4"/>
    <x v="1049"/>
    <n v="25261.95"/>
    <s v="Complete Access"/>
    <x v="188"/>
    <x v="1"/>
    <x v="1"/>
    <d v="1900-01-02T00:00:00"/>
    <n v="18"/>
    <x v="9"/>
    <x v="2"/>
  </r>
  <r>
    <x v="508"/>
    <n v="-20"/>
    <x v="1050"/>
    <n v="25394.13"/>
    <s v="Complete Access"/>
    <x v="12"/>
    <x v="5"/>
    <x v="8"/>
    <d v="1900-01-02T00:00:00"/>
    <n v="18"/>
    <x v="9"/>
    <x v="2"/>
  </r>
  <r>
    <x v="508"/>
    <n v="-106.29"/>
    <x v="1051"/>
    <n v="25269.14"/>
    <s v="Complete Access"/>
    <x v="341"/>
    <x v="4"/>
    <x v="20"/>
    <d v="1900-01-02T00:00:00"/>
    <n v="18"/>
    <x v="9"/>
    <x v="2"/>
  </r>
  <r>
    <x v="508"/>
    <n v="-18.7"/>
    <x v="1052"/>
    <n v="25375.43"/>
    <s v="Complete Access"/>
    <x v="329"/>
    <x v="4"/>
    <x v="7"/>
    <d v="1900-01-02T00:00:00"/>
    <n v="18"/>
    <x v="9"/>
    <x v="2"/>
  </r>
  <r>
    <x v="508"/>
    <n v="-3.19"/>
    <x v="1053"/>
    <n v="25265.95"/>
    <s v="Complete Access"/>
    <x v="10"/>
    <x v="0"/>
    <x v="0"/>
    <d v="1900-01-02T00:00:00"/>
    <n v="18"/>
    <x v="9"/>
    <x v="2"/>
  </r>
  <r>
    <x v="508"/>
    <n v="-58.22"/>
    <x v="405"/>
    <n v="25200.98"/>
    <s v="Complete Access"/>
    <x v="177"/>
    <x v="1"/>
    <x v="1"/>
    <d v="1900-01-02T00:00:00"/>
    <n v="18"/>
    <x v="9"/>
    <x v="2"/>
  </r>
  <r>
    <x v="509"/>
    <n v="-27.19"/>
    <x v="1054"/>
    <n v="25646.83"/>
    <s v="Complete Access"/>
    <x v="8"/>
    <x v="1"/>
    <x v="5"/>
    <d v="1900-01-01T00:00:00"/>
    <n v="18"/>
    <x v="9"/>
    <x v="2"/>
  </r>
  <r>
    <x v="509"/>
    <n v="-46"/>
    <x v="1055"/>
    <n v="25600.83"/>
    <s v="Complete Access"/>
    <x v="342"/>
    <x v="20"/>
    <x v="63"/>
    <d v="1900-01-01T00:00:00"/>
    <n v="18"/>
    <x v="9"/>
    <x v="2"/>
  </r>
  <r>
    <x v="509"/>
    <n v="-186.7"/>
    <x v="1056"/>
    <n v="25414.13"/>
    <s v="Complete Access"/>
    <x v="76"/>
    <x v="2"/>
    <x v="2"/>
    <d v="1900-01-01T00:00:00"/>
    <n v="18"/>
    <x v="9"/>
    <x v="2"/>
  </r>
  <r>
    <x v="509"/>
    <n v="-181.3"/>
    <x v="1057"/>
    <n v="25232.83"/>
    <s v="Complete Access"/>
    <x v="76"/>
    <x v="2"/>
    <x v="2"/>
    <d v="1900-01-01T00:00:00"/>
    <n v="18"/>
    <x v="9"/>
    <x v="2"/>
  </r>
  <r>
    <x v="509"/>
    <n v="181.3"/>
    <x v="1058"/>
    <n v="25414.13"/>
    <s v="Complete Access"/>
    <x v="76"/>
    <x v="2"/>
    <x v="2"/>
    <d v="1900-01-01T00:00:00"/>
    <n v="18"/>
    <x v="9"/>
    <x v="2"/>
  </r>
  <r>
    <x v="510"/>
    <n v="-15"/>
    <x v="18"/>
    <n v="25674.02"/>
    <s v="Complete Access"/>
    <x v="16"/>
    <x v="1"/>
    <x v="5"/>
    <d v="1899-12-31T00:00:00"/>
    <n v="18"/>
    <x v="9"/>
    <x v="2"/>
  </r>
  <r>
    <x v="510"/>
    <n v="4.03"/>
    <x v="609"/>
    <n v="2655.59"/>
    <s v="Netbank Saver"/>
    <x v="240"/>
    <x v="0"/>
    <x v="55"/>
    <d v="1899-12-31T00:00:00"/>
    <n v="18"/>
    <x v="9"/>
    <x v="2"/>
  </r>
  <r>
    <x v="511"/>
    <n v="-283.70999999999998"/>
    <x v="1059"/>
    <n v="25689.02"/>
    <s v="Complete Access"/>
    <x v="295"/>
    <x v="14"/>
    <x v="66"/>
    <d v="1900-01-28T00:00:00"/>
    <n v="17"/>
    <x v="10"/>
    <x v="2"/>
  </r>
  <r>
    <x v="511"/>
    <n v="-283.70999999999998"/>
    <x v="1059"/>
    <n v="25972.73"/>
    <s v="Complete Access"/>
    <x v="295"/>
    <x v="14"/>
    <x v="66"/>
    <d v="1900-01-28T00:00:00"/>
    <n v="17"/>
    <x v="10"/>
    <x v="2"/>
  </r>
  <r>
    <x v="512"/>
    <n v="-2.75"/>
    <x v="1060"/>
    <n v="26310.54"/>
    <s v="Complete Access"/>
    <x v="188"/>
    <x v="1"/>
    <x v="1"/>
    <d v="1900-01-27T00:00:00"/>
    <n v="17"/>
    <x v="10"/>
    <x v="2"/>
  </r>
  <r>
    <x v="512"/>
    <n v="-54.1"/>
    <x v="405"/>
    <n v="26256.44"/>
    <s v="Complete Access"/>
    <x v="177"/>
    <x v="1"/>
    <x v="1"/>
    <d v="1900-01-27T00:00:00"/>
    <n v="17"/>
    <x v="10"/>
    <x v="2"/>
  </r>
  <r>
    <x v="512"/>
    <n v="-51.15"/>
    <x v="1061"/>
    <n v="26313.29"/>
    <s v="Complete Access"/>
    <x v="1"/>
    <x v="1"/>
    <x v="1"/>
    <d v="1900-01-27T00:00:00"/>
    <n v="17"/>
    <x v="10"/>
    <x v="2"/>
  </r>
  <r>
    <x v="513"/>
    <n v="-500"/>
    <x v="656"/>
    <n v="26438.54"/>
    <s v="Complete Access"/>
    <x v="13"/>
    <x v="0"/>
    <x v="0"/>
    <d v="1900-01-26T00:00:00"/>
    <n v="17"/>
    <x v="10"/>
    <x v="2"/>
  </r>
  <r>
    <x v="513"/>
    <n v="-37.090000000000003"/>
    <x v="1062"/>
    <n v="26364.44"/>
    <s v="Complete Access"/>
    <x v="8"/>
    <x v="1"/>
    <x v="5"/>
    <d v="1900-01-26T00:00:00"/>
    <n v="17"/>
    <x v="10"/>
    <x v="2"/>
  </r>
  <r>
    <x v="513"/>
    <n v="-20"/>
    <x v="1063"/>
    <n v="26418.54"/>
    <s v="Complete Access"/>
    <x v="12"/>
    <x v="5"/>
    <x v="8"/>
    <d v="1900-01-26T00:00:00"/>
    <n v="17"/>
    <x v="10"/>
    <x v="2"/>
  </r>
  <r>
    <x v="513"/>
    <n v="2332.84"/>
    <x v="1064"/>
    <n v="26938.54"/>
    <s v="Complete Access"/>
    <x v="14"/>
    <x v="6"/>
    <x v="9"/>
    <d v="1900-01-26T00:00:00"/>
    <n v="17"/>
    <x v="10"/>
    <x v="2"/>
  </r>
  <r>
    <x v="513"/>
    <n v="-16.510000000000002"/>
    <x v="1065"/>
    <n v="26402.03"/>
    <s v="Complete Access"/>
    <x v="74"/>
    <x v="4"/>
    <x v="10"/>
    <d v="1900-01-26T00:00:00"/>
    <n v="17"/>
    <x v="10"/>
    <x v="2"/>
  </r>
  <r>
    <x v="513"/>
    <n v="-0.5"/>
    <x v="1066"/>
    <n v="26401.53"/>
    <s v="Complete Access"/>
    <x v="10"/>
    <x v="0"/>
    <x v="0"/>
    <d v="1900-01-26T00:00:00"/>
    <n v="17"/>
    <x v="10"/>
    <x v="2"/>
  </r>
  <r>
    <x v="514"/>
    <n v="-23.67"/>
    <x v="969"/>
    <n v="24605.7"/>
    <s v="Complete Access"/>
    <x v="177"/>
    <x v="1"/>
    <x v="1"/>
    <d v="1900-01-25T00:00:00"/>
    <n v="17"/>
    <x v="10"/>
    <x v="2"/>
  </r>
  <r>
    <x v="514"/>
    <n v="-400"/>
    <x v="657"/>
    <n v="24629.37"/>
    <s v="Complete Access"/>
    <x v="0"/>
    <x v="0"/>
    <x v="0"/>
    <d v="1900-01-25T00:00:00"/>
    <n v="17"/>
    <x v="10"/>
    <x v="2"/>
  </r>
  <r>
    <x v="515"/>
    <n v="-27.19"/>
    <x v="1067"/>
    <n v="24577.56"/>
    <s v="Complete Access"/>
    <x v="8"/>
    <x v="1"/>
    <x v="5"/>
    <d v="1900-01-24T00:00:00"/>
    <n v="17"/>
    <x v="10"/>
    <x v="2"/>
  </r>
  <r>
    <x v="515"/>
    <n v="-48.19"/>
    <x v="1068"/>
    <n v="24529.37"/>
    <s v="Complete Access"/>
    <x v="8"/>
    <x v="1"/>
    <x v="5"/>
    <d v="1900-01-24T00:00:00"/>
    <n v="17"/>
    <x v="10"/>
    <x v="2"/>
  </r>
  <r>
    <x v="515"/>
    <n v="500"/>
    <x v="946"/>
    <n v="25029.37"/>
    <s v="Complete Access"/>
    <x v="325"/>
    <x v="6"/>
    <x v="64"/>
    <d v="1900-01-24T00:00:00"/>
    <n v="17"/>
    <x v="10"/>
    <x v="2"/>
  </r>
  <r>
    <x v="516"/>
    <n v="-72.05"/>
    <x v="405"/>
    <n v="24604.75"/>
    <s v="Complete Access"/>
    <x v="177"/>
    <x v="1"/>
    <x v="1"/>
    <d v="1900-01-23T00:00:00"/>
    <n v="17"/>
    <x v="10"/>
    <x v="2"/>
  </r>
  <r>
    <x v="517"/>
    <n v="-2.75"/>
    <x v="1069"/>
    <n v="24676.799999999999"/>
    <s v="Complete Access"/>
    <x v="188"/>
    <x v="1"/>
    <x v="1"/>
    <d v="1900-01-20T00:00:00"/>
    <n v="16"/>
    <x v="10"/>
    <x v="2"/>
  </r>
  <r>
    <x v="517"/>
    <n v="-69"/>
    <x v="1070"/>
    <n v="24695.73"/>
    <s v="Complete Access"/>
    <x v="207"/>
    <x v="7"/>
    <x v="11"/>
    <d v="1900-01-20T00:00:00"/>
    <n v="16"/>
    <x v="10"/>
    <x v="2"/>
  </r>
  <r>
    <x v="517"/>
    <n v="-16.18"/>
    <x v="1071"/>
    <n v="24679.55"/>
    <s v="Complete Access"/>
    <x v="333"/>
    <x v="1"/>
    <x v="5"/>
    <d v="1900-01-20T00:00:00"/>
    <n v="16"/>
    <x v="10"/>
    <x v="2"/>
  </r>
  <r>
    <x v="518"/>
    <n v="-28.93"/>
    <x v="1072"/>
    <n v="24764.73"/>
    <s v="Complete Access"/>
    <x v="8"/>
    <x v="1"/>
    <x v="5"/>
    <d v="1900-01-19T00:00:00"/>
    <n v="16"/>
    <x v="10"/>
    <x v="2"/>
  </r>
  <r>
    <x v="519"/>
    <n v="-10.45"/>
    <x v="1073"/>
    <n v="24802.86"/>
    <s v="Complete Access"/>
    <x v="188"/>
    <x v="1"/>
    <x v="1"/>
    <d v="1900-01-18T00:00:00"/>
    <n v="16"/>
    <x v="10"/>
    <x v="2"/>
  </r>
  <r>
    <x v="519"/>
    <n v="-33.79"/>
    <x v="1074"/>
    <n v="24813.31"/>
    <s v="Complete Access"/>
    <x v="8"/>
    <x v="1"/>
    <x v="5"/>
    <d v="1900-01-18T00:00:00"/>
    <n v="16"/>
    <x v="10"/>
    <x v="2"/>
  </r>
  <r>
    <x v="519"/>
    <n v="-9.1999999999999993"/>
    <x v="807"/>
    <n v="24793.66"/>
    <s v="Complete Access"/>
    <x v="277"/>
    <x v="8"/>
    <x v="29"/>
    <d v="1900-01-18T00:00:00"/>
    <n v="16"/>
    <x v="10"/>
    <x v="2"/>
  </r>
  <r>
    <x v="520"/>
    <n v="-22.3"/>
    <x v="1075"/>
    <n v="25000.45"/>
    <s v="Complete Access"/>
    <x v="8"/>
    <x v="1"/>
    <x v="5"/>
    <d v="1900-01-17T00:00:00"/>
    <n v="16"/>
    <x v="10"/>
    <x v="2"/>
  </r>
  <r>
    <x v="520"/>
    <n v="-18.559999999999999"/>
    <x v="1075"/>
    <n v="25022.75"/>
    <s v="Complete Access"/>
    <x v="8"/>
    <x v="1"/>
    <x v="5"/>
    <d v="1900-01-17T00:00:00"/>
    <n v="16"/>
    <x v="10"/>
    <x v="2"/>
  </r>
  <r>
    <x v="520"/>
    <n v="-20"/>
    <x v="1076"/>
    <n v="25041.31"/>
    <s v="Complete Access"/>
    <x v="12"/>
    <x v="5"/>
    <x v="8"/>
    <d v="1900-01-17T00:00:00"/>
    <n v="16"/>
    <x v="10"/>
    <x v="2"/>
  </r>
  <r>
    <x v="520"/>
    <n v="-35.89"/>
    <x v="1077"/>
    <n v="24887.63"/>
    <s v="Complete Access"/>
    <x v="343"/>
    <x v="1"/>
    <x v="5"/>
    <d v="1900-01-17T00:00:00"/>
    <n v="16"/>
    <x v="10"/>
    <x v="2"/>
  </r>
  <r>
    <x v="520"/>
    <n v="-74.69"/>
    <x v="1078"/>
    <n v="24925.759999999998"/>
    <s v="Complete Access"/>
    <x v="344"/>
    <x v="4"/>
    <x v="25"/>
    <d v="1900-01-17T00:00:00"/>
    <n v="16"/>
    <x v="10"/>
    <x v="2"/>
  </r>
  <r>
    <x v="520"/>
    <n v="-2.2400000000000002"/>
    <x v="1079"/>
    <n v="24923.52"/>
    <s v="Complete Access"/>
    <x v="10"/>
    <x v="0"/>
    <x v="0"/>
    <d v="1900-01-17T00:00:00"/>
    <n v="16"/>
    <x v="10"/>
    <x v="2"/>
  </r>
  <r>
    <x v="520"/>
    <n v="-40.53"/>
    <x v="405"/>
    <n v="24847.1"/>
    <s v="Complete Access"/>
    <x v="177"/>
    <x v="1"/>
    <x v="1"/>
    <d v="1900-01-17T00:00:00"/>
    <n v="16"/>
    <x v="10"/>
    <x v="2"/>
  </r>
  <r>
    <x v="521"/>
    <n v="-14.5"/>
    <x v="18"/>
    <n v="24461.31"/>
    <s v="Complete Access"/>
    <x v="16"/>
    <x v="1"/>
    <x v="5"/>
    <d v="1900-01-16T00:00:00"/>
    <n v="16"/>
    <x v="10"/>
    <x v="2"/>
  </r>
  <r>
    <x v="521"/>
    <n v="600"/>
    <x v="946"/>
    <n v="25061.31"/>
    <s v="Complete Access"/>
    <x v="325"/>
    <x v="6"/>
    <x v="64"/>
    <d v="1900-01-16T00:00:00"/>
    <n v="16"/>
    <x v="10"/>
    <x v="2"/>
  </r>
  <r>
    <x v="522"/>
    <n v="-23.41"/>
    <x v="405"/>
    <n v="24475.81"/>
    <s v="Complete Access"/>
    <x v="177"/>
    <x v="1"/>
    <x v="1"/>
    <d v="1900-01-15T00:00:00"/>
    <n v="16"/>
    <x v="10"/>
    <x v="2"/>
  </r>
  <r>
    <x v="522"/>
    <n v="9"/>
    <x v="1080"/>
    <n v="24499.22"/>
    <s v="Complete Access"/>
    <x v="36"/>
    <x v="0"/>
    <x v="0"/>
    <d v="1900-01-15T00:00:00"/>
    <n v="16"/>
    <x v="10"/>
    <x v="2"/>
  </r>
  <r>
    <x v="523"/>
    <n v="-25.28"/>
    <x v="1081"/>
    <n v="24490.22"/>
    <s v="Complete Access"/>
    <x v="333"/>
    <x v="1"/>
    <x v="5"/>
    <d v="1900-01-14T00:00:00"/>
    <n v="15"/>
    <x v="10"/>
    <x v="2"/>
  </r>
  <r>
    <x v="524"/>
    <n v="-500"/>
    <x v="656"/>
    <n v="24611.79"/>
    <s v="Complete Access"/>
    <x v="13"/>
    <x v="0"/>
    <x v="0"/>
    <d v="1900-01-12T00:00:00"/>
    <n v="15"/>
    <x v="10"/>
    <x v="2"/>
  </r>
  <r>
    <x v="524"/>
    <n v="-13.2"/>
    <x v="827"/>
    <n v="24515.5"/>
    <s v="Complete Access"/>
    <x v="297"/>
    <x v="1"/>
    <x v="5"/>
    <d v="1900-01-12T00:00:00"/>
    <n v="15"/>
    <x v="10"/>
    <x v="2"/>
  </r>
  <r>
    <x v="524"/>
    <n v="2332.84"/>
    <x v="1082"/>
    <n v="25111.79"/>
    <s v="Complete Access"/>
    <x v="14"/>
    <x v="6"/>
    <x v="9"/>
    <d v="1900-01-12T00:00:00"/>
    <n v="15"/>
    <x v="10"/>
    <x v="2"/>
  </r>
  <r>
    <x v="524"/>
    <n v="-73.89"/>
    <x v="1083"/>
    <n v="24528.7"/>
    <s v="Complete Access"/>
    <x v="1"/>
    <x v="1"/>
    <x v="1"/>
    <d v="1900-01-12T00:00:00"/>
    <n v="15"/>
    <x v="10"/>
    <x v="2"/>
  </r>
  <r>
    <x v="524"/>
    <n v="-9.1999999999999993"/>
    <x v="1084"/>
    <n v="24602.59"/>
    <s v="Complete Access"/>
    <x v="277"/>
    <x v="8"/>
    <x v="29"/>
    <d v="1900-01-12T00:00:00"/>
    <n v="15"/>
    <x v="10"/>
    <x v="2"/>
  </r>
  <r>
    <x v="525"/>
    <n v="-49.6"/>
    <x v="1085"/>
    <n v="22997.85"/>
    <s v="Complete Access"/>
    <x v="345"/>
    <x v="4"/>
    <x v="47"/>
    <d v="1900-01-11T00:00:00"/>
    <n v="15"/>
    <x v="10"/>
    <x v="2"/>
  </r>
  <r>
    <x v="525"/>
    <n v="-34.33"/>
    <x v="1086"/>
    <n v="23047.45"/>
    <s v="Complete Access"/>
    <x v="8"/>
    <x v="1"/>
    <x v="5"/>
    <d v="1900-01-11T00:00:00"/>
    <n v="15"/>
    <x v="10"/>
    <x v="2"/>
  </r>
  <r>
    <x v="525"/>
    <n v="-20"/>
    <x v="1087"/>
    <n v="23081.78"/>
    <s v="Complete Access"/>
    <x v="12"/>
    <x v="5"/>
    <x v="8"/>
    <d v="1900-01-11T00:00:00"/>
    <n v="15"/>
    <x v="10"/>
    <x v="2"/>
  </r>
  <r>
    <x v="525"/>
    <n v="-139"/>
    <x v="1088"/>
    <n v="22815.8"/>
    <s v="Complete Access"/>
    <x v="346"/>
    <x v="4"/>
    <x v="7"/>
    <d v="1900-01-11T00:00:00"/>
    <n v="15"/>
    <x v="10"/>
    <x v="2"/>
  </r>
  <r>
    <x v="525"/>
    <n v="-25"/>
    <x v="681"/>
    <n v="22790.799999999999"/>
    <s v="Complete Access"/>
    <x v="254"/>
    <x v="16"/>
    <x v="35"/>
    <d v="1900-01-11T00:00:00"/>
    <n v="15"/>
    <x v="10"/>
    <x v="2"/>
  </r>
  <r>
    <x v="525"/>
    <n v="-1.49"/>
    <x v="1089"/>
    <n v="22996.36"/>
    <s v="Complete Access"/>
    <x v="10"/>
    <x v="0"/>
    <x v="0"/>
    <d v="1900-01-11T00:00:00"/>
    <n v="15"/>
    <x v="10"/>
    <x v="2"/>
  </r>
  <r>
    <x v="525"/>
    <n v="-11.85"/>
    <x v="969"/>
    <n v="22778.95"/>
    <s v="Complete Access"/>
    <x v="177"/>
    <x v="1"/>
    <x v="1"/>
    <d v="1900-01-11T00:00:00"/>
    <n v="15"/>
    <x v="10"/>
    <x v="2"/>
  </r>
  <r>
    <x v="525"/>
    <n v="-41.56"/>
    <x v="1090"/>
    <n v="22954.799999999999"/>
    <s v="Complete Access"/>
    <x v="91"/>
    <x v="9"/>
    <x v="12"/>
    <d v="1900-01-11T00:00:00"/>
    <n v="15"/>
    <x v="10"/>
    <x v="2"/>
  </r>
  <r>
    <x v="526"/>
    <n v="-8.6999999999999993"/>
    <x v="1091"/>
    <n v="23101.78"/>
    <s v="Complete Access"/>
    <x v="1"/>
    <x v="1"/>
    <x v="1"/>
    <d v="1900-01-10T00:00:00"/>
    <n v="15"/>
    <x v="10"/>
    <x v="2"/>
  </r>
  <r>
    <x v="527"/>
    <n v="800"/>
    <x v="1092"/>
    <n v="23110.48"/>
    <s v="Complete Access"/>
    <x v="325"/>
    <x v="6"/>
    <x v="64"/>
    <d v="1900-01-07T00:00:00"/>
    <n v="14"/>
    <x v="10"/>
    <x v="2"/>
  </r>
  <r>
    <x v="528"/>
    <n v="-47.11"/>
    <x v="405"/>
    <n v="22310.48"/>
    <s v="Complete Access"/>
    <x v="177"/>
    <x v="1"/>
    <x v="1"/>
    <d v="1900-01-06T00:00:00"/>
    <n v="14"/>
    <x v="10"/>
    <x v="2"/>
  </r>
  <r>
    <x v="529"/>
    <n v="-20"/>
    <x v="1093"/>
    <n v="22386.89"/>
    <s v="Complete Access"/>
    <x v="12"/>
    <x v="5"/>
    <x v="8"/>
    <d v="1900-01-04T00:00:00"/>
    <n v="14"/>
    <x v="10"/>
    <x v="2"/>
  </r>
  <r>
    <x v="529"/>
    <n v="-20.100000000000001"/>
    <x v="96"/>
    <n v="22357.59"/>
    <s v="Complete Access"/>
    <x v="47"/>
    <x v="1"/>
    <x v="5"/>
    <d v="1900-01-04T00:00:00"/>
    <n v="14"/>
    <x v="10"/>
    <x v="2"/>
  </r>
  <r>
    <x v="529"/>
    <n v="-9.1999999999999993"/>
    <x v="1094"/>
    <n v="22377.69"/>
    <s v="Complete Access"/>
    <x v="277"/>
    <x v="8"/>
    <x v="29"/>
    <d v="1900-01-04T00:00:00"/>
    <n v="14"/>
    <x v="10"/>
    <x v="2"/>
  </r>
  <r>
    <x v="530"/>
    <n v="-14.5"/>
    <x v="18"/>
    <n v="22406.89"/>
    <s v="Complete Access"/>
    <x v="16"/>
    <x v="1"/>
    <x v="5"/>
    <d v="1900-01-03T00:00:00"/>
    <n v="14"/>
    <x v="10"/>
    <x v="2"/>
  </r>
  <r>
    <x v="530"/>
    <n v="-18.7"/>
    <x v="1095"/>
    <n v="22462.37"/>
    <s v="Complete Access"/>
    <x v="329"/>
    <x v="4"/>
    <x v="7"/>
    <d v="1900-01-03T00:00:00"/>
    <n v="14"/>
    <x v="10"/>
    <x v="2"/>
  </r>
  <r>
    <x v="530"/>
    <n v="-40.98"/>
    <x v="1096"/>
    <n v="22421.39"/>
    <s v="Complete Access"/>
    <x v="5"/>
    <x v="3"/>
    <x v="3"/>
    <d v="1900-01-03T00:00:00"/>
    <n v="14"/>
    <x v="10"/>
    <x v="2"/>
  </r>
  <r>
    <x v="531"/>
    <n v="-186.7"/>
    <x v="1097"/>
    <n v="22481.07"/>
    <s v="Complete Access"/>
    <x v="76"/>
    <x v="2"/>
    <x v="2"/>
    <d v="1900-01-02T00:00:00"/>
    <n v="14"/>
    <x v="10"/>
    <x v="2"/>
  </r>
  <r>
    <x v="532"/>
    <n v="-120.58"/>
    <x v="405"/>
    <n v="22667.77"/>
    <s v="Complete Access"/>
    <x v="177"/>
    <x v="1"/>
    <x v="1"/>
    <d v="1900-01-01T00:00:00"/>
    <n v="14"/>
    <x v="10"/>
    <x v="2"/>
  </r>
  <r>
    <x v="533"/>
    <n v="-94"/>
    <x v="1098"/>
    <n v="22788.35"/>
    <s v="Complete Access"/>
    <x v="347"/>
    <x v="3"/>
    <x v="62"/>
    <d v="1899-12-31T00:00:00"/>
    <n v="13"/>
    <x v="10"/>
    <x v="2"/>
  </r>
  <r>
    <x v="533"/>
    <n v="3.87"/>
    <x v="609"/>
    <n v="2651.56"/>
    <s v="Netbank Saver"/>
    <x v="240"/>
    <x v="0"/>
    <x v="55"/>
    <d v="1899-12-31T00:00:00"/>
    <n v="13"/>
    <x v="10"/>
    <x v="2"/>
  </r>
  <r>
    <x v="534"/>
    <n v="-11.5"/>
    <x v="827"/>
    <n v="22950.46"/>
    <s v="Complete Access"/>
    <x v="297"/>
    <x v="1"/>
    <x v="5"/>
    <d v="1900-01-30T00:00:00"/>
    <n v="13"/>
    <x v="11"/>
    <x v="2"/>
  </r>
  <r>
    <x v="534"/>
    <n v="-5.4"/>
    <x v="533"/>
    <n v="22945.06"/>
    <s v="Complete Access"/>
    <x v="215"/>
    <x v="1"/>
    <x v="1"/>
    <d v="1900-01-30T00:00:00"/>
    <n v="13"/>
    <x v="11"/>
    <x v="2"/>
  </r>
  <r>
    <x v="534"/>
    <n v="-62.71"/>
    <x v="405"/>
    <n v="22882.35"/>
    <s v="Complete Access"/>
    <x v="177"/>
    <x v="1"/>
    <x v="1"/>
    <d v="1900-01-30T00:00:00"/>
    <n v="13"/>
    <x v="11"/>
    <x v="2"/>
  </r>
  <r>
    <x v="534"/>
    <n v="-11.99"/>
    <x v="1099"/>
    <n v="22971.16"/>
    <s v="Complete Access"/>
    <x v="15"/>
    <x v="4"/>
    <x v="10"/>
    <d v="1900-01-30T00:00:00"/>
    <n v="13"/>
    <x v="11"/>
    <x v="2"/>
  </r>
  <r>
    <x v="534"/>
    <n v="-9.1999999999999993"/>
    <x v="1100"/>
    <n v="22961.96"/>
    <s v="Complete Access"/>
    <x v="277"/>
    <x v="8"/>
    <x v="29"/>
    <d v="1900-01-30T00:00:00"/>
    <n v="13"/>
    <x v="11"/>
    <x v="2"/>
  </r>
  <r>
    <x v="535"/>
    <n v="-500"/>
    <x v="656"/>
    <n v="21839.72"/>
    <s v="Complete Access"/>
    <x v="13"/>
    <x v="0"/>
    <x v="0"/>
    <d v="1900-01-29T00:00:00"/>
    <n v="13"/>
    <x v="11"/>
    <x v="2"/>
  </r>
  <r>
    <x v="535"/>
    <n v="-20"/>
    <x v="1101"/>
    <n v="21819.72"/>
    <s v="Complete Access"/>
    <x v="12"/>
    <x v="5"/>
    <x v="8"/>
    <d v="1900-01-29T00:00:00"/>
    <n v="13"/>
    <x v="11"/>
    <x v="2"/>
  </r>
  <r>
    <x v="535"/>
    <n v="2332.84"/>
    <x v="1102"/>
    <n v="22339.72"/>
    <s v="Complete Access"/>
    <x v="14"/>
    <x v="6"/>
    <x v="9"/>
    <d v="1900-01-29T00:00:00"/>
    <n v="13"/>
    <x v="11"/>
    <x v="2"/>
  </r>
  <r>
    <x v="535"/>
    <n v="-20.07"/>
    <x v="1103"/>
    <n v="21783.15"/>
    <s v="Complete Access"/>
    <x v="56"/>
    <x v="9"/>
    <x v="31"/>
    <d v="1900-01-29T00:00:00"/>
    <n v="13"/>
    <x v="11"/>
    <x v="2"/>
  </r>
  <r>
    <x v="535"/>
    <n v="-16.5"/>
    <x v="1103"/>
    <n v="21803.22"/>
    <s v="Complete Access"/>
    <x v="56"/>
    <x v="9"/>
    <x v="31"/>
    <d v="1900-01-29T00:00:00"/>
    <n v="13"/>
    <x v="11"/>
    <x v="2"/>
  </r>
  <r>
    <x v="535"/>
    <n v="1200"/>
    <x v="1104"/>
    <n v="22983.15"/>
    <s v="Complete Access"/>
    <x v="325"/>
    <x v="6"/>
    <x v="64"/>
    <d v="1900-01-29T00:00:00"/>
    <n v="13"/>
    <x v="11"/>
    <x v="2"/>
  </r>
  <r>
    <x v="536"/>
    <n v="-20"/>
    <x v="1105"/>
    <n v="20055.919999999998"/>
    <s v="Complete Access"/>
    <x v="12"/>
    <x v="5"/>
    <x v="8"/>
    <d v="1900-01-27T00:00:00"/>
    <n v="13"/>
    <x v="11"/>
    <x v="2"/>
  </r>
  <r>
    <x v="536"/>
    <n v="-16.61"/>
    <x v="1106"/>
    <n v="20039.310000000001"/>
    <s v="Complete Access"/>
    <x v="74"/>
    <x v="4"/>
    <x v="10"/>
    <d v="1900-01-27T00:00:00"/>
    <n v="13"/>
    <x v="11"/>
    <x v="2"/>
  </r>
  <r>
    <x v="536"/>
    <n v="-0.5"/>
    <x v="1107"/>
    <n v="20038.810000000001"/>
    <s v="Complete Access"/>
    <x v="10"/>
    <x v="0"/>
    <x v="0"/>
    <d v="1900-01-27T00:00:00"/>
    <n v="13"/>
    <x v="11"/>
    <x v="2"/>
  </r>
  <r>
    <x v="536"/>
    <n v="-17.89"/>
    <x v="966"/>
    <n v="20006.88"/>
    <s v="Complete Access"/>
    <x v="215"/>
    <x v="1"/>
    <x v="1"/>
    <d v="1900-01-27T00:00:00"/>
    <n v="13"/>
    <x v="11"/>
    <x v="2"/>
  </r>
  <r>
    <x v="536"/>
    <n v="-14.04"/>
    <x v="436"/>
    <n v="20024.77"/>
    <s v="Complete Access"/>
    <x v="186"/>
    <x v="1"/>
    <x v="5"/>
    <d v="1900-01-27T00:00:00"/>
    <n v="13"/>
    <x v="11"/>
    <x v="2"/>
  </r>
  <r>
    <x v="537"/>
    <n v="-16.18"/>
    <x v="1108"/>
    <n v="20075.919999999998"/>
    <s v="Complete Access"/>
    <x v="348"/>
    <x v="1"/>
    <x v="5"/>
    <d v="1900-01-26T00:00:00"/>
    <n v="13"/>
    <x v="11"/>
    <x v="2"/>
  </r>
  <r>
    <x v="538"/>
    <n v="-25.6"/>
    <x v="405"/>
    <n v="20092.099999999999"/>
    <s v="Complete Access"/>
    <x v="177"/>
    <x v="1"/>
    <x v="1"/>
    <d v="1900-01-25T00:00:00"/>
    <n v="13"/>
    <x v="11"/>
    <x v="2"/>
  </r>
  <r>
    <x v="539"/>
    <n v="-73.680000000000007"/>
    <x v="405"/>
    <n v="20119.2"/>
    <s v="Complete Access"/>
    <x v="177"/>
    <x v="1"/>
    <x v="1"/>
    <d v="1900-01-24T00:00:00"/>
    <n v="12"/>
    <x v="11"/>
    <x v="2"/>
  </r>
  <r>
    <x v="539"/>
    <n v="-1.5"/>
    <x v="517"/>
    <n v="20117.7"/>
    <s v="Complete Access"/>
    <x v="34"/>
    <x v="9"/>
    <x v="12"/>
    <d v="1900-01-24T00:00:00"/>
    <n v="12"/>
    <x v="11"/>
    <x v="2"/>
  </r>
  <r>
    <x v="540"/>
    <n v="-20"/>
    <x v="1109"/>
    <n v="20202.080000000002"/>
    <s v="Complete Access"/>
    <x v="12"/>
    <x v="5"/>
    <x v="8"/>
    <d v="1900-01-23T00:00:00"/>
    <n v="12"/>
    <x v="11"/>
    <x v="2"/>
  </r>
  <r>
    <x v="540"/>
    <n v="-9.1999999999999993"/>
    <x v="1110"/>
    <n v="20192.88"/>
    <s v="Complete Access"/>
    <x v="277"/>
    <x v="8"/>
    <x v="29"/>
    <d v="1900-01-23T00:00:00"/>
    <n v="12"/>
    <x v="11"/>
    <x v="2"/>
  </r>
  <r>
    <x v="541"/>
    <n v="-69"/>
    <x v="1111"/>
    <n v="20304.05"/>
    <s v="Complete Access"/>
    <x v="207"/>
    <x v="7"/>
    <x v="11"/>
    <d v="1900-01-22T00:00:00"/>
    <n v="12"/>
    <x v="11"/>
    <x v="2"/>
  </r>
  <r>
    <x v="541"/>
    <n v="-12.99"/>
    <x v="1112"/>
    <n v="20222.080000000002"/>
    <s v="Complete Access"/>
    <x v="15"/>
    <x v="4"/>
    <x v="10"/>
    <d v="1900-01-22T00:00:00"/>
    <n v="12"/>
    <x v="11"/>
    <x v="2"/>
  </r>
  <r>
    <x v="541"/>
    <n v="-68.98"/>
    <x v="1113"/>
    <n v="20235.07"/>
    <s v="Complete Access"/>
    <x v="1"/>
    <x v="1"/>
    <x v="1"/>
    <d v="1900-01-22T00:00:00"/>
    <n v="12"/>
    <x v="11"/>
    <x v="2"/>
  </r>
  <r>
    <x v="542"/>
    <n v="-14.99"/>
    <x v="1114"/>
    <n v="20373.05"/>
    <s v="Complete Access"/>
    <x v="15"/>
    <x v="4"/>
    <x v="10"/>
    <d v="1900-01-21T00:00:00"/>
    <n v="12"/>
    <x v="11"/>
    <x v="2"/>
  </r>
  <r>
    <x v="542"/>
    <n v="-37.49"/>
    <x v="1115"/>
    <n v="20388.04"/>
    <s v="Complete Access"/>
    <x v="237"/>
    <x v="15"/>
    <x v="34"/>
    <d v="1900-01-21T00:00:00"/>
    <n v="12"/>
    <x v="11"/>
    <x v="2"/>
  </r>
  <r>
    <x v="543"/>
    <n v="-24.08"/>
    <x v="1116"/>
    <n v="20440.52"/>
    <s v="Complete Access"/>
    <x v="8"/>
    <x v="1"/>
    <x v="5"/>
    <d v="1900-01-20T00:00:00"/>
    <n v="12"/>
    <x v="11"/>
    <x v="2"/>
  </r>
  <r>
    <x v="543"/>
    <n v="-25.21"/>
    <x v="1117"/>
    <n v="20464.599999999999"/>
    <s v="Complete Access"/>
    <x v="343"/>
    <x v="1"/>
    <x v="5"/>
    <d v="1900-01-20T00:00:00"/>
    <n v="12"/>
    <x v="11"/>
    <x v="2"/>
  </r>
  <r>
    <x v="543"/>
    <n v="-14.99"/>
    <x v="1118"/>
    <n v="20425.53"/>
    <s v="Complete Access"/>
    <x v="15"/>
    <x v="4"/>
    <x v="10"/>
    <d v="1900-01-20T00:00:00"/>
    <n v="12"/>
    <x v="11"/>
    <x v="2"/>
  </r>
  <r>
    <x v="544"/>
    <n v="-14.04"/>
    <x v="436"/>
    <n v="20489.810000000001"/>
    <s v="Complete Access"/>
    <x v="186"/>
    <x v="1"/>
    <x v="5"/>
    <d v="1900-01-19T00:00:00"/>
    <n v="12"/>
    <x v="11"/>
    <x v="2"/>
  </r>
  <r>
    <x v="545"/>
    <n v="15"/>
    <x v="1119"/>
    <n v="20503.849999999999"/>
    <s v="Complete Access"/>
    <x v="36"/>
    <x v="0"/>
    <x v="0"/>
    <d v="1900-01-18T00:00:00"/>
    <n v="12"/>
    <x v="11"/>
    <x v="2"/>
  </r>
  <r>
    <x v="546"/>
    <n v="-50"/>
    <x v="1120"/>
    <n v="20553.849999999999"/>
    <s v="Complete Access"/>
    <x v="130"/>
    <x v="0"/>
    <x v="0"/>
    <d v="1900-01-17T00:00:00"/>
    <n v="11"/>
    <x v="11"/>
    <x v="2"/>
  </r>
  <r>
    <x v="546"/>
    <n v="-127.72"/>
    <x v="1121"/>
    <n v="19909.54"/>
    <s v="Complete Access"/>
    <x v="345"/>
    <x v="4"/>
    <x v="47"/>
    <d v="1900-01-17T00:00:00"/>
    <n v="11"/>
    <x v="11"/>
    <x v="2"/>
  </r>
  <r>
    <x v="546"/>
    <n v="-30"/>
    <x v="1122"/>
    <n v="20523.849999999999"/>
    <s v="Complete Access"/>
    <x v="349"/>
    <x v="1"/>
    <x v="5"/>
    <d v="1900-01-17T00:00:00"/>
    <n v="11"/>
    <x v="11"/>
    <x v="2"/>
  </r>
  <r>
    <x v="546"/>
    <n v="-15"/>
    <x v="1123"/>
    <n v="20488.849999999999"/>
    <s v="Complete Access"/>
    <x v="350"/>
    <x v="1"/>
    <x v="5"/>
    <d v="1900-01-17T00:00:00"/>
    <n v="11"/>
    <x v="11"/>
    <x v="2"/>
  </r>
  <r>
    <x v="546"/>
    <n v="-20"/>
    <x v="1123"/>
    <n v="20503.849999999999"/>
    <s v="Complete Access"/>
    <x v="350"/>
    <x v="1"/>
    <x v="5"/>
    <d v="1900-01-17T00:00:00"/>
    <n v="11"/>
    <x v="11"/>
    <x v="2"/>
  </r>
  <r>
    <x v="546"/>
    <n v="-3.83"/>
    <x v="1124"/>
    <n v="19905.71"/>
    <s v="Complete Access"/>
    <x v="10"/>
    <x v="0"/>
    <x v="0"/>
    <d v="1900-01-17T00:00:00"/>
    <n v="11"/>
    <x v="11"/>
    <x v="2"/>
  </r>
  <r>
    <x v="546"/>
    <n v="700"/>
    <x v="1125"/>
    <n v="20603.849999999999"/>
    <s v="Complete Access"/>
    <x v="325"/>
    <x v="6"/>
    <x v="64"/>
    <d v="1900-01-17T00:00:00"/>
    <n v="11"/>
    <x v="11"/>
    <x v="2"/>
  </r>
  <r>
    <x v="546"/>
    <n v="-1.86"/>
    <x v="1126"/>
    <n v="19903.849999999999"/>
    <s v="Complete Access"/>
    <x v="44"/>
    <x v="4"/>
    <x v="27"/>
    <d v="1900-01-17T00:00:00"/>
    <n v="11"/>
    <x v="11"/>
    <x v="2"/>
  </r>
  <r>
    <x v="547"/>
    <n v="-500"/>
    <x v="656"/>
    <n v="20028.919999999998"/>
    <s v="Complete Access"/>
    <x v="13"/>
    <x v="0"/>
    <x v="0"/>
    <d v="1900-01-15T00:00:00"/>
    <n v="11"/>
    <x v="11"/>
    <x v="2"/>
  </r>
  <r>
    <x v="547"/>
    <n v="-20"/>
    <x v="1127"/>
    <n v="20008.919999999998"/>
    <s v="Complete Access"/>
    <x v="12"/>
    <x v="5"/>
    <x v="8"/>
    <d v="1900-01-15T00:00:00"/>
    <n v="11"/>
    <x v="11"/>
    <x v="2"/>
  </r>
  <r>
    <x v="547"/>
    <n v="2332.84"/>
    <x v="1128"/>
    <n v="20528.919999999998"/>
    <s v="Complete Access"/>
    <x v="14"/>
    <x v="6"/>
    <x v="9"/>
    <d v="1900-01-15T00:00:00"/>
    <n v="11"/>
    <x v="11"/>
    <x v="2"/>
  </r>
  <r>
    <x v="547"/>
    <n v="28.34"/>
    <x v="6"/>
    <n v="20037.259999999998"/>
    <s v="Complete Access"/>
    <x v="6"/>
    <x v="4"/>
    <x v="4"/>
    <d v="1900-01-15T00:00:00"/>
    <n v="11"/>
    <x v="11"/>
    <x v="2"/>
  </r>
  <r>
    <x v="548"/>
    <n v="-13.4"/>
    <x v="827"/>
    <n v="18196.080000000002"/>
    <s v="Complete Access"/>
    <x v="297"/>
    <x v="1"/>
    <x v="5"/>
    <d v="1900-01-14T00:00:00"/>
    <n v="11"/>
    <x v="11"/>
    <x v="2"/>
  </r>
  <r>
    <x v="549"/>
    <n v="-18.2"/>
    <x v="1129"/>
    <n v="18221.509999999998"/>
    <s v="Complete Access"/>
    <x v="8"/>
    <x v="1"/>
    <x v="5"/>
    <d v="1900-01-13T00:00:00"/>
    <n v="11"/>
    <x v="11"/>
    <x v="2"/>
  </r>
  <r>
    <x v="549"/>
    <n v="-12.03"/>
    <x v="1108"/>
    <n v="18209.48"/>
    <s v="Complete Access"/>
    <x v="348"/>
    <x v="1"/>
    <x v="5"/>
    <d v="1900-01-13T00:00:00"/>
    <n v="11"/>
    <x v="11"/>
    <x v="2"/>
  </r>
  <r>
    <x v="550"/>
    <n v="-8.49"/>
    <x v="1108"/>
    <n v="18304.32"/>
    <s v="Complete Access"/>
    <x v="348"/>
    <x v="1"/>
    <x v="5"/>
    <d v="1900-01-12T00:00:00"/>
    <n v="11"/>
    <x v="11"/>
    <x v="2"/>
  </r>
  <r>
    <x v="550"/>
    <n v="-14.5"/>
    <x v="18"/>
    <n v="18289.82"/>
    <s v="Complete Access"/>
    <x v="16"/>
    <x v="1"/>
    <x v="5"/>
    <d v="1900-01-12T00:00:00"/>
    <n v="11"/>
    <x v="11"/>
    <x v="2"/>
  </r>
  <r>
    <x v="550"/>
    <n v="-50.11"/>
    <x v="405"/>
    <n v="18239.71"/>
    <s v="Complete Access"/>
    <x v="177"/>
    <x v="1"/>
    <x v="1"/>
    <d v="1900-01-12T00:00:00"/>
    <n v="11"/>
    <x v="11"/>
    <x v="2"/>
  </r>
  <r>
    <x v="551"/>
    <n v="-16.649999999999999"/>
    <x v="1130"/>
    <n v="18357.37"/>
    <s v="Complete Access"/>
    <x v="351"/>
    <x v="1"/>
    <x v="5"/>
    <d v="1900-01-11T00:00:00"/>
    <n v="11"/>
    <x v="11"/>
    <x v="2"/>
  </r>
  <r>
    <x v="551"/>
    <n v="900"/>
    <x v="1131"/>
    <n v="18374.02"/>
    <s v="Complete Access"/>
    <x v="325"/>
    <x v="6"/>
    <x v="64"/>
    <d v="1900-01-11T00:00:00"/>
    <n v="11"/>
    <x v="11"/>
    <x v="2"/>
  </r>
  <r>
    <x v="551"/>
    <n v="-44.56"/>
    <x v="532"/>
    <n v="18312.810000000001"/>
    <s v="Complete Access"/>
    <x v="1"/>
    <x v="1"/>
    <x v="1"/>
    <d v="1900-01-11T00:00:00"/>
    <n v="11"/>
    <x v="11"/>
    <x v="2"/>
  </r>
  <r>
    <x v="552"/>
    <n v="-55.14"/>
    <x v="405"/>
    <n v="17474.02"/>
    <s v="Complete Access"/>
    <x v="177"/>
    <x v="1"/>
    <x v="1"/>
    <d v="1900-01-10T00:00:00"/>
    <n v="10"/>
    <x v="11"/>
    <x v="2"/>
  </r>
  <r>
    <x v="553"/>
    <n v="-16.18"/>
    <x v="1132"/>
    <n v="17529.16"/>
    <s v="Complete Access"/>
    <x v="333"/>
    <x v="1"/>
    <x v="5"/>
    <d v="1900-01-09T00:00:00"/>
    <n v="10"/>
    <x v="11"/>
    <x v="2"/>
  </r>
  <r>
    <x v="554"/>
    <n v="-32.590000000000003"/>
    <x v="533"/>
    <n v="17545.34"/>
    <s v="Complete Access"/>
    <x v="215"/>
    <x v="1"/>
    <x v="1"/>
    <d v="1900-01-08T00:00:00"/>
    <n v="10"/>
    <x v="11"/>
    <x v="2"/>
  </r>
  <r>
    <x v="555"/>
    <n v="-66.7"/>
    <x v="532"/>
    <n v="17577.93"/>
    <s v="Complete Access"/>
    <x v="1"/>
    <x v="1"/>
    <x v="1"/>
    <d v="1900-01-05T00:00:00"/>
    <n v="10"/>
    <x v="11"/>
    <x v="2"/>
  </r>
  <r>
    <x v="556"/>
    <n v="-17.47"/>
    <x v="533"/>
    <n v="17644.63"/>
    <s v="Complete Access"/>
    <x v="215"/>
    <x v="1"/>
    <x v="1"/>
    <d v="1900-01-04T00:00:00"/>
    <n v="10"/>
    <x v="11"/>
    <x v="2"/>
  </r>
  <r>
    <x v="556"/>
    <n v="-19.64"/>
    <x v="405"/>
    <n v="17662.099999999999"/>
    <s v="Complete Access"/>
    <x v="177"/>
    <x v="1"/>
    <x v="1"/>
    <d v="1900-01-04T00:00:00"/>
    <n v="10"/>
    <x v="11"/>
    <x v="2"/>
  </r>
  <r>
    <x v="557"/>
    <n v="-40.229999999999997"/>
    <x v="405"/>
    <n v="17681.740000000002"/>
    <s v="Complete Access"/>
    <x v="177"/>
    <x v="1"/>
    <x v="1"/>
    <d v="1900-01-03T00:00:00"/>
    <n v="9"/>
    <x v="11"/>
    <x v="2"/>
  </r>
  <r>
    <x v="558"/>
    <n v="-3.93"/>
    <x v="1133"/>
    <n v="17611.669999999998"/>
    <s v="Complete Access"/>
    <x v="285"/>
    <x v="5"/>
    <x v="8"/>
    <d v="1900-01-02T00:00:00"/>
    <n v="9"/>
    <x v="11"/>
    <x v="2"/>
  </r>
  <r>
    <x v="558"/>
    <n v="-16"/>
    <x v="1134"/>
    <n v="17721.97"/>
    <s v="Complete Access"/>
    <x v="242"/>
    <x v="1"/>
    <x v="5"/>
    <d v="1900-01-02T00:00:00"/>
    <n v="9"/>
    <x v="11"/>
    <x v="2"/>
  </r>
  <r>
    <x v="558"/>
    <n v="145"/>
    <x v="1135"/>
    <n v="17756.669999999998"/>
    <s v="Complete Access"/>
    <x v="352"/>
    <x v="4"/>
    <x v="67"/>
    <d v="1900-01-02T00:00:00"/>
    <n v="9"/>
    <x v="11"/>
    <x v="2"/>
  </r>
  <r>
    <x v="558"/>
    <n v="-18.7"/>
    <x v="1136"/>
    <n v="17737.97"/>
    <s v="Complete Access"/>
    <x v="329"/>
    <x v="4"/>
    <x v="7"/>
    <d v="1900-01-02T00:00:00"/>
    <n v="9"/>
    <x v="11"/>
    <x v="2"/>
  </r>
  <r>
    <x v="559"/>
    <n v="-500"/>
    <x v="656"/>
    <n v="17470.23"/>
    <s v="Complete Access"/>
    <x v="13"/>
    <x v="0"/>
    <x v="0"/>
    <d v="1900-01-01T00:00:00"/>
    <n v="9"/>
    <x v="11"/>
    <x v="2"/>
  </r>
  <r>
    <x v="559"/>
    <n v="-10.55"/>
    <x v="1137"/>
    <n v="17439.68"/>
    <s v="Complete Access"/>
    <x v="188"/>
    <x v="1"/>
    <x v="1"/>
    <d v="1900-01-01T00:00:00"/>
    <n v="9"/>
    <x v="11"/>
    <x v="2"/>
  </r>
  <r>
    <x v="559"/>
    <n v="-20"/>
    <x v="1138"/>
    <n v="17450.23"/>
    <s v="Complete Access"/>
    <x v="12"/>
    <x v="5"/>
    <x v="8"/>
    <d v="1900-01-01T00:00:00"/>
    <n v="9"/>
    <x v="11"/>
    <x v="2"/>
  </r>
  <r>
    <x v="559"/>
    <n v="-16.18"/>
    <x v="1139"/>
    <n v="17423.5"/>
    <s v="Complete Access"/>
    <x v="333"/>
    <x v="1"/>
    <x v="5"/>
    <d v="1900-01-01T00:00:00"/>
    <n v="9"/>
    <x v="11"/>
    <x v="2"/>
  </r>
  <r>
    <x v="559"/>
    <n v="2332.84"/>
    <x v="1140"/>
    <n v="17970.23"/>
    <s v="Complete Access"/>
    <x v="14"/>
    <x v="6"/>
    <x v="9"/>
    <d v="1900-01-01T00:00:00"/>
    <n v="9"/>
    <x v="11"/>
    <x v="2"/>
  </r>
  <r>
    <x v="559"/>
    <n v="-7.9"/>
    <x v="96"/>
    <n v="17615.599999999999"/>
    <s v="Complete Access"/>
    <x v="47"/>
    <x v="1"/>
    <x v="5"/>
    <d v="1900-01-01T00:00:00"/>
    <n v="9"/>
    <x v="11"/>
    <x v="2"/>
  </r>
  <r>
    <x v="559"/>
    <n v="200"/>
    <x v="1141"/>
    <n v="17623.5"/>
    <s v="Complete Access"/>
    <x v="36"/>
    <x v="0"/>
    <x v="0"/>
    <d v="1900-01-01T00:00:00"/>
    <n v="9"/>
    <x v="11"/>
    <x v="2"/>
  </r>
  <r>
    <x v="560"/>
    <n v="-186.7"/>
    <x v="1142"/>
    <n v="15637.39"/>
    <s v="Complete Access"/>
    <x v="76"/>
    <x v="2"/>
    <x v="2"/>
    <d v="1899-12-31T00:00:00"/>
    <n v="9"/>
    <x v="11"/>
    <x v="2"/>
  </r>
  <r>
    <x v="560"/>
    <n v="3.25"/>
    <x v="609"/>
    <n v="2647.69"/>
    <s v="Netbank Saver"/>
    <x v="240"/>
    <x v="0"/>
    <x v="55"/>
    <d v="1899-12-31T00:00:00"/>
    <n v="9"/>
    <x v="11"/>
    <x v="2"/>
  </r>
  <r>
    <x v="560"/>
    <n v="-200"/>
    <x v="1006"/>
    <n v="15824.09"/>
    <s v="Complete Access"/>
    <x v="0"/>
    <x v="0"/>
    <x v="0"/>
    <d v="1899-12-31T00:00:00"/>
    <n v="9"/>
    <x v="11"/>
    <x v="2"/>
  </r>
  <r>
    <x v="561"/>
    <n v="-5.72"/>
    <x v="1143"/>
    <n v="16152.55"/>
    <s v="Complete Access"/>
    <x v="285"/>
    <x v="5"/>
    <x v="8"/>
    <d v="1900-01-27T00:00:00"/>
    <n v="9"/>
    <x v="0"/>
    <x v="2"/>
  </r>
  <r>
    <x v="561"/>
    <n v="-20"/>
    <x v="1144"/>
    <n v="16158.27"/>
    <s v="Complete Access"/>
    <x v="12"/>
    <x v="5"/>
    <x v="8"/>
    <d v="1900-01-27T00:00:00"/>
    <n v="9"/>
    <x v="0"/>
    <x v="2"/>
  </r>
  <r>
    <x v="561"/>
    <n v="-14.5"/>
    <x v="18"/>
    <n v="16052.94"/>
    <s v="Complete Access"/>
    <x v="16"/>
    <x v="1"/>
    <x v="5"/>
    <d v="1900-01-27T00:00:00"/>
    <n v="9"/>
    <x v="0"/>
    <x v="2"/>
  </r>
  <r>
    <x v="561"/>
    <n v="-3.5"/>
    <x v="405"/>
    <n v="16049.44"/>
    <s v="Complete Access"/>
    <x v="177"/>
    <x v="1"/>
    <x v="1"/>
    <d v="1900-01-27T00:00:00"/>
    <n v="9"/>
    <x v="0"/>
    <x v="2"/>
  </r>
  <r>
    <x v="561"/>
    <n v="-25.35"/>
    <x v="532"/>
    <n v="16024.09"/>
    <s v="Complete Access"/>
    <x v="1"/>
    <x v="1"/>
    <x v="1"/>
    <d v="1900-01-27T00:00:00"/>
    <n v="9"/>
    <x v="0"/>
    <x v="2"/>
  </r>
  <r>
    <x v="561"/>
    <n v="-40"/>
    <x v="1145"/>
    <n v="16067.44"/>
    <s v="Complete Access"/>
    <x v="243"/>
    <x v="1"/>
    <x v="23"/>
    <d v="1900-01-27T00:00:00"/>
    <n v="9"/>
    <x v="0"/>
    <x v="2"/>
  </r>
  <r>
    <x v="561"/>
    <n v="-45.11"/>
    <x v="1146"/>
    <n v="16107.44"/>
    <s v="Complete Access"/>
    <x v="34"/>
    <x v="9"/>
    <x v="12"/>
    <d v="1900-01-27T00:00:00"/>
    <n v="9"/>
    <x v="0"/>
    <x v="2"/>
  </r>
  <r>
    <x v="562"/>
    <n v="-3.76"/>
    <x v="966"/>
    <n v="16169.78"/>
    <s v="Complete Access"/>
    <x v="215"/>
    <x v="1"/>
    <x v="1"/>
    <d v="1900-01-26T00:00:00"/>
    <n v="9"/>
    <x v="0"/>
    <x v="2"/>
  </r>
  <r>
    <x v="562"/>
    <n v="8.49"/>
    <x v="6"/>
    <n v="16178.27"/>
    <s v="Complete Access"/>
    <x v="6"/>
    <x v="4"/>
    <x v="4"/>
    <d v="1900-01-26T00:00:00"/>
    <n v="9"/>
    <x v="0"/>
    <x v="2"/>
  </r>
  <r>
    <x v="563"/>
    <n v="-7.99"/>
    <x v="966"/>
    <n v="16173.54"/>
    <s v="Complete Access"/>
    <x v="215"/>
    <x v="1"/>
    <x v="1"/>
    <d v="1900-01-25T00:00:00"/>
    <n v="9"/>
    <x v="0"/>
    <x v="2"/>
  </r>
  <r>
    <x v="563"/>
    <n v="-63.52"/>
    <x v="405"/>
    <n v="16181.53"/>
    <s v="Complete Access"/>
    <x v="177"/>
    <x v="1"/>
    <x v="1"/>
    <d v="1900-01-25T00:00:00"/>
    <n v="9"/>
    <x v="0"/>
    <x v="2"/>
  </r>
  <r>
    <x v="564"/>
    <n v="-23.19"/>
    <x v="1147"/>
    <n v="16466.73"/>
    <s v="Complete Access"/>
    <x v="8"/>
    <x v="1"/>
    <x v="5"/>
    <d v="1900-01-24T00:00:00"/>
    <n v="8"/>
    <x v="0"/>
    <x v="2"/>
  </r>
  <r>
    <x v="564"/>
    <n v="-12.7"/>
    <x v="1148"/>
    <n v="16245.05"/>
    <s v="Complete Access"/>
    <x v="297"/>
    <x v="1"/>
    <x v="5"/>
    <d v="1900-01-24T00:00:00"/>
    <n v="8"/>
    <x v="0"/>
    <x v="2"/>
  </r>
  <r>
    <x v="564"/>
    <n v="-9.99"/>
    <x v="966"/>
    <n v="16257.75"/>
    <s v="Complete Access"/>
    <x v="215"/>
    <x v="1"/>
    <x v="1"/>
    <d v="1900-01-24T00:00:00"/>
    <n v="8"/>
    <x v="0"/>
    <x v="2"/>
  </r>
  <r>
    <x v="564"/>
    <n v="-8.4"/>
    <x v="405"/>
    <n v="16267.74"/>
    <s v="Complete Access"/>
    <x v="177"/>
    <x v="1"/>
    <x v="1"/>
    <d v="1900-01-24T00:00:00"/>
    <n v="8"/>
    <x v="0"/>
    <x v="2"/>
  </r>
  <r>
    <x v="564"/>
    <n v="-190.59"/>
    <x v="1149"/>
    <n v="16276.14"/>
    <s v="Complete Access"/>
    <x v="353"/>
    <x v="1"/>
    <x v="5"/>
    <d v="1900-01-24T00:00:00"/>
    <n v="8"/>
    <x v="0"/>
    <x v="2"/>
  </r>
  <r>
    <x v="565"/>
    <n v="-33.68"/>
    <x v="405"/>
    <n v="16489.919999999998"/>
    <s v="Complete Access"/>
    <x v="177"/>
    <x v="1"/>
    <x v="1"/>
    <d v="1900-01-23T00:00:00"/>
    <n v="8"/>
    <x v="0"/>
    <x v="2"/>
  </r>
  <r>
    <x v="566"/>
    <n v="-9.65"/>
    <x v="1150"/>
    <n v="16523.599999999999"/>
    <s v="Complete Access"/>
    <x v="285"/>
    <x v="5"/>
    <x v="8"/>
    <d v="1900-01-22T00:00:00"/>
    <n v="8"/>
    <x v="0"/>
    <x v="2"/>
  </r>
  <r>
    <x v="566"/>
    <n v="20"/>
    <x v="1151"/>
    <n v="16523.599999999999"/>
    <s v="Complete Access"/>
    <x v="36"/>
    <x v="0"/>
    <x v="0"/>
    <d v="1900-01-22T00:00:00"/>
    <n v="8"/>
    <x v="0"/>
    <x v="2"/>
  </r>
  <r>
    <x v="566"/>
    <n v="-20"/>
    <x v="1152"/>
    <n v="16503.599999999999"/>
    <s v="Complete Access"/>
    <x v="34"/>
    <x v="9"/>
    <x v="12"/>
    <d v="1900-01-22T00:00:00"/>
    <n v="8"/>
    <x v="0"/>
    <x v="2"/>
  </r>
  <r>
    <x v="567"/>
    <n v="-12.05"/>
    <x v="96"/>
    <n v="16533.25"/>
    <s v="Complete Access"/>
    <x v="47"/>
    <x v="1"/>
    <x v="5"/>
    <d v="1900-01-21T00:00:00"/>
    <n v="8"/>
    <x v="0"/>
    <x v="2"/>
  </r>
  <r>
    <x v="568"/>
    <n v="-37.130000000000003"/>
    <x v="1153"/>
    <n v="16699.5"/>
    <s v="Complete Access"/>
    <x v="8"/>
    <x v="1"/>
    <x v="5"/>
    <d v="1900-01-20T00:00:00"/>
    <n v="8"/>
    <x v="0"/>
    <x v="2"/>
  </r>
  <r>
    <x v="568"/>
    <n v="-2.75"/>
    <x v="1154"/>
    <n v="16769.03"/>
    <s v="Complete Access"/>
    <x v="285"/>
    <x v="5"/>
    <x v="8"/>
    <d v="1900-01-20T00:00:00"/>
    <n v="8"/>
    <x v="0"/>
    <x v="2"/>
  </r>
  <r>
    <x v="568"/>
    <n v="-145"/>
    <x v="1155"/>
    <n v="16554.5"/>
    <s v="Complete Access"/>
    <x v="352"/>
    <x v="4"/>
    <x v="67"/>
    <d v="1900-01-20T00:00:00"/>
    <n v="8"/>
    <x v="0"/>
    <x v="2"/>
  </r>
  <r>
    <x v="568"/>
    <n v="-32.4"/>
    <x v="1156"/>
    <n v="16736.63"/>
    <s v="Complete Access"/>
    <x v="1"/>
    <x v="1"/>
    <x v="1"/>
    <d v="1900-01-20T00:00:00"/>
    <n v="8"/>
    <x v="0"/>
    <x v="2"/>
  </r>
  <r>
    <x v="568"/>
    <n v="-9.1999999999999993"/>
    <x v="807"/>
    <n v="16545.3"/>
    <s v="Complete Access"/>
    <x v="277"/>
    <x v="8"/>
    <x v="29"/>
    <d v="1900-01-20T00:00:00"/>
    <n v="8"/>
    <x v="0"/>
    <x v="2"/>
  </r>
  <r>
    <x v="569"/>
    <n v="-24.29"/>
    <x v="532"/>
    <n v="16771.78"/>
    <s v="Complete Access"/>
    <x v="1"/>
    <x v="1"/>
    <x v="1"/>
    <d v="1900-01-19T00:00:00"/>
    <n v="8"/>
    <x v="0"/>
    <x v="2"/>
  </r>
  <r>
    <x v="569"/>
    <n v="-24.04"/>
    <x v="436"/>
    <n v="16796.07"/>
    <s v="Complete Access"/>
    <x v="186"/>
    <x v="1"/>
    <x v="5"/>
    <d v="1900-01-19T00:00:00"/>
    <n v="8"/>
    <x v="0"/>
    <x v="2"/>
  </r>
  <r>
    <x v="570"/>
    <n v="-9.44"/>
    <x v="532"/>
    <n v="16826.11"/>
    <s v="Complete Access"/>
    <x v="1"/>
    <x v="1"/>
    <x v="1"/>
    <d v="1900-01-18T00:00:00"/>
    <n v="8"/>
    <x v="0"/>
    <x v="2"/>
  </r>
  <r>
    <x v="570"/>
    <n v="-6"/>
    <x v="1157"/>
    <n v="16820.11"/>
    <s v="Complete Access"/>
    <x v="0"/>
    <x v="0"/>
    <x v="0"/>
    <d v="1900-01-18T00:00:00"/>
    <n v="8"/>
    <x v="0"/>
    <x v="2"/>
  </r>
  <r>
    <x v="571"/>
    <n v="-23.19"/>
    <x v="1158"/>
    <n v="16873.68"/>
    <s v="Complete Access"/>
    <x v="8"/>
    <x v="1"/>
    <x v="5"/>
    <d v="1900-01-17T00:00:00"/>
    <n v="7"/>
    <x v="0"/>
    <x v="2"/>
  </r>
  <r>
    <x v="571"/>
    <n v="-9.65"/>
    <x v="1159"/>
    <n v="16896.87"/>
    <s v="Complete Access"/>
    <x v="285"/>
    <x v="5"/>
    <x v="8"/>
    <d v="1900-01-17T00:00:00"/>
    <n v="7"/>
    <x v="0"/>
    <x v="2"/>
  </r>
  <r>
    <x v="571"/>
    <n v="-38.130000000000003"/>
    <x v="969"/>
    <n v="16835.55"/>
    <s v="Complete Access"/>
    <x v="177"/>
    <x v="1"/>
    <x v="1"/>
    <d v="1900-01-17T00:00:00"/>
    <n v="7"/>
    <x v="0"/>
    <x v="2"/>
  </r>
  <r>
    <x v="572"/>
    <n v="-9.65"/>
    <x v="1160"/>
    <n v="17030.79"/>
    <s v="Complete Access"/>
    <x v="285"/>
    <x v="5"/>
    <x v="8"/>
    <d v="1900-01-16T00:00:00"/>
    <n v="7"/>
    <x v="0"/>
    <x v="2"/>
  </r>
  <r>
    <x v="572"/>
    <n v="-149"/>
    <x v="1161"/>
    <n v="16869.02"/>
    <s v="Complete Access"/>
    <x v="354"/>
    <x v="1"/>
    <x v="5"/>
    <d v="1900-01-16T00:00:00"/>
    <n v="7"/>
    <x v="0"/>
    <x v="2"/>
  </r>
  <r>
    <x v="572"/>
    <n v="-12.77"/>
    <x v="533"/>
    <n v="17018.02"/>
    <s v="Complete Access"/>
    <x v="215"/>
    <x v="1"/>
    <x v="1"/>
    <d v="1900-01-16T00:00:00"/>
    <n v="7"/>
    <x v="0"/>
    <x v="2"/>
  </r>
  <r>
    <x v="572"/>
    <n v="37.5"/>
    <x v="1162"/>
    <n v="16906.52"/>
    <s v="Complete Access"/>
    <x v="36"/>
    <x v="0"/>
    <x v="0"/>
    <d v="1900-01-16T00:00:00"/>
    <n v="7"/>
    <x v="0"/>
    <x v="2"/>
  </r>
  <r>
    <x v="573"/>
    <n v="-500"/>
    <x v="656"/>
    <n v="17134.259999999998"/>
    <s v="Complete Access"/>
    <x v="13"/>
    <x v="0"/>
    <x v="0"/>
    <d v="1900-01-15T00:00:00"/>
    <n v="7"/>
    <x v="0"/>
    <x v="2"/>
  </r>
  <r>
    <x v="573"/>
    <n v="-9.65"/>
    <x v="1163"/>
    <n v="17124.61"/>
    <s v="Complete Access"/>
    <x v="285"/>
    <x v="5"/>
    <x v="8"/>
    <d v="1900-01-15T00:00:00"/>
    <n v="7"/>
    <x v="0"/>
    <x v="2"/>
  </r>
  <r>
    <x v="573"/>
    <n v="-69"/>
    <x v="1164"/>
    <n v="17055.61"/>
    <s v="Complete Access"/>
    <x v="207"/>
    <x v="7"/>
    <x v="11"/>
    <d v="1900-01-15T00:00:00"/>
    <n v="7"/>
    <x v="0"/>
    <x v="2"/>
  </r>
  <r>
    <x v="573"/>
    <n v="-15.17"/>
    <x v="1165"/>
    <n v="17040.439999999999"/>
    <s v="Complete Access"/>
    <x v="333"/>
    <x v="1"/>
    <x v="5"/>
    <d v="1900-01-15T00:00:00"/>
    <n v="7"/>
    <x v="0"/>
    <x v="2"/>
  </r>
  <r>
    <x v="573"/>
    <n v="2332.84"/>
    <x v="1166"/>
    <n v="17634.259999999998"/>
    <s v="Complete Access"/>
    <x v="14"/>
    <x v="6"/>
    <x v="9"/>
    <d v="1900-01-15T00:00:00"/>
    <n v="7"/>
    <x v="0"/>
    <x v="2"/>
  </r>
  <r>
    <x v="574"/>
    <n v="-20"/>
    <x v="1167"/>
    <n v="15307.42"/>
    <s v="Complete Access"/>
    <x v="130"/>
    <x v="0"/>
    <x v="0"/>
    <d v="1900-01-14T00:00:00"/>
    <n v="7"/>
    <x v="0"/>
    <x v="2"/>
  </r>
  <r>
    <x v="574"/>
    <n v="-15.92"/>
    <x v="1168"/>
    <n v="15327.9"/>
    <s v="Complete Access"/>
    <x v="74"/>
    <x v="4"/>
    <x v="10"/>
    <d v="1900-01-14T00:00:00"/>
    <n v="7"/>
    <x v="0"/>
    <x v="2"/>
  </r>
  <r>
    <x v="574"/>
    <n v="-0.48"/>
    <x v="1169"/>
    <n v="15327.42"/>
    <s v="Complete Access"/>
    <x v="10"/>
    <x v="0"/>
    <x v="0"/>
    <d v="1900-01-14T00:00:00"/>
    <n v="7"/>
    <x v="0"/>
    <x v="2"/>
  </r>
  <r>
    <x v="574"/>
    <n v="-6"/>
    <x v="966"/>
    <n v="15301.42"/>
    <s v="Complete Access"/>
    <x v="215"/>
    <x v="1"/>
    <x v="1"/>
    <d v="1900-01-14T00:00:00"/>
    <n v="7"/>
    <x v="0"/>
    <x v="2"/>
  </r>
  <r>
    <x v="574"/>
    <n v="-34.99"/>
    <x v="1170"/>
    <n v="15343.82"/>
    <s v="Complete Access"/>
    <x v="1"/>
    <x v="1"/>
    <x v="1"/>
    <d v="1900-01-14T00:00:00"/>
    <n v="7"/>
    <x v="0"/>
    <x v="2"/>
  </r>
  <r>
    <x v="575"/>
    <n v="-44.99"/>
    <x v="1171"/>
    <n v="15457.41"/>
    <s v="Complete Access"/>
    <x v="8"/>
    <x v="1"/>
    <x v="5"/>
    <d v="1900-01-13T00:00:00"/>
    <n v="7"/>
    <x v="0"/>
    <x v="2"/>
  </r>
  <r>
    <x v="575"/>
    <n v="-26.71"/>
    <x v="1171"/>
    <n v="15502.4"/>
    <s v="Complete Access"/>
    <x v="8"/>
    <x v="1"/>
    <x v="5"/>
    <d v="1900-01-13T00:00:00"/>
    <n v="7"/>
    <x v="0"/>
    <x v="2"/>
  </r>
  <r>
    <x v="575"/>
    <n v="-43.52"/>
    <x v="1172"/>
    <n v="15413.89"/>
    <s v="Complete Access"/>
    <x v="355"/>
    <x v="8"/>
    <x v="29"/>
    <d v="1900-01-13T00:00:00"/>
    <n v="7"/>
    <x v="0"/>
    <x v="2"/>
  </r>
  <r>
    <x v="575"/>
    <n v="-17.579999999999998"/>
    <x v="966"/>
    <n v="15378.81"/>
    <s v="Complete Access"/>
    <x v="215"/>
    <x v="1"/>
    <x v="1"/>
    <d v="1900-01-13T00:00:00"/>
    <n v="7"/>
    <x v="0"/>
    <x v="2"/>
  </r>
  <r>
    <x v="575"/>
    <n v="-17.5"/>
    <x v="1173"/>
    <n v="15396.39"/>
    <s v="Complete Access"/>
    <x v="356"/>
    <x v="8"/>
    <x v="29"/>
    <d v="1900-01-13T00:00:00"/>
    <n v="7"/>
    <x v="0"/>
    <x v="2"/>
  </r>
  <r>
    <x v="576"/>
    <n v="-17.5"/>
    <x v="532"/>
    <n v="15529.11"/>
    <s v="Complete Access"/>
    <x v="1"/>
    <x v="1"/>
    <x v="1"/>
    <d v="1900-01-11T00:00:00"/>
    <n v="7"/>
    <x v="0"/>
    <x v="2"/>
  </r>
  <r>
    <x v="576"/>
    <n v="-0.59"/>
    <x v="532"/>
    <n v="15546.61"/>
    <s v="Complete Access"/>
    <x v="1"/>
    <x v="1"/>
    <x v="1"/>
    <d v="1900-01-11T00:00:00"/>
    <n v="7"/>
    <x v="0"/>
    <x v="2"/>
  </r>
  <r>
    <x v="577"/>
    <n v="-9.65"/>
    <x v="1174"/>
    <n v="15574.73"/>
    <s v="Complete Access"/>
    <x v="285"/>
    <x v="5"/>
    <x v="8"/>
    <d v="1900-01-10T00:00:00"/>
    <n v="6"/>
    <x v="0"/>
    <x v="2"/>
  </r>
  <r>
    <x v="577"/>
    <n v="-27.53"/>
    <x v="969"/>
    <n v="15547.2"/>
    <s v="Complete Access"/>
    <x v="177"/>
    <x v="1"/>
    <x v="1"/>
    <d v="1900-01-10T00:00:00"/>
    <n v="6"/>
    <x v="0"/>
    <x v="2"/>
  </r>
  <r>
    <x v="578"/>
    <n v="-26.02"/>
    <x v="1175"/>
    <n v="15608.72"/>
    <s v="Complete Access"/>
    <x v="357"/>
    <x v="3"/>
    <x v="60"/>
    <d v="1900-01-09T00:00:00"/>
    <n v="6"/>
    <x v="0"/>
    <x v="2"/>
  </r>
  <r>
    <x v="578"/>
    <n v="-9.65"/>
    <x v="1174"/>
    <n v="15639.79"/>
    <s v="Complete Access"/>
    <x v="285"/>
    <x v="5"/>
    <x v="8"/>
    <d v="1900-01-09T00:00:00"/>
    <n v="6"/>
    <x v="0"/>
    <x v="2"/>
  </r>
  <r>
    <x v="578"/>
    <n v="-5.05"/>
    <x v="1176"/>
    <n v="15634.74"/>
    <s v="Complete Access"/>
    <x v="285"/>
    <x v="5"/>
    <x v="8"/>
    <d v="1900-01-09T00:00:00"/>
    <n v="6"/>
    <x v="0"/>
    <x v="2"/>
  </r>
  <r>
    <x v="578"/>
    <n v="-15.14"/>
    <x v="966"/>
    <n v="15584.38"/>
    <s v="Complete Access"/>
    <x v="215"/>
    <x v="1"/>
    <x v="1"/>
    <d v="1900-01-09T00:00:00"/>
    <n v="6"/>
    <x v="0"/>
    <x v="2"/>
  </r>
  <r>
    <x v="578"/>
    <n v="-9.1999999999999993"/>
    <x v="1177"/>
    <n v="15599.52"/>
    <s v="Complete Access"/>
    <x v="277"/>
    <x v="8"/>
    <x v="29"/>
    <d v="1900-01-09T00:00:00"/>
    <n v="6"/>
    <x v="0"/>
    <x v="2"/>
  </r>
  <r>
    <x v="579"/>
    <n v="-10.039999999999999"/>
    <x v="1176"/>
    <n v="15665.62"/>
    <s v="Complete Access"/>
    <x v="285"/>
    <x v="5"/>
    <x v="8"/>
    <d v="1900-01-08T00:00:00"/>
    <n v="6"/>
    <x v="0"/>
    <x v="2"/>
  </r>
  <r>
    <x v="579"/>
    <n v="-16.18"/>
    <x v="1178"/>
    <n v="15649.44"/>
    <s v="Complete Access"/>
    <x v="333"/>
    <x v="1"/>
    <x v="5"/>
    <d v="1900-01-08T00:00:00"/>
    <n v="6"/>
    <x v="0"/>
    <x v="2"/>
  </r>
  <r>
    <x v="580"/>
    <n v="700"/>
    <x v="1179"/>
    <n v="15675.66"/>
    <s v="Complete Access"/>
    <x v="288"/>
    <x v="6"/>
    <x v="64"/>
    <d v="1900-01-07T00:00:00"/>
    <n v="6"/>
    <x v="0"/>
    <x v="2"/>
  </r>
  <r>
    <x v="580"/>
    <n v="-43.35"/>
    <x v="1180"/>
    <n v="14975.66"/>
    <s v="Complete Access"/>
    <x v="1"/>
    <x v="1"/>
    <x v="1"/>
    <d v="1900-01-07T00:00:00"/>
    <n v="6"/>
    <x v="0"/>
    <x v="2"/>
  </r>
  <r>
    <x v="581"/>
    <n v="-25.3"/>
    <x v="1181"/>
    <n v="15043.05"/>
    <s v="Complete Access"/>
    <x v="8"/>
    <x v="1"/>
    <x v="5"/>
    <d v="1900-01-06T00:00:00"/>
    <n v="6"/>
    <x v="0"/>
    <x v="2"/>
  </r>
  <r>
    <x v="581"/>
    <n v="-10.99"/>
    <x v="1182"/>
    <n v="15068.35"/>
    <s v="Complete Access"/>
    <x v="177"/>
    <x v="1"/>
    <x v="1"/>
    <d v="1900-01-06T00:00:00"/>
    <n v="6"/>
    <x v="0"/>
    <x v="2"/>
  </r>
  <r>
    <x v="581"/>
    <n v="-42.6"/>
    <x v="1183"/>
    <n v="15079.34"/>
    <s v="Complete Access"/>
    <x v="177"/>
    <x v="1"/>
    <x v="1"/>
    <d v="1900-01-06T00:00:00"/>
    <n v="6"/>
    <x v="0"/>
    <x v="2"/>
  </r>
  <r>
    <x v="581"/>
    <n v="-24.04"/>
    <x v="436"/>
    <n v="15019.01"/>
    <s v="Complete Access"/>
    <x v="186"/>
    <x v="1"/>
    <x v="5"/>
    <d v="1900-01-06T00:00:00"/>
    <n v="6"/>
    <x v="0"/>
    <x v="2"/>
  </r>
  <r>
    <x v="582"/>
    <n v="-12.94"/>
    <x v="966"/>
    <n v="15121.94"/>
    <s v="Complete Access"/>
    <x v="215"/>
    <x v="1"/>
    <x v="1"/>
    <d v="1900-01-05T00:00:00"/>
    <n v="6"/>
    <x v="0"/>
    <x v="2"/>
  </r>
  <r>
    <x v="582"/>
    <n v="-337.12"/>
    <x v="1184"/>
    <n v="15134.88"/>
    <s v="Complete Access"/>
    <x v="0"/>
    <x v="0"/>
    <x v="0"/>
    <d v="1900-01-05T00:00:00"/>
    <n v="6"/>
    <x v="0"/>
    <x v="2"/>
  </r>
  <r>
    <x v="583"/>
    <n v="-9.65"/>
    <x v="1185"/>
    <n v="15486"/>
    <s v="Complete Access"/>
    <x v="285"/>
    <x v="5"/>
    <x v="8"/>
    <d v="1900-01-03T00:00:00"/>
    <n v="5"/>
    <x v="0"/>
    <x v="2"/>
  </r>
  <r>
    <x v="583"/>
    <n v="-14"/>
    <x v="1157"/>
    <n v="15472"/>
    <s v="Complete Access"/>
    <x v="0"/>
    <x v="0"/>
    <x v="0"/>
    <d v="1900-01-03T00:00:00"/>
    <n v="5"/>
    <x v="0"/>
    <x v="2"/>
  </r>
  <r>
    <x v="584"/>
    <n v="-9.65"/>
    <x v="1186"/>
    <n v="15918.82"/>
    <s v="Complete Access"/>
    <x v="285"/>
    <x v="5"/>
    <x v="8"/>
    <d v="1900-01-02T00:00:00"/>
    <n v="5"/>
    <x v="0"/>
    <x v="2"/>
  </r>
  <r>
    <x v="584"/>
    <n v="-18.7"/>
    <x v="1187"/>
    <n v="15890"/>
    <s v="Complete Access"/>
    <x v="329"/>
    <x v="4"/>
    <x v="7"/>
    <d v="1900-01-02T00:00:00"/>
    <n v="5"/>
    <x v="0"/>
    <x v="2"/>
  </r>
  <r>
    <x v="584"/>
    <n v="-315"/>
    <x v="1188"/>
    <n v="15575"/>
    <s v="Complete Access"/>
    <x v="247"/>
    <x v="9"/>
    <x v="57"/>
    <d v="1900-01-02T00:00:00"/>
    <n v="5"/>
    <x v="0"/>
    <x v="2"/>
  </r>
  <r>
    <x v="584"/>
    <n v="-10.119999999999999"/>
    <x v="1189"/>
    <n v="15908.7"/>
    <s v="Complete Access"/>
    <x v="358"/>
    <x v="1"/>
    <x v="5"/>
    <d v="1900-01-02T00:00:00"/>
    <n v="5"/>
    <x v="0"/>
    <x v="2"/>
  </r>
  <r>
    <x v="584"/>
    <n v="-80"/>
    <x v="1190"/>
    <n v="15495"/>
    <s v="Complete Access"/>
    <x v="359"/>
    <x v="11"/>
    <x v="16"/>
    <d v="1900-01-02T00:00:00"/>
    <n v="5"/>
    <x v="0"/>
    <x v="2"/>
  </r>
  <r>
    <x v="584"/>
    <n v="-39.1"/>
    <x v="969"/>
    <n v="15455.9"/>
    <s v="Complete Access"/>
    <x v="177"/>
    <x v="1"/>
    <x v="1"/>
    <d v="1900-01-02T00:00:00"/>
    <n v="5"/>
    <x v="0"/>
    <x v="2"/>
  </r>
  <r>
    <x v="584"/>
    <n v="39.75"/>
    <x v="1191"/>
    <n v="15495.65"/>
    <s v="Complete Access"/>
    <x v="26"/>
    <x v="11"/>
    <x v="18"/>
    <d v="1900-01-02T00:00:00"/>
    <n v="5"/>
    <x v="0"/>
    <x v="2"/>
  </r>
  <r>
    <x v="585"/>
    <n v="-500"/>
    <x v="656"/>
    <n v="15967.97"/>
    <s v="Complete Access"/>
    <x v="13"/>
    <x v="0"/>
    <x v="0"/>
    <d v="1900-01-01T00:00:00"/>
    <n v="5"/>
    <x v="0"/>
    <x v="2"/>
  </r>
  <r>
    <x v="585"/>
    <n v="2410.4299999999998"/>
    <x v="1192"/>
    <n v="16467.97"/>
    <s v="Complete Access"/>
    <x v="14"/>
    <x v="6"/>
    <x v="9"/>
    <d v="1900-01-01T00:00:00"/>
    <n v="5"/>
    <x v="0"/>
    <x v="2"/>
  </r>
  <r>
    <x v="585"/>
    <n v="-39.5"/>
    <x v="1193"/>
    <n v="15928.47"/>
    <s v="Complete Access"/>
    <x v="360"/>
    <x v="7"/>
    <x v="53"/>
    <d v="1900-01-01T00:00:00"/>
    <n v="5"/>
    <x v="0"/>
    <x v="2"/>
  </r>
  <r>
    <x v="586"/>
    <n v="-9.65"/>
    <x v="1194"/>
    <n v="14258.96"/>
    <s v="Complete Access"/>
    <x v="285"/>
    <x v="5"/>
    <x v="8"/>
    <d v="1899-12-31T00:00:00"/>
    <n v="5"/>
    <x v="0"/>
    <x v="2"/>
  </r>
  <r>
    <x v="586"/>
    <n v="-14.72"/>
    <x v="1195"/>
    <n v="14244.24"/>
    <s v="Complete Access"/>
    <x v="16"/>
    <x v="1"/>
    <x v="5"/>
    <d v="1899-12-31T00:00:00"/>
    <n v="5"/>
    <x v="0"/>
    <x v="2"/>
  </r>
  <r>
    <x v="586"/>
    <n v="-186.7"/>
    <x v="1196"/>
    <n v="14057.54"/>
    <s v="Complete Access"/>
    <x v="76"/>
    <x v="2"/>
    <x v="2"/>
    <d v="1899-12-31T00:00:00"/>
    <n v="5"/>
    <x v="0"/>
    <x v="2"/>
  </r>
  <r>
    <x v="586"/>
    <n v="3.59"/>
    <x v="609"/>
    <n v="2644.44"/>
    <s v="Netbank Saver"/>
    <x v="240"/>
    <x v="0"/>
    <x v="55"/>
    <d v="1899-12-31T00:00:00"/>
    <n v="5"/>
    <x v="0"/>
    <x v="2"/>
  </r>
  <r>
    <x v="587"/>
    <n v="-79.989999999999995"/>
    <x v="1197"/>
    <n v="14268.61"/>
    <s v="Complete Access"/>
    <x v="8"/>
    <x v="1"/>
    <x v="5"/>
    <d v="1900-01-30T00:00:00"/>
    <n v="5"/>
    <x v="1"/>
    <x v="2"/>
  </r>
  <r>
    <x v="587"/>
    <n v="-12.7"/>
    <x v="1198"/>
    <n v="14348.6"/>
    <s v="Complete Access"/>
    <x v="177"/>
    <x v="1"/>
    <x v="1"/>
    <d v="1900-01-30T00:00:00"/>
    <n v="5"/>
    <x v="1"/>
    <x v="2"/>
  </r>
  <r>
    <x v="587"/>
    <n v="-19.760000000000002"/>
    <x v="1199"/>
    <n v="14361.3"/>
    <s v="Complete Access"/>
    <x v="1"/>
    <x v="1"/>
    <x v="1"/>
    <d v="1900-01-30T00:00:00"/>
    <n v="5"/>
    <x v="1"/>
    <x v="2"/>
  </r>
  <r>
    <x v="588"/>
    <n v="-19.09"/>
    <x v="966"/>
    <n v="14381.06"/>
    <s v="Complete Access"/>
    <x v="215"/>
    <x v="1"/>
    <x v="1"/>
    <d v="1900-01-29T00:00:00"/>
    <n v="5"/>
    <x v="1"/>
    <x v="2"/>
  </r>
  <r>
    <x v="589"/>
    <n v="-16.649999999999999"/>
    <x v="1130"/>
    <n v="14400.15"/>
    <s v="Complete Access"/>
    <x v="351"/>
    <x v="1"/>
    <x v="5"/>
    <d v="1900-01-28T00:00:00"/>
    <n v="5"/>
    <x v="1"/>
    <x v="2"/>
  </r>
  <r>
    <x v="589"/>
    <n v="22"/>
    <x v="1200"/>
    <n v="14416.8"/>
    <s v="Complete Access"/>
    <x v="36"/>
    <x v="0"/>
    <x v="0"/>
    <d v="1900-01-28T00:00:00"/>
    <n v="5"/>
    <x v="1"/>
    <x v="2"/>
  </r>
  <r>
    <x v="589"/>
    <n v="30"/>
    <x v="1201"/>
    <n v="14394.8"/>
    <s v="Complete Access"/>
    <x v="36"/>
    <x v="0"/>
    <x v="0"/>
    <d v="1900-01-28T00:00:00"/>
    <n v="5"/>
    <x v="1"/>
    <x v="2"/>
  </r>
  <r>
    <x v="590"/>
    <n v="-53.99"/>
    <x v="1202"/>
    <n v="14390.78"/>
    <s v="Complete Access"/>
    <x v="8"/>
    <x v="1"/>
    <x v="5"/>
    <d v="1900-01-27T00:00:00"/>
    <n v="4"/>
    <x v="1"/>
    <x v="2"/>
  </r>
  <r>
    <x v="590"/>
    <n v="-9.65"/>
    <x v="1203"/>
    <n v="14474.18"/>
    <s v="Complete Access"/>
    <x v="285"/>
    <x v="5"/>
    <x v="8"/>
    <d v="1900-01-27T00:00:00"/>
    <n v="4"/>
    <x v="1"/>
    <x v="2"/>
  </r>
  <r>
    <x v="590"/>
    <n v="-9.65"/>
    <x v="1204"/>
    <n v="14464.53"/>
    <s v="Complete Access"/>
    <x v="285"/>
    <x v="5"/>
    <x v="8"/>
    <d v="1900-01-27T00:00:00"/>
    <n v="4"/>
    <x v="1"/>
    <x v="2"/>
  </r>
  <r>
    <x v="590"/>
    <n v="-19.760000000000002"/>
    <x v="1205"/>
    <n v="14444.77"/>
    <s v="Complete Access"/>
    <x v="177"/>
    <x v="1"/>
    <x v="1"/>
    <d v="1900-01-27T00:00:00"/>
    <n v="4"/>
    <x v="1"/>
    <x v="2"/>
  </r>
  <r>
    <x v="590"/>
    <n v="-16.98"/>
    <x v="1206"/>
    <n v="14373.8"/>
    <s v="Complete Access"/>
    <x v="196"/>
    <x v="11"/>
    <x v="14"/>
    <d v="1900-01-27T00:00:00"/>
    <n v="4"/>
    <x v="1"/>
    <x v="2"/>
  </r>
  <r>
    <x v="590"/>
    <n v="-9"/>
    <x v="1207"/>
    <n v="14364.8"/>
    <s v="Complete Access"/>
    <x v="277"/>
    <x v="8"/>
    <x v="29"/>
    <d v="1900-01-27T00:00:00"/>
    <n v="4"/>
    <x v="1"/>
    <x v="2"/>
  </r>
  <r>
    <x v="591"/>
    <n v="-2.0499999999999998"/>
    <x v="1208"/>
    <n v="14486.02"/>
    <s v="Complete Access"/>
    <x v="188"/>
    <x v="1"/>
    <x v="1"/>
    <d v="1900-01-25T00:00:00"/>
    <n v="4"/>
    <x v="1"/>
    <x v="2"/>
  </r>
  <r>
    <x v="591"/>
    <n v="-2.19"/>
    <x v="1209"/>
    <n v="14483.83"/>
    <s v="Complete Access"/>
    <x v="77"/>
    <x v="4"/>
    <x v="27"/>
    <d v="1900-01-25T00:00:00"/>
    <n v="4"/>
    <x v="1"/>
    <x v="2"/>
  </r>
  <r>
    <x v="592"/>
    <n v="-10"/>
    <x v="1210"/>
    <n v="14534.37"/>
    <s v="Complete Access"/>
    <x v="361"/>
    <x v="8"/>
    <x v="22"/>
    <d v="1900-01-24T00:00:00"/>
    <n v="4"/>
    <x v="1"/>
    <x v="2"/>
  </r>
  <r>
    <x v="592"/>
    <n v="-20"/>
    <x v="681"/>
    <n v="14464.07"/>
    <s v="Complete Access"/>
    <x v="254"/>
    <x v="16"/>
    <x v="35"/>
    <d v="1900-01-24T00:00:00"/>
    <n v="4"/>
    <x v="1"/>
    <x v="2"/>
  </r>
  <r>
    <x v="592"/>
    <n v="-27.48"/>
    <x v="1211"/>
    <n v="14544.37"/>
    <s v="Complete Access"/>
    <x v="177"/>
    <x v="1"/>
    <x v="1"/>
    <d v="1900-01-24T00:00:00"/>
    <n v="4"/>
    <x v="1"/>
    <x v="2"/>
  </r>
  <r>
    <x v="592"/>
    <n v="24"/>
    <x v="1201"/>
    <n v="14488.07"/>
    <s v="Complete Access"/>
    <x v="36"/>
    <x v="0"/>
    <x v="0"/>
    <d v="1900-01-24T00:00:00"/>
    <n v="4"/>
    <x v="1"/>
    <x v="2"/>
  </r>
  <r>
    <x v="592"/>
    <n v="-50.3"/>
    <x v="1212"/>
    <n v="14484.07"/>
    <s v="Complete Access"/>
    <x v="1"/>
    <x v="1"/>
    <x v="1"/>
    <d v="1900-01-24T00:00:00"/>
    <n v="4"/>
    <x v="1"/>
    <x v="2"/>
  </r>
  <r>
    <x v="593"/>
    <n v="-9.65"/>
    <x v="1213"/>
    <n v="14730.25"/>
    <s v="Complete Access"/>
    <x v="285"/>
    <x v="5"/>
    <x v="8"/>
    <d v="1900-01-23T00:00:00"/>
    <n v="4"/>
    <x v="1"/>
    <x v="2"/>
  </r>
  <r>
    <x v="593"/>
    <n v="-19.82"/>
    <x v="1214"/>
    <n v="14754.31"/>
    <s v="Complete Access"/>
    <x v="362"/>
    <x v="1"/>
    <x v="5"/>
    <d v="1900-01-23T00:00:00"/>
    <n v="4"/>
    <x v="1"/>
    <x v="2"/>
  </r>
  <r>
    <x v="593"/>
    <n v="52.38"/>
    <x v="1215"/>
    <n v="14782.63"/>
    <s v="Complete Access"/>
    <x v="363"/>
    <x v="4"/>
    <x v="25"/>
    <d v="1900-01-23T00:00:00"/>
    <n v="4"/>
    <x v="1"/>
    <x v="2"/>
  </r>
  <r>
    <x v="593"/>
    <n v="-130.5"/>
    <x v="1216"/>
    <n v="14623.81"/>
    <s v="Complete Access"/>
    <x v="232"/>
    <x v="3"/>
    <x v="15"/>
    <d v="1900-01-23T00:00:00"/>
    <n v="4"/>
    <x v="1"/>
    <x v="2"/>
  </r>
  <r>
    <x v="593"/>
    <n v="-11"/>
    <x v="1217"/>
    <n v="14571.85"/>
    <s v="Complete Access"/>
    <x v="364"/>
    <x v="8"/>
    <x v="22"/>
    <d v="1900-01-23T00:00:00"/>
    <n v="4"/>
    <x v="1"/>
    <x v="2"/>
  </r>
  <r>
    <x v="593"/>
    <n v="-8.5"/>
    <x v="1218"/>
    <n v="14774.13"/>
    <s v="Complete Access"/>
    <x v="365"/>
    <x v="1"/>
    <x v="5"/>
    <d v="1900-01-23T00:00:00"/>
    <n v="4"/>
    <x v="1"/>
    <x v="2"/>
  </r>
  <r>
    <x v="593"/>
    <n v="-28.26"/>
    <x v="1219"/>
    <n v="14595.55"/>
    <s v="Complete Access"/>
    <x v="177"/>
    <x v="1"/>
    <x v="1"/>
    <d v="1900-01-23T00:00:00"/>
    <n v="4"/>
    <x v="1"/>
    <x v="2"/>
  </r>
  <r>
    <x v="593"/>
    <n v="-6.5"/>
    <x v="1220"/>
    <n v="14582.85"/>
    <s v="Complete Access"/>
    <x v="1"/>
    <x v="1"/>
    <x v="1"/>
    <d v="1900-01-23T00:00:00"/>
    <n v="4"/>
    <x v="1"/>
    <x v="2"/>
  </r>
  <r>
    <x v="593"/>
    <n v="-6.2"/>
    <x v="1221"/>
    <n v="14589.35"/>
    <s v="Complete Access"/>
    <x v="34"/>
    <x v="9"/>
    <x v="12"/>
    <d v="1900-01-23T00:00:00"/>
    <n v="4"/>
    <x v="1"/>
    <x v="2"/>
  </r>
  <r>
    <x v="594"/>
    <n v="-9"/>
    <x v="1222"/>
    <n v="14889.9"/>
    <s v="Complete Access"/>
    <x v="365"/>
    <x v="1"/>
    <x v="5"/>
    <d v="1900-01-20T00:00:00"/>
    <n v="3"/>
    <x v="1"/>
    <x v="2"/>
  </r>
  <r>
    <x v="594"/>
    <n v="-43.49"/>
    <x v="1223"/>
    <n v="14908.1"/>
    <s v="Complete Access"/>
    <x v="177"/>
    <x v="1"/>
    <x v="1"/>
    <d v="1900-01-20T00:00:00"/>
    <n v="3"/>
    <x v="1"/>
    <x v="2"/>
  </r>
  <r>
    <x v="594"/>
    <n v="-9.1999999999999993"/>
    <x v="1224"/>
    <n v="14898.9"/>
    <s v="Complete Access"/>
    <x v="277"/>
    <x v="8"/>
    <x v="29"/>
    <d v="1900-01-20T00:00:00"/>
    <n v="3"/>
    <x v="1"/>
    <x v="2"/>
  </r>
  <r>
    <x v="594"/>
    <n v="-150"/>
    <x v="1225"/>
    <n v="14739.9"/>
    <s v="Complete Access"/>
    <x v="0"/>
    <x v="0"/>
    <x v="0"/>
    <d v="1900-01-20T00:00:00"/>
    <n v="3"/>
    <x v="1"/>
    <x v="2"/>
  </r>
  <r>
    <x v="595"/>
    <n v="-9.65"/>
    <x v="1226"/>
    <n v="14971.59"/>
    <s v="Complete Access"/>
    <x v="285"/>
    <x v="5"/>
    <x v="8"/>
    <d v="1900-01-19T00:00:00"/>
    <n v="3"/>
    <x v="1"/>
    <x v="2"/>
  </r>
  <r>
    <x v="595"/>
    <n v="-20"/>
    <x v="1227"/>
    <n v="14951.59"/>
    <s v="Complete Access"/>
    <x v="366"/>
    <x v="8"/>
    <x v="29"/>
    <d v="1900-01-19T00:00:00"/>
    <n v="3"/>
    <x v="1"/>
    <x v="2"/>
  </r>
  <r>
    <x v="596"/>
    <n v="-500"/>
    <x v="656"/>
    <n v="14981.24"/>
    <s v="Complete Access"/>
    <x v="13"/>
    <x v="0"/>
    <x v="0"/>
    <d v="1900-01-18T00:00:00"/>
    <n v="3"/>
    <x v="1"/>
    <x v="2"/>
  </r>
  <r>
    <x v="596"/>
    <n v="-69"/>
    <x v="1228"/>
    <n v="15534.67"/>
    <s v="Complete Access"/>
    <x v="207"/>
    <x v="7"/>
    <x v="11"/>
    <d v="1900-01-18T00:00:00"/>
    <n v="3"/>
    <x v="1"/>
    <x v="2"/>
  </r>
  <r>
    <x v="596"/>
    <n v="2422.16"/>
    <x v="1229"/>
    <n v="15603.67"/>
    <s v="Complete Access"/>
    <x v="14"/>
    <x v="6"/>
    <x v="9"/>
    <d v="1900-01-18T00:00:00"/>
    <n v="3"/>
    <x v="1"/>
    <x v="2"/>
  </r>
  <r>
    <x v="596"/>
    <n v="-1.56"/>
    <x v="1230"/>
    <n v="15481.24"/>
    <s v="Complete Access"/>
    <x v="10"/>
    <x v="0"/>
    <x v="0"/>
    <d v="1900-01-18T00:00:00"/>
    <n v="3"/>
    <x v="1"/>
    <x v="2"/>
  </r>
  <r>
    <x v="596"/>
    <n v="-51.87"/>
    <x v="1231"/>
    <n v="15482.8"/>
    <s v="Complete Access"/>
    <x v="363"/>
    <x v="4"/>
    <x v="25"/>
    <d v="1900-01-18T00:00:00"/>
    <n v="3"/>
    <x v="1"/>
    <x v="2"/>
  </r>
  <r>
    <x v="597"/>
    <n v="-179.34"/>
    <x v="1232"/>
    <n v="13186.89"/>
    <s v="Complete Access"/>
    <x v="256"/>
    <x v="4"/>
    <x v="47"/>
    <d v="1900-01-17T00:00:00"/>
    <n v="3"/>
    <x v="1"/>
    <x v="2"/>
  </r>
  <r>
    <x v="597"/>
    <n v="-9.65"/>
    <x v="1233"/>
    <n v="13439.88"/>
    <s v="Complete Access"/>
    <x v="285"/>
    <x v="5"/>
    <x v="8"/>
    <d v="1900-01-17T00:00:00"/>
    <n v="3"/>
    <x v="1"/>
    <x v="2"/>
  </r>
  <r>
    <x v="597"/>
    <n v="16.45"/>
    <x v="1234"/>
    <n v="13456.33"/>
    <s v="Complete Access"/>
    <x v="367"/>
    <x v="4"/>
    <x v="7"/>
    <d v="1900-01-17T00:00:00"/>
    <n v="3"/>
    <x v="1"/>
    <x v="2"/>
  </r>
  <r>
    <x v="597"/>
    <n v="-8.1"/>
    <x v="1235"/>
    <n v="13448.23"/>
    <s v="Complete Access"/>
    <x v="358"/>
    <x v="1"/>
    <x v="5"/>
    <d v="1900-01-17T00:00:00"/>
    <n v="3"/>
    <x v="1"/>
    <x v="2"/>
  </r>
  <r>
    <x v="597"/>
    <n v="-5.38"/>
    <x v="1236"/>
    <n v="13181.51"/>
    <s v="Complete Access"/>
    <x v="10"/>
    <x v="0"/>
    <x v="0"/>
    <d v="1900-01-17T00:00:00"/>
    <n v="3"/>
    <x v="1"/>
    <x v="2"/>
  </r>
  <r>
    <x v="597"/>
    <n v="-82"/>
    <x v="1237"/>
    <n v="13366.23"/>
    <s v="Complete Access"/>
    <x v="368"/>
    <x v="8"/>
    <x v="22"/>
    <d v="1900-01-17T00:00:00"/>
    <n v="3"/>
    <x v="1"/>
    <x v="2"/>
  </r>
  <r>
    <x v="598"/>
    <n v="-24.97"/>
    <x v="1238"/>
    <n v="12759.44"/>
    <s v="Complete Access"/>
    <x v="8"/>
    <x v="1"/>
    <x v="5"/>
    <d v="1900-01-16T00:00:00"/>
    <n v="3"/>
    <x v="1"/>
    <x v="2"/>
  </r>
  <r>
    <x v="598"/>
    <n v="-13"/>
    <x v="18"/>
    <n v="13449.53"/>
    <s v="Complete Access"/>
    <x v="16"/>
    <x v="1"/>
    <x v="5"/>
    <d v="1900-01-16T00:00:00"/>
    <n v="3"/>
    <x v="1"/>
    <x v="2"/>
  </r>
  <r>
    <x v="598"/>
    <n v="-16"/>
    <x v="1239"/>
    <n v="12707.01"/>
    <s v="Complete Access"/>
    <x v="74"/>
    <x v="4"/>
    <x v="10"/>
    <d v="1900-01-16T00:00:00"/>
    <n v="3"/>
    <x v="1"/>
    <x v="2"/>
  </r>
  <r>
    <x v="598"/>
    <n v="-0.48"/>
    <x v="1240"/>
    <n v="12706.53"/>
    <s v="Complete Access"/>
    <x v="10"/>
    <x v="0"/>
    <x v="0"/>
    <d v="1900-01-16T00:00:00"/>
    <n v="3"/>
    <x v="1"/>
    <x v="2"/>
  </r>
  <r>
    <x v="598"/>
    <n v="-17"/>
    <x v="1241"/>
    <n v="12844.28"/>
    <s v="Complete Access"/>
    <x v="177"/>
    <x v="1"/>
    <x v="1"/>
    <d v="1900-01-16T00:00:00"/>
    <n v="3"/>
    <x v="1"/>
    <x v="2"/>
  </r>
  <r>
    <x v="598"/>
    <n v="655"/>
    <x v="1242"/>
    <n v="13361.53"/>
    <s v="Complete Access"/>
    <x v="257"/>
    <x v="0"/>
    <x v="0"/>
    <d v="1900-01-16T00:00:00"/>
    <n v="3"/>
    <x v="1"/>
    <x v="2"/>
  </r>
  <r>
    <x v="598"/>
    <n v="101"/>
    <x v="1243"/>
    <n v="13462.53"/>
    <s v="Complete Access"/>
    <x v="257"/>
    <x v="0"/>
    <x v="0"/>
    <d v="1900-01-16T00:00:00"/>
    <n v="3"/>
    <x v="1"/>
    <x v="2"/>
  </r>
  <r>
    <x v="598"/>
    <n v="-59.87"/>
    <x v="1244"/>
    <n v="12784.41"/>
    <s v="Complete Access"/>
    <x v="1"/>
    <x v="1"/>
    <x v="1"/>
    <d v="1900-01-16T00:00:00"/>
    <n v="3"/>
    <x v="1"/>
    <x v="2"/>
  </r>
  <r>
    <x v="598"/>
    <n v="-36.43"/>
    <x v="1245"/>
    <n v="12723.01"/>
    <s v="Complete Access"/>
    <x v="34"/>
    <x v="9"/>
    <x v="12"/>
    <d v="1900-01-16T00:00:00"/>
    <n v="3"/>
    <x v="1"/>
    <x v="2"/>
  </r>
  <r>
    <x v="599"/>
    <n v="-60"/>
    <x v="1246"/>
    <n v="12861.28"/>
    <s v="Complete Access"/>
    <x v="369"/>
    <x v="20"/>
    <x v="63"/>
    <d v="1900-01-15T00:00:00"/>
    <n v="3"/>
    <x v="1"/>
    <x v="2"/>
  </r>
  <r>
    <x v="600"/>
    <n v="-12"/>
    <x v="1247"/>
    <n v="12921.28"/>
    <s v="Complete Access"/>
    <x v="370"/>
    <x v="20"/>
    <x v="63"/>
    <d v="1900-01-13T00:00:00"/>
    <n v="2"/>
    <x v="1"/>
    <x v="2"/>
  </r>
  <r>
    <x v="601"/>
    <n v="-29.16"/>
    <x v="1248"/>
    <n v="12934.15"/>
    <s v="Complete Access"/>
    <x v="74"/>
    <x v="4"/>
    <x v="10"/>
    <d v="1900-01-12T00:00:00"/>
    <n v="2"/>
    <x v="1"/>
    <x v="2"/>
  </r>
  <r>
    <x v="601"/>
    <n v="-0.87"/>
    <x v="1249"/>
    <n v="12933.28"/>
    <s v="Complete Access"/>
    <x v="10"/>
    <x v="0"/>
    <x v="0"/>
    <d v="1900-01-12T00:00:00"/>
    <n v="2"/>
    <x v="1"/>
    <x v="2"/>
  </r>
  <r>
    <x v="601"/>
    <n v="-12.14"/>
    <x v="1250"/>
    <n v="12963.31"/>
    <s v="Complete Access"/>
    <x v="215"/>
    <x v="1"/>
    <x v="1"/>
    <d v="1900-01-12T00:00:00"/>
    <n v="2"/>
    <x v="1"/>
    <x v="2"/>
  </r>
  <r>
    <x v="601"/>
    <n v="-16.78"/>
    <x v="1251"/>
    <n v="12975.45"/>
    <s v="Complete Access"/>
    <x v="177"/>
    <x v="1"/>
    <x v="1"/>
    <d v="1900-01-12T00:00:00"/>
    <n v="2"/>
    <x v="1"/>
    <x v="2"/>
  </r>
  <r>
    <x v="602"/>
    <n v="-16.45"/>
    <x v="1252"/>
    <n v="12992.23"/>
    <s v="Complete Access"/>
    <x v="367"/>
    <x v="4"/>
    <x v="7"/>
    <d v="1900-01-11T00:00:00"/>
    <n v="2"/>
    <x v="1"/>
    <x v="2"/>
  </r>
  <r>
    <x v="603"/>
    <n v="-20.86"/>
    <x v="1253"/>
    <n v="13097.05"/>
    <s v="Complete Access"/>
    <x v="8"/>
    <x v="1"/>
    <x v="5"/>
    <d v="1900-01-09T00:00:00"/>
    <n v="2"/>
    <x v="1"/>
    <x v="2"/>
  </r>
  <r>
    <x v="603"/>
    <n v="-5.94"/>
    <x v="1254"/>
    <n v="13008.86"/>
    <s v="Complete Access"/>
    <x v="74"/>
    <x v="4"/>
    <x v="10"/>
    <d v="1900-01-09T00:00:00"/>
    <n v="2"/>
    <x v="1"/>
    <x v="2"/>
  </r>
  <r>
    <x v="603"/>
    <n v="-5.94"/>
    <x v="1254"/>
    <n v="13014.98"/>
    <s v="Complete Access"/>
    <x v="74"/>
    <x v="4"/>
    <x v="10"/>
    <d v="1900-01-09T00:00:00"/>
    <n v="2"/>
    <x v="1"/>
    <x v="2"/>
  </r>
  <r>
    <x v="603"/>
    <n v="-0.18"/>
    <x v="1255"/>
    <n v="13008.68"/>
    <s v="Complete Access"/>
    <x v="10"/>
    <x v="0"/>
    <x v="0"/>
    <d v="1900-01-09T00:00:00"/>
    <n v="2"/>
    <x v="1"/>
    <x v="2"/>
  </r>
  <r>
    <x v="603"/>
    <n v="-0.18"/>
    <x v="1256"/>
    <n v="13014.8"/>
    <s v="Complete Access"/>
    <x v="10"/>
    <x v="0"/>
    <x v="0"/>
    <d v="1900-01-09T00:00:00"/>
    <n v="2"/>
    <x v="1"/>
    <x v="2"/>
  </r>
  <r>
    <x v="603"/>
    <n v="-76.13"/>
    <x v="1257"/>
    <n v="13020.92"/>
    <s v="Complete Access"/>
    <x v="371"/>
    <x v="1"/>
    <x v="5"/>
    <d v="1900-01-09T00:00:00"/>
    <n v="2"/>
    <x v="1"/>
    <x v="2"/>
  </r>
  <r>
    <x v="604"/>
    <n v="-22.42"/>
    <x v="1258"/>
    <n v="13149.91"/>
    <s v="Complete Access"/>
    <x v="8"/>
    <x v="1"/>
    <x v="5"/>
    <d v="1900-01-06T00:00:00"/>
    <n v="1"/>
    <x v="1"/>
    <x v="2"/>
  </r>
  <r>
    <x v="604"/>
    <n v="-32"/>
    <x v="1259"/>
    <n v="13117.91"/>
    <s v="Complete Access"/>
    <x v="372"/>
    <x v="20"/>
    <x v="63"/>
    <d v="1900-01-06T00:00:00"/>
    <n v="1"/>
    <x v="1"/>
    <x v="2"/>
  </r>
  <r>
    <x v="604"/>
    <n v="22.99"/>
    <x v="1260"/>
    <n v="13172.33"/>
    <s v="Complete Access"/>
    <x v="373"/>
    <x v="8"/>
    <x v="7"/>
    <d v="1900-01-06T00:00:00"/>
    <n v="1"/>
    <x v="1"/>
    <x v="2"/>
  </r>
  <r>
    <x v="604"/>
    <n v="22.99"/>
    <x v="1261"/>
    <n v="13149.34"/>
    <s v="Complete Access"/>
    <x v="373"/>
    <x v="8"/>
    <x v="7"/>
    <d v="1900-01-06T00:00:00"/>
    <n v="1"/>
    <x v="1"/>
    <x v="2"/>
  </r>
  <r>
    <x v="605"/>
    <n v="-22.99"/>
    <x v="1262"/>
    <n v="13188.35"/>
    <s v="Complete Access"/>
    <x v="373"/>
    <x v="8"/>
    <x v="7"/>
    <d v="1900-01-05T00:00:00"/>
    <n v="1"/>
    <x v="1"/>
    <x v="2"/>
  </r>
  <r>
    <x v="605"/>
    <n v="-12"/>
    <x v="1263"/>
    <n v="13126.35"/>
    <s v="Complete Access"/>
    <x v="374"/>
    <x v="8"/>
    <x v="29"/>
    <d v="1900-01-05T00:00:00"/>
    <n v="1"/>
    <x v="1"/>
    <x v="2"/>
  </r>
  <r>
    <x v="605"/>
    <n v="-50"/>
    <x v="1264"/>
    <n v="13138.35"/>
    <s v="Complete Access"/>
    <x v="265"/>
    <x v="8"/>
    <x v="22"/>
    <d v="1900-01-05T00:00:00"/>
    <n v="1"/>
    <x v="1"/>
    <x v="2"/>
  </r>
  <r>
    <x v="606"/>
    <n v="-500"/>
    <x v="656"/>
    <n v="13261.21"/>
    <s v="Complete Access"/>
    <x v="13"/>
    <x v="0"/>
    <x v="0"/>
    <d v="1900-01-04T00:00:00"/>
    <n v="1"/>
    <x v="1"/>
    <x v="2"/>
  </r>
  <r>
    <x v="606"/>
    <n v="2422.16"/>
    <x v="1265"/>
    <n v="13761.21"/>
    <s v="Complete Access"/>
    <x v="14"/>
    <x v="6"/>
    <x v="9"/>
    <d v="1900-01-04T00:00:00"/>
    <n v="1"/>
    <x v="1"/>
    <x v="2"/>
  </r>
  <r>
    <x v="606"/>
    <n v="-49.87"/>
    <x v="1266"/>
    <n v="13211.34"/>
    <s v="Complete Access"/>
    <x v="1"/>
    <x v="1"/>
    <x v="1"/>
    <d v="1900-01-04T00:00:00"/>
    <n v="1"/>
    <x v="1"/>
    <x v="2"/>
  </r>
  <r>
    <x v="607"/>
    <n v="-35.74"/>
    <x v="1267"/>
    <n v="11810.63"/>
    <s v="Complete Access"/>
    <x v="8"/>
    <x v="1"/>
    <x v="5"/>
    <d v="1900-01-03T00:00:00"/>
    <n v="1"/>
    <x v="1"/>
    <x v="2"/>
  </r>
  <r>
    <x v="607"/>
    <n v="-26.3"/>
    <x v="1268"/>
    <n v="11784.33"/>
    <s v="Complete Access"/>
    <x v="8"/>
    <x v="1"/>
    <x v="5"/>
    <d v="1900-01-03T00:00:00"/>
    <n v="1"/>
    <x v="1"/>
    <x v="2"/>
  </r>
  <r>
    <x v="607"/>
    <n v="-23.19"/>
    <x v="1269"/>
    <n v="11339.05"/>
    <s v="Complete Access"/>
    <x v="8"/>
    <x v="1"/>
    <x v="5"/>
    <d v="1900-01-03T00:00:00"/>
    <n v="1"/>
    <x v="1"/>
    <x v="2"/>
  </r>
  <r>
    <x v="607"/>
    <n v="-89"/>
    <x v="1270"/>
    <n v="11693.14"/>
    <s v="Complete Access"/>
    <x v="289"/>
    <x v="3"/>
    <x v="15"/>
    <d v="1900-01-03T00:00:00"/>
    <n v="1"/>
    <x v="1"/>
    <x v="2"/>
  </r>
  <r>
    <x v="607"/>
    <n v="-18.7"/>
    <x v="1271"/>
    <n v="11873.18"/>
    <s v="Complete Access"/>
    <x v="329"/>
    <x v="4"/>
    <x v="7"/>
    <d v="1900-01-03T00:00:00"/>
    <n v="1"/>
    <x v="1"/>
    <x v="2"/>
  </r>
  <r>
    <x v="607"/>
    <n v="-12.17"/>
    <x v="1272"/>
    <n v="11362.24"/>
    <s v="Complete Access"/>
    <x v="215"/>
    <x v="1"/>
    <x v="1"/>
    <d v="1900-01-03T00:00:00"/>
    <n v="1"/>
    <x v="1"/>
    <x v="2"/>
  </r>
  <r>
    <x v="607"/>
    <n v="-237.6"/>
    <x v="1273"/>
    <n v="11455.54"/>
    <s v="Complete Access"/>
    <x v="375"/>
    <x v="3"/>
    <x v="15"/>
    <d v="1900-01-03T00:00:00"/>
    <n v="1"/>
    <x v="1"/>
    <x v="2"/>
  </r>
  <r>
    <x v="607"/>
    <n v="-46.16"/>
    <x v="1274"/>
    <n v="11374.41"/>
    <s v="Complete Access"/>
    <x v="177"/>
    <x v="1"/>
    <x v="1"/>
    <d v="1900-01-03T00:00:00"/>
    <n v="1"/>
    <x v="1"/>
    <x v="2"/>
  </r>
  <r>
    <x v="607"/>
    <n v="-26.81"/>
    <x v="1275"/>
    <n v="11846.37"/>
    <s v="Complete Access"/>
    <x v="1"/>
    <x v="1"/>
    <x v="1"/>
    <d v="1900-01-03T00:00:00"/>
    <n v="1"/>
    <x v="1"/>
    <x v="2"/>
  </r>
  <r>
    <x v="607"/>
    <n v="-2.19"/>
    <x v="1276"/>
    <n v="11782.14"/>
    <s v="Complete Access"/>
    <x v="77"/>
    <x v="4"/>
    <x v="27"/>
    <d v="1900-01-03T00:00:00"/>
    <n v="1"/>
    <x v="1"/>
    <x v="2"/>
  </r>
  <r>
    <x v="607"/>
    <n v="-34.97"/>
    <x v="1277"/>
    <n v="11420.57"/>
    <s v="Complete Access"/>
    <x v="376"/>
    <x v="3"/>
    <x v="15"/>
    <d v="1900-01-03T00:00:00"/>
    <n v="1"/>
    <x v="1"/>
    <x v="2"/>
  </r>
  <r>
    <x v="608"/>
    <n v="-18"/>
    <x v="1278"/>
    <n v="12078.58"/>
    <s v="Complete Access"/>
    <x v="377"/>
    <x v="8"/>
    <x v="29"/>
    <d v="1900-01-02T00:00:00"/>
    <n v="1"/>
    <x v="1"/>
    <x v="2"/>
  </r>
  <r>
    <x v="608"/>
    <n v="-22.8"/>
    <x v="1278"/>
    <n v="12096.58"/>
    <s v="Complete Access"/>
    <x v="377"/>
    <x v="8"/>
    <x v="29"/>
    <d v="1900-01-02T00:00:00"/>
    <n v="1"/>
    <x v="1"/>
    <x v="2"/>
  </r>
  <r>
    <x v="608"/>
    <n v="-186.7"/>
    <x v="1279"/>
    <n v="11891.88"/>
    <s v="Complete Access"/>
    <x v="76"/>
    <x v="2"/>
    <x v="2"/>
    <d v="1900-01-02T00:00:00"/>
    <n v="1"/>
    <x v="1"/>
    <x v="2"/>
  </r>
  <r>
    <x v="609"/>
    <n v="3.31"/>
    <x v="609"/>
    <n v="2640.85"/>
    <s v="Netbank Saver"/>
    <x v="240"/>
    <x v="0"/>
    <x v="55"/>
    <d v="1899-12-31T00:00:00"/>
    <n v="1"/>
    <x v="1"/>
    <x v="2"/>
  </r>
  <r>
    <x v="610"/>
    <n v="-26.3"/>
    <x v="1269"/>
    <n v="12205.98"/>
    <s v="Complete Access"/>
    <x v="8"/>
    <x v="1"/>
    <x v="5"/>
    <d v="1900-01-30T00:00:00"/>
    <n v="53"/>
    <x v="2"/>
    <x v="3"/>
  </r>
  <r>
    <x v="610"/>
    <n v="-38.619999999999997"/>
    <x v="1280"/>
    <n v="12167.36"/>
    <s v="Complete Access"/>
    <x v="8"/>
    <x v="1"/>
    <x v="5"/>
    <d v="1900-01-30T00:00:00"/>
    <n v="53"/>
    <x v="2"/>
    <x v="3"/>
  </r>
  <r>
    <x v="610"/>
    <n v="-22.99"/>
    <x v="1281"/>
    <n v="12144.37"/>
    <s v="Complete Access"/>
    <x v="373"/>
    <x v="8"/>
    <x v="7"/>
    <d v="1900-01-30T00:00:00"/>
    <n v="53"/>
    <x v="2"/>
    <x v="3"/>
  </r>
  <r>
    <x v="610"/>
    <n v="-24.99"/>
    <x v="969"/>
    <n v="12119.38"/>
    <s v="Complete Access"/>
    <x v="177"/>
    <x v="1"/>
    <x v="1"/>
    <d v="1900-01-30T00:00:00"/>
    <n v="53"/>
    <x v="2"/>
    <x v="3"/>
  </r>
  <r>
    <x v="611"/>
    <n v="22.99"/>
    <x v="1282"/>
    <n v="12232.28"/>
    <s v="Complete Access"/>
    <x v="373"/>
    <x v="8"/>
    <x v="7"/>
    <d v="1900-01-29T00:00:00"/>
    <n v="53"/>
    <x v="2"/>
    <x v="3"/>
  </r>
  <r>
    <x v="612"/>
    <n v="-22.44"/>
    <x v="1283"/>
    <n v="12707.71"/>
    <s v="Complete Access"/>
    <x v="378"/>
    <x v="4"/>
    <x v="25"/>
    <d v="1900-01-28T00:00:00"/>
    <n v="53"/>
    <x v="2"/>
    <x v="3"/>
  </r>
  <r>
    <x v="612"/>
    <n v="-73.7"/>
    <x v="1284"/>
    <n v="12305.02"/>
    <s v="Complete Access"/>
    <x v="256"/>
    <x v="4"/>
    <x v="47"/>
    <d v="1900-01-28T00:00:00"/>
    <n v="53"/>
    <x v="2"/>
    <x v="3"/>
  </r>
  <r>
    <x v="612"/>
    <n v="-28.19"/>
    <x v="1285"/>
    <n v="12384.71"/>
    <s v="Complete Access"/>
    <x v="8"/>
    <x v="1"/>
    <x v="5"/>
    <d v="1900-01-28T00:00:00"/>
    <n v="53"/>
    <x v="2"/>
    <x v="3"/>
  </r>
  <r>
    <x v="612"/>
    <n v="-23.19"/>
    <x v="1286"/>
    <n v="12226.47"/>
    <s v="Complete Access"/>
    <x v="8"/>
    <x v="1"/>
    <x v="5"/>
    <d v="1900-01-28T00:00:00"/>
    <n v="53"/>
    <x v="2"/>
    <x v="3"/>
  </r>
  <r>
    <x v="612"/>
    <n v="-6"/>
    <x v="1287"/>
    <n v="12220.47"/>
    <s v="Complete Access"/>
    <x v="74"/>
    <x v="4"/>
    <x v="10"/>
    <d v="1900-01-28T00:00:00"/>
    <n v="53"/>
    <x v="2"/>
    <x v="3"/>
  </r>
  <r>
    <x v="612"/>
    <n v="-43"/>
    <x v="1288"/>
    <n v="12249.66"/>
    <s v="Complete Access"/>
    <x v="35"/>
    <x v="1"/>
    <x v="23"/>
    <d v="1900-01-28T00:00:00"/>
    <n v="53"/>
    <x v="2"/>
    <x v="3"/>
  </r>
  <r>
    <x v="612"/>
    <n v="-0.67"/>
    <x v="1289"/>
    <n v="12707.04"/>
    <s v="Complete Access"/>
    <x v="10"/>
    <x v="0"/>
    <x v="0"/>
    <d v="1900-01-28T00:00:00"/>
    <n v="53"/>
    <x v="2"/>
    <x v="3"/>
  </r>
  <r>
    <x v="612"/>
    <n v="-2.21"/>
    <x v="1290"/>
    <n v="12302.81"/>
    <s v="Complete Access"/>
    <x v="10"/>
    <x v="0"/>
    <x v="0"/>
    <d v="1900-01-28T00:00:00"/>
    <n v="53"/>
    <x v="2"/>
    <x v="3"/>
  </r>
  <r>
    <x v="612"/>
    <n v="-0.18"/>
    <x v="1291"/>
    <n v="12220.29"/>
    <s v="Complete Access"/>
    <x v="10"/>
    <x v="0"/>
    <x v="0"/>
    <d v="1900-01-28T00:00:00"/>
    <n v="53"/>
    <x v="2"/>
    <x v="3"/>
  </r>
  <r>
    <x v="612"/>
    <n v="-294.14"/>
    <x v="1292"/>
    <n v="12412.9"/>
    <s v="Complete Access"/>
    <x v="379"/>
    <x v="4"/>
    <x v="47"/>
    <d v="1900-01-28T00:00:00"/>
    <n v="53"/>
    <x v="2"/>
    <x v="3"/>
  </r>
  <r>
    <x v="612"/>
    <n v="-5.99"/>
    <x v="1293"/>
    <n v="12378.72"/>
    <s v="Complete Access"/>
    <x v="222"/>
    <x v="11"/>
    <x v="14"/>
    <d v="1900-01-28T00:00:00"/>
    <n v="53"/>
    <x v="2"/>
    <x v="3"/>
  </r>
  <r>
    <x v="612"/>
    <n v="-10.15"/>
    <x v="1294"/>
    <n v="12292.66"/>
    <s v="Complete Access"/>
    <x v="1"/>
    <x v="1"/>
    <x v="1"/>
    <d v="1900-01-28T00:00:00"/>
    <n v="53"/>
    <x v="2"/>
    <x v="3"/>
  </r>
  <r>
    <x v="612"/>
    <n v="-11"/>
    <x v="1157"/>
    <n v="12209.29"/>
    <s v="Complete Access"/>
    <x v="0"/>
    <x v="0"/>
    <x v="0"/>
    <d v="1900-01-28T00:00:00"/>
    <n v="53"/>
    <x v="2"/>
    <x v="3"/>
  </r>
  <r>
    <x v="613"/>
    <n v="-14.3"/>
    <x v="1295"/>
    <n v="12730.15"/>
    <s v="Complete Access"/>
    <x v="0"/>
    <x v="0"/>
    <x v="0"/>
    <d v="1900-01-27T00:00:00"/>
    <n v="53"/>
    <x v="2"/>
    <x v="3"/>
  </r>
  <r>
    <x v="614"/>
    <n v="-34.630000000000003"/>
    <x v="1286"/>
    <n v="12751.45"/>
    <s v="Complete Access"/>
    <x v="8"/>
    <x v="1"/>
    <x v="5"/>
    <d v="1900-01-23T00:00:00"/>
    <n v="52"/>
    <x v="2"/>
    <x v="3"/>
  </r>
  <r>
    <x v="614"/>
    <n v="-7"/>
    <x v="1222"/>
    <n v="12744.45"/>
    <s v="Complete Access"/>
    <x v="365"/>
    <x v="1"/>
    <x v="5"/>
    <d v="1900-01-23T00:00:00"/>
    <n v="52"/>
    <x v="2"/>
    <x v="3"/>
  </r>
  <r>
    <x v="615"/>
    <n v="-150"/>
    <x v="782"/>
    <n v="12786.08"/>
    <s v="Complete Access"/>
    <x v="130"/>
    <x v="0"/>
    <x v="0"/>
    <d v="1900-01-22T00:00:00"/>
    <n v="52"/>
    <x v="2"/>
    <x v="3"/>
  </r>
  <r>
    <x v="615"/>
    <n v="-26.3"/>
    <x v="1296"/>
    <n v="12936.08"/>
    <s v="Complete Access"/>
    <x v="8"/>
    <x v="1"/>
    <x v="5"/>
    <d v="1900-01-22T00:00:00"/>
    <n v="52"/>
    <x v="2"/>
    <x v="3"/>
  </r>
  <r>
    <x v="616"/>
    <n v="-500"/>
    <x v="656"/>
    <n v="12985.62"/>
    <s v="Complete Access"/>
    <x v="13"/>
    <x v="0"/>
    <x v="0"/>
    <d v="1900-01-21T00:00:00"/>
    <n v="52"/>
    <x v="2"/>
    <x v="3"/>
  </r>
  <r>
    <x v="616"/>
    <n v="2422.16"/>
    <x v="1297"/>
    <n v="13485.62"/>
    <s v="Complete Access"/>
    <x v="14"/>
    <x v="6"/>
    <x v="9"/>
    <d v="1900-01-21T00:00:00"/>
    <n v="52"/>
    <x v="2"/>
    <x v="3"/>
  </r>
  <r>
    <x v="616"/>
    <n v="-23.24"/>
    <x v="1298"/>
    <n v="12962.38"/>
    <s v="Complete Access"/>
    <x v="304"/>
    <x v="1"/>
    <x v="5"/>
    <d v="1900-01-21T00:00:00"/>
    <n v="52"/>
    <x v="2"/>
    <x v="3"/>
  </r>
  <r>
    <x v="617"/>
    <n v="-26.3"/>
    <x v="1299"/>
    <n v="11115.51"/>
    <s v="Complete Access"/>
    <x v="8"/>
    <x v="1"/>
    <x v="5"/>
    <d v="1900-01-20T00:00:00"/>
    <n v="52"/>
    <x v="2"/>
    <x v="3"/>
  </r>
  <r>
    <x v="617"/>
    <n v="-38.049999999999997"/>
    <x v="1300"/>
    <n v="11063.46"/>
    <s v="Complete Access"/>
    <x v="380"/>
    <x v="8"/>
    <x v="22"/>
    <d v="1900-01-20T00:00:00"/>
    <n v="52"/>
    <x v="2"/>
    <x v="3"/>
  </r>
  <r>
    <x v="617"/>
    <n v="-14"/>
    <x v="1301"/>
    <n v="11101.51"/>
    <s v="Complete Access"/>
    <x v="34"/>
    <x v="9"/>
    <x v="12"/>
    <d v="1900-01-20T00:00:00"/>
    <n v="52"/>
    <x v="2"/>
    <x v="3"/>
  </r>
  <r>
    <x v="618"/>
    <n v="-24.08"/>
    <x v="1302"/>
    <n v="11166.96"/>
    <s v="Complete Access"/>
    <x v="8"/>
    <x v="1"/>
    <x v="5"/>
    <d v="1900-01-19T00:00:00"/>
    <n v="52"/>
    <x v="2"/>
    <x v="3"/>
  </r>
  <r>
    <x v="618"/>
    <n v="-35.74"/>
    <x v="1303"/>
    <n v="11191.04"/>
    <s v="Complete Access"/>
    <x v="8"/>
    <x v="1"/>
    <x v="5"/>
    <d v="1900-01-19T00:00:00"/>
    <n v="52"/>
    <x v="2"/>
    <x v="3"/>
  </r>
  <r>
    <x v="618"/>
    <n v="-16.649999999999999"/>
    <x v="1304"/>
    <n v="11150.31"/>
    <s v="Complete Access"/>
    <x v="351"/>
    <x v="1"/>
    <x v="5"/>
    <d v="1900-01-19T00:00:00"/>
    <n v="52"/>
    <x v="2"/>
    <x v="3"/>
  </r>
  <r>
    <x v="618"/>
    <n v="-8.5"/>
    <x v="1305"/>
    <n v="11141.81"/>
    <s v="Complete Access"/>
    <x v="365"/>
    <x v="1"/>
    <x v="5"/>
    <d v="1900-01-19T00:00:00"/>
    <n v="52"/>
    <x v="2"/>
    <x v="3"/>
  </r>
  <r>
    <x v="619"/>
    <n v="-13.5"/>
    <x v="1306"/>
    <n v="11281.78"/>
    <s v="Complete Access"/>
    <x v="381"/>
    <x v="1"/>
    <x v="1"/>
    <d v="1900-01-17T00:00:00"/>
    <n v="52"/>
    <x v="2"/>
    <x v="3"/>
  </r>
  <r>
    <x v="619"/>
    <n v="-55"/>
    <x v="1307"/>
    <n v="11226.78"/>
    <s v="Complete Access"/>
    <x v="205"/>
    <x v="11"/>
    <x v="49"/>
    <d v="1900-01-17T00:00:00"/>
    <n v="52"/>
    <x v="2"/>
    <x v="3"/>
  </r>
  <r>
    <x v="620"/>
    <n v="-69"/>
    <x v="1308"/>
    <n v="11295.28"/>
    <s v="Complete Access"/>
    <x v="207"/>
    <x v="7"/>
    <x v="11"/>
    <d v="1900-01-16T00:00:00"/>
    <n v="51"/>
    <x v="2"/>
    <x v="3"/>
  </r>
  <r>
    <x v="620"/>
    <n v="-6.2"/>
    <x v="1309"/>
    <n v="11364.28"/>
    <s v="Complete Access"/>
    <x v="215"/>
    <x v="1"/>
    <x v="1"/>
    <d v="1900-01-16T00:00:00"/>
    <n v="51"/>
    <x v="2"/>
    <x v="3"/>
  </r>
  <r>
    <x v="621"/>
    <n v="-6.54"/>
    <x v="1310"/>
    <n v="11382.88"/>
    <s v="Complete Access"/>
    <x v="285"/>
    <x v="5"/>
    <x v="8"/>
    <d v="1900-01-15T00:00:00"/>
    <n v="51"/>
    <x v="2"/>
    <x v="3"/>
  </r>
  <r>
    <x v="621"/>
    <n v="-12.4"/>
    <x v="1311"/>
    <n v="11370.48"/>
    <s v="Complete Access"/>
    <x v="297"/>
    <x v="1"/>
    <x v="5"/>
    <d v="1900-01-15T00:00:00"/>
    <n v="51"/>
    <x v="2"/>
    <x v="3"/>
  </r>
  <r>
    <x v="622"/>
    <n v="-690"/>
    <x v="1312"/>
    <n v="11389.42"/>
    <s v="Complete Access"/>
    <x v="0"/>
    <x v="0"/>
    <x v="0"/>
    <d v="1900-01-14T00:00:00"/>
    <n v="51"/>
    <x v="2"/>
    <x v="3"/>
  </r>
  <r>
    <x v="622"/>
    <n v="-43.68"/>
    <x v="1313"/>
    <n v="12080.73"/>
    <s v="Complete Access"/>
    <x v="74"/>
    <x v="4"/>
    <x v="10"/>
    <d v="1900-01-14T00:00:00"/>
    <n v="51"/>
    <x v="2"/>
    <x v="3"/>
  </r>
  <r>
    <x v="622"/>
    <n v="-1.31"/>
    <x v="1314"/>
    <n v="12079.42"/>
    <s v="Complete Access"/>
    <x v="10"/>
    <x v="0"/>
    <x v="0"/>
    <d v="1900-01-14T00:00:00"/>
    <n v="51"/>
    <x v="2"/>
    <x v="3"/>
  </r>
  <r>
    <x v="622"/>
    <n v="-1.99"/>
    <x v="1315"/>
    <n v="12187.54"/>
    <s v="Complete Access"/>
    <x v="177"/>
    <x v="1"/>
    <x v="1"/>
    <d v="1900-01-14T00:00:00"/>
    <n v="51"/>
    <x v="2"/>
    <x v="3"/>
  </r>
  <r>
    <x v="622"/>
    <n v="-36.130000000000003"/>
    <x v="1316"/>
    <n v="12151.41"/>
    <s v="Complete Access"/>
    <x v="304"/>
    <x v="1"/>
    <x v="5"/>
    <d v="1900-01-14T00:00:00"/>
    <n v="51"/>
    <x v="2"/>
    <x v="3"/>
  </r>
  <r>
    <x v="622"/>
    <n v="-26"/>
    <x v="1317"/>
    <n v="12125.41"/>
    <s v="Complete Access"/>
    <x v="243"/>
    <x v="1"/>
    <x v="23"/>
    <d v="1900-01-14T00:00:00"/>
    <n v="51"/>
    <x v="2"/>
    <x v="3"/>
  </r>
  <r>
    <x v="622"/>
    <n v="-1"/>
    <x v="1318"/>
    <n v="12124.41"/>
    <s v="Complete Access"/>
    <x v="34"/>
    <x v="9"/>
    <x v="12"/>
    <d v="1900-01-14T00:00:00"/>
    <n v="51"/>
    <x v="2"/>
    <x v="3"/>
  </r>
  <r>
    <x v="623"/>
    <n v="-8.4700000000000006"/>
    <x v="1319"/>
    <n v="12213.98"/>
    <s v="Complete Access"/>
    <x v="285"/>
    <x v="5"/>
    <x v="8"/>
    <d v="1900-01-13T00:00:00"/>
    <n v="51"/>
    <x v="2"/>
    <x v="3"/>
  </r>
  <r>
    <x v="623"/>
    <n v="-9.4499999999999993"/>
    <x v="1320"/>
    <n v="12204.53"/>
    <s v="Complete Access"/>
    <x v="237"/>
    <x v="15"/>
    <x v="34"/>
    <d v="1900-01-13T00:00:00"/>
    <n v="51"/>
    <x v="2"/>
    <x v="3"/>
  </r>
  <r>
    <x v="623"/>
    <n v="-15"/>
    <x v="1321"/>
    <n v="12189.53"/>
    <s v="Complete Access"/>
    <x v="277"/>
    <x v="8"/>
    <x v="29"/>
    <d v="1900-01-13T00:00:00"/>
    <n v="51"/>
    <x v="2"/>
    <x v="3"/>
  </r>
  <r>
    <x v="624"/>
    <n v="-20.32"/>
    <x v="1322"/>
    <n v="12384.3"/>
    <s v="Complete Access"/>
    <x v="8"/>
    <x v="1"/>
    <x v="5"/>
    <d v="1900-01-12T00:00:00"/>
    <n v="51"/>
    <x v="2"/>
    <x v="3"/>
  </r>
  <r>
    <x v="624"/>
    <n v="-2.2400000000000002"/>
    <x v="1323"/>
    <n v="12414.27"/>
    <s v="Complete Access"/>
    <x v="285"/>
    <x v="5"/>
    <x v="8"/>
    <d v="1900-01-12T00:00:00"/>
    <n v="51"/>
    <x v="2"/>
    <x v="3"/>
  </r>
  <r>
    <x v="624"/>
    <n v="-9.65"/>
    <x v="1324"/>
    <n v="12404.62"/>
    <s v="Complete Access"/>
    <x v="285"/>
    <x v="5"/>
    <x v="8"/>
    <d v="1900-01-12T00:00:00"/>
    <n v="51"/>
    <x v="2"/>
    <x v="3"/>
  </r>
  <r>
    <x v="624"/>
    <n v="-12.2"/>
    <x v="1325"/>
    <n v="12372.1"/>
    <s v="Complete Access"/>
    <x v="297"/>
    <x v="1"/>
    <x v="5"/>
    <d v="1900-01-12T00:00:00"/>
    <n v="51"/>
    <x v="2"/>
    <x v="3"/>
  </r>
  <r>
    <x v="624"/>
    <n v="-42.9"/>
    <x v="1326"/>
    <n v="12230.5"/>
    <s v="Complete Access"/>
    <x v="329"/>
    <x v="4"/>
    <x v="7"/>
    <d v="1900-01-12T00:00:00"/>
    <n v="51"/>
    <x v="2"/>
    <x v="3"/>
  </r>
  <r>
    <x v="624"/>
    <n v="-18.7"/>
    <x v="1326"/>
    <n v="12273.4"/>
    <s v="Complete Access"/>
    <x v="329"/>
    <x v="4"/>
    <x v="7"/>
    <d v="1900-01-12T00:00:00"/>
    <n v="51"/>
    <x v="2"/>
    <x v="3"/>
  </r>
  <r>
    <x v="624"/>
    <n v="-78"/>
    <x v="1327"/>
    <n v="12292.1"/>
    <s v="Complete Access"/>
    <x v="29"/>
    <x v="4"/>
    <x v="19"/>
    <d v="1900-01-12T00:00:00"/>
    <n v="51"/>
    <x v="2"/>
    <x v="3"/>
  </r>
  <r>
    <x v="624"/>
    <n v="-7.82"/>
    <x v="1328"/>
    <n v="12222.68"/>
    <s v="Complete Access"/>
    <x v="382"/>
    <x v="3"/>
    <x v="3"/>
    <d v="1900-01-12T00:00:00"/>
    <n v="51"/>
    <x v="2"/>
    <x v="3"/>
  </r>
  <r>
    <x v="624"/>
    <n v="-2"/>
    <x v="1329"/>
    <n v="12370.1"/>
    <s v="Complete Access"/>
    <x v="47"/>
    <x v="1"/>
    <x v="5"/>
    <d v="1900-01-12T00:00:00"/>
    <n v="51"/>
    <x v="2"/>
    <x v="3"/>
  </r>
  <r>
    <x v="624"/>
    <n v="-0.23"/>
    <x v="1330"/>
    <n v="12222.45"/>
    <s v="Complete Access"/>
    <x v="10"/>
    <x v="0"/>
    <x v="0"/>
    <d v="1900-01-12T00:00:00"/>
    <n v="51"/>
    <x v="2"/>
    <x v="3"/>
  </r>
  <r>
    <x v="625"/>
    <n v="-9.65"/>
    <x v="1331"/>
    <n v="12521.71"/>
    <s v="Complete Access"/>
    <x v="285"/>
    <x v="5"/>
    <x v="8"/>
    <d v="1900-01-09T00:00:00"/>
    <n v="50"/>
    <x v="2"/>
    <x v="3"/>
  </r>
  <r>
    <x v="625"/>
    <n v="-13.2"/>
    <x v="1332"/>
    <n v="12508.51"/>
    <s v="Complete Access"/>
    <x v="16"/>
    <x v="1"/>
    <x v="5"/>
    <d v="1900-01-09T00:00:00"/>
    <n v="50"/>
    <x v="2"/>
    <x v="3"/>
  </r>
  <r>
    <x v="625"/>
    <n v="-65"/>
    <x v="1333"/>
    <n v="12443.51"/>
    <s v="Complete Access"/>
    <x v="0"/>
    <x v="0"/>
    <x v="0"/>
    <d v="1900-01-09T00:00:00"/>
    <n v="50"/>
    <x v="2"/>
    <x v="3"/>
  </r>
  <r>
    <x v="625"/>
    <n v="-27"/>
    <x v="1028"/>
    <n v="12416.51"/>
    <s v="Complete Access"/>
    <x v="0"/>
    <x v="0"/>
    <x v="0"/>
    <d v="1900-01-09T00:00:00"/>
    <n v="50"/>
    <x v="2"/>
    <x v="3"/>
  </r>
  <r>
    <x v="626"/>
    <n v="-22.99"/>
    <x v="1334"/>
    <n v="12031.36"/>
    <s v="Complete Access"/>
    <x v="373"/>
    <x v="8"/>
    <x v="7"/>
    <d v="1900-01-08T00:00:00"/>
    <n v="50"/>
    <x v="2"/>
    <x v="3"/>
  </r>
  <r>
    <x v="626"/>
    <n v="500"/>
    <x v="1335"/>
    <n v="12531.36"/>
    <s v="Complete Access"/>
    <x v="36"/>
    <x v="0"/>
    <x v="0"/>
    <d v="1900-01-08T00:00:00"/>
    <n v="50"/>
    <x v="2"/>
    <x v="3"/>
  </r>
  <r>
    <x v="627"/>
    <n v="-500"/>
    <x v="656"/>
    <n v="12501.81"/>
    <s v="Complete Access"/>
    <x v="13"/>
    <x v="0"/>
    <x v="0"/>
    <d v="1900-01-07T00:00:00"/>
    <n v="50"/>
    <x v="2"/>
    <x v="3"/>
  </r>
  <r>
    <x v="627"/>
    <n v="-13.2"/>
    <x v="1336"/>
    <n v="12488.61"/>
    <s v="Complete Access"/>
    <x v="297"/>
    <x v="1"/>
    <x v="5"/>
    <d v="1900-01-07T00:00:00"/>
    <n v="50"/>
    <x v="2"/>
    <x v="3"/>
  </r>
  <r>
    <x v="627"/>
    <n v="2422.16"/>
    <x v="1337"/>
    <n v="13001.81"/>
    <s v="Complete Access"/>
    <x v="14"/>
    <x v="6"/>
    <x v="9"/>
    <d v="1900-01-07T00:00:00"/>
    <n v="50"/>
    <x v="2"/>
    <x v="3"/>
  </r>
  <r>
    <x v="627"/>
    <n v="-434.26"/>
    <x v="1338"/>
    <n v="12054.35"/>
    <s v="Complete Access"/>
    <x v="379"/>
    <x v="4"/>
    <x v="47"/>
    <d v="1900-01-07T00:00:00"/>
    <n v="50"/>
    <x v="2"/>
    <x v="3"/>
  </r>
  <r>
    <x v="628"/>
    <n v="-9.65"/>
    <x v="1339"/>
    <n v="10621.89"/>
    <s v="Complete Access"/>
    <x v="285"/>
    <x v="5"/>
    <x v="8"/>
    <d v="1900-01-06T00:00:00"/>
    <n v="50"/>
    <x v="2"/>
    <x v="3"/>
  </r>
  <r>
    <x v="628"/>
    <n v="-13.2"/>
    <x v="1340"/>
    <n v="10608.69"/>
    <s v="Complete Access"/>
    <x v="16"/>
    <x v="1"/>
    <x v="5"/>
    <d v="1900-01-06T00:00:00"/>
    <n v="50"/>
    <x v="2"/>
    <x v="3"/>
  </r>
  <r>
    <x v="628"/>
    <n v="-24.04"/>
    <x v="436"/>
    <n v="10579.65"/>
    <s v="Complete Access"/>
    <x v="186"/>
    <x v="1"/>
    <x v="5"/>
    <d v="1900-01-06T00:00:00"/>
    <n v="50"/>
    <x v="2"/>
    <x v="3"/>
  </r>
  <r>
    <x v="628"/>
    <n v="-5"/>
    <x v="1341"/>
    <n v="10603.69"/>
    <s v="Complete Access"/>
    <x v="34"/>
    <x v="9"/>
    <x v="12"/>
    <d v="1900-01-06T00:00:00"/>
    <n v="50"/>
    <x v="2"/>
    <x v="3"/>
  </r>
  <r>
    <x v="629"/>
    <n v="-33.520000000000003"/>
    <x v="1342"/>
    <n v="10331.540000000001"/>
    <s v="Complete Access"/>
    <x v="8"/>
    <x v="1"/>
    <x v="5"/>
    <d v="1900-01-05T00:00:00"/>
    <n v="50"/>
    <x v="2"/>
    <x v="3"/>
  </r>
  <r>
    <x v="629"/>
    <n v="-45.39"/>
    <x v="1343"/>
    <n v="10365.06"/>
    <s v="Complete Access"/>
    <x v="8"/>
    <x v="1"/>
    <x v="5"/>
    <d v="1900-01-05T00:00:00"/>
    <n v="50"/>
    <x v="2"/>
    <x v="3"/>
  </r>
  <r>
    <x v="629"/>
    <n v="300"/>
    <x v="1344"/>
    <n v="10631.54"/>
    <s v="Complete Access"/>
    <x v="36"/>
    <x v="0"/>
    <x v="0"/>
    <d v="1900-01-05T00:00:00"/>
    <n v="50"/>
    <x v="2"/>
    <x v="3"/>
  </r>
  <r>
    <x v="630"/>
    <n v="-4.8"/>
    <x v="1345"/>
    <n v="10410.450000000001"/>
    <s v="Complete Access"/>
    <x v="383"/>
    <x v="1"/>
    <x v="5"/>
    <d v="1900-01-04T00:00:00"/>
    <n v="50"/>
    <x v="2"/>
    <x v="3"/>
  </r>
  <r>
    <x v="630"/>
    <n v="-20"/>
    <x v="1346"/>
    <n v="10415.25"/>
    <s v="Complete Access"/>
    <x v="0"/>
    <x v="0"/>
    <x v="0"/>
    <d v="1900-01-04T00:00:00"/>
    <n v="50"/>
    <x v="2"/>
    <x v="3"/>
  </r>
  <r>
    <x v="631"/>
    <n v="-94.9"/>
    <x v="1347"/>
    <n v="10447.6"/>
    <s v="Complete Access"/>
    <x v="341"/>
    <x v="4"/>
    <x v="20"/>
    <d v="1900-01-02T00:00:00"/>
    <n v="49"/>
    <x v="2"/>
    <x v="3"/>
  </r>
  <r>
    <x v="631"/>
    <n v="-2.85"/>
    <x v="1348"/>
    <n v="10444.75"/>
    <s v="Complete Access"/>
    <x v="10"/>
    <x v="0"/>
    <x v="0"/>
    <d v="1900-01-02T00:00:00"/>
    <n v="49"/>
    <x v="2"/>
    <x v="3"/>
  </r>
  <r>
    <x v="631"/>
    <n v="-9.5"/>
    <x v="1222"/>
    <n v="10435.25"/>
    <s v="Complete Access"/>
    <x v="365"/>
    <x v="1"/>
    <x v="5"/>
    <d v="1900-01-02T00:00:00"/>
    <n v="49"/>
    <x v="2"/>
    <x v="3"/>
  </r>
  <r>
    <x v="632"/>
    <n v="20"/>
    <x v="1349"/>
    <n v="10542.5"/>
    <s v="Complete Access"/>
    <x v="36"/>
    <x v="0"/>
    <x v="0"/>
    <d v="1900-01-01T00:00:00"/>
    <n v="49"/>
    <x v="2"/>
    <x v="3"/>
  </r>
  <r>
    <x v="632"/>
    <n v="-37.200000000000003"/>
    <x v="1350"/>
    <n v="10522.5"/>
    <s v="Complete Access"/>
    <x v="91"/>
    <x v="9"/>
    <x v="12"/>
    <d v="1900-01-01T00:00:00"/>
    <n v="49"/>
    <x v="2"/>
    <x v="3"/>
  </r>
  <r>
    <x v="633"/>
    <n v="-186.7"/>
    <x v="1351"/>
    <n v="10559.7"/>
    <s v="Complete Access"/>
    <x v="76"/>
    <x v="2"/>
    <x v="2"/>
    <d v="1899-12-31T00:00:00"/>
    <n v="49"/>
    <x v="2"/>
    <x v="3"/>
  </r>
  <r>
    <x v="633"/>
    <n v="-73.069999999999993"/>
    <x v="1352"/>
    <n v="10746.4"/>
    <s v="Complete Access"/>
    <x v="1"/>
    <x v="1"/>
    <x v="1"/>
    <d v="1899-12-31T00:00:00"/>
    <n v="49"/>
    <x v="2"/>
    <x v="3"/>
  </r>
  <r>
    <x v="633"/>
    <n v="0.1"/>
    <x v="609"/>
    <n v="2637.54"/>
    <s v="Netbank Saver"/>
    <x v="240"/>
    <x v="0"/>
    <x v="55"/>
    <d v="1899-12-31T00:00:00"/>
    <n v="49"/>
    <x v="2"/>
    <x v="3"/>
  </r>
  <r>
    <x v="634"/>
    <n v="-13.2"/>
    <x v="1148"/>
    <n v="10889.47"/>
    <s v="Complete Access"/>
    <x v="297"/>
    <x v="1"/>
    <x v="5"/>
    <d v="1900-01-29T00:00:00"/>
    <n v="49"/>
    <x v="3"/>
    <x v="3"/>
  </r>
  <r>
    <x v="634"/>
    <n v="2635.41"/>
    <x v="1353"/>
    <n v="2637.44"/>
    <s v="Netbank Saver"/>
    <x v="384"/>
    <x v="14"/>
    <x v="68"/>
    <d v="1900-01-29T00:00:00"/>
    <n v="49"/>
    <x v="3"/>
    <x v="3"/>
  </r>
  <r>
    <x v="634"/>
    <n v="-70"/>
    <x v="1354"/>
    <n v="10819.47"/>
    <s v="Complete Access"/>
    <x v="0"/>
    <x v="0"/>
    <x v="0"/>
    <d v="1900-01-29T00:00:00"/>
    <n v="49"/>
    <x v="3"/>
    <x v="3"/>
  </r>
  <r>
    <x v="635"/>
    <n v="-102.35"/>
    <x v="1355"/>
    <n v="11756.7"/>
    <s v="Complete Access"/>
    <x v="385"/>
    <x v="20"/>
    <x v="63"/>
    <d v="1900-01-28T00:00:00"/>
    <n v="49"/>
    <x v="3"/>
    <x v="3"/>
  </r>
  <r>
    <x v="635"/>
    <n v="-147.74"/>
    <x v="1356"/>
    <n v="10995.67"/>
    <s v="Complete Access"/>
    <x v="256"/>
    <x v="4"/>
    <x v="47"/>
    <d v="1900-01-28T00:00:00"/>
    <n v="49"/>
    <x v="3"/>
    <x v="3"/>
  </r>
  <r>
    <x v="635"/>
    <n v="-595.42999999999995"/>
    <x v="1357"/>
    <n v="11161.27"/>
    <s v="Complete Access"/>
    <x v="256"/>
    <x v="4"/>
    <x v="47"/>
    <d v="1900-01-28T00:00:00"/>
    <n v="49"/>
    <x v="3"/>
    <x v="3"/>
  </r>
  <r>
    <x v="635"/>
    <n v="-35.74"/>
    <x v="1358"/>
    <n v="11894.79"/>
    <s v="Complete Access"/>
    <x v="8"/>
    <x v="1"/>
    <x v="5"/>
    <d v="1900-01-28T00:00:00"/>
    <n v="49"/>
    <x v="3"/>
    <x v="3"/>
  </r>
  <r>
    <x v="635"/>
    <n v="-35.74"/>
    <x v="1359"/>
    <n v="11859.05"/>
    <s v="Complete Access"/>
    <x v="8"/>
    <x v="1"/>
    <x v="5"/>
    <d v="1900-01-28T00:00:00"/>
    <n v="49"/>
    <x v="3"/>
    <x v="3"/>
  </r>
  <r>
    <x v="635"/>
    <n v="-53.99"/>
    <x v="1360"/>
    <n v="11941.03"/>
    <s v="Complete Access"/>
    <x v="8"/>
    <x v="1"/>
    <x v="5"/>
    <d v="1900-01-28T00:00:00"/>
    <n v="49"/>
    <x v="3"/>
    <x v="3"/>
  </r>
  <r>
    <x v="635"/>
    <n v="-79"/>
    <x v="1361"/>
    <n v="10902.67"/>
    <s v="Complete Access"/>
    <x v="298"/>
    <x v="4"/>
    <x v="30"/>
    <d v="1900-01-28T00:00:00"/>
    <n v="49"/>
    <x v="3"/>
    <x v="3"/>
  </r>
  <r>
    <x v="635"/>
    <n v="-4.43"/>
    <x v="1362"/>
    <n v="10991.24"/>
    <s v="Complete Access"/>
    <x v="10"/>
    <x v="0"/>
    <x v="0"/>
    <d v="1900-01-28T00:00:00"/>
    <n v="49"/>
    <x v="3"/>
    <x v="3"/>
  </r>
  <r>
    <x v="635"/>
    <n v="-17.86"/>
    <x v="1362"/>
    <n v="11143.41"/>
    <s v="Complete Access"/>
    <x v="10"/>
    <x v="0"/>
    <x v="0"/>
    <d v="1900-01-28T00:00:00"/>
    <n v="49"/>
    <x v="3"/>
    <x v="3"/>
  </r>
  <r>
    <x v="635"/>
    <n v="-9.57"/>
    <x v="969"/>
    <n v="10981.67"/>
    <s v="Complete Access"/>
    <x v="177"/>
    <x v="1"/>
    <x v="1"/>
    <d v="1900-01-28T00:00:00"/>
    <n v="49"/>
    <x v="3"/>
    <x v="3"/>
  </r>
  <r>
    <x v="635"/>
    <n v="-21.99"/>
    <x v="1363"/>
    <n v="11995.02"/>
    <s v="Complete Access"/>
    <x v="104"/>
    <x v="1"/>
    <x v="5"/>
    <d v="1900-01-28T00:00:00"/>
    <n v="49"/>
    <x v="3"/>
    <x v="3"/>
  </r>
  <r>
    <x v="635"/>
    <n v="-10.5"/>
    <x v="1364"/>
    <n v="11930.53"/>
    <s v="Complete Access"/>
    <x v="34"/>
    <x v="9"/>
    <x v="12"/>
    <d v="1900-01-28T00:00:00"/>
    <n v="49"/>
    <x v="3"/>
    <x v="3"/>
  </r>
  <r>
    <x v="636"/>
    <n v="1752.9"/>
    <x v="1365"/>
    <n v="12017.01"/>
    <s v="Complete Access"/>
    <x v="192"/>
    <x v="4"/>
    <x v="20"/>
    <d v="1900-01-27T00:00:00"/>
    <n v="49"/>
    <x v="3"/>
    <x v="3"/>
  </r>
  <r>
    <x v="637"/>
    <n v="-2299"/>
    <x v="1366"/>
    <n v="10290.26"/>
    <s v="Complete Access"/>
    <x v="386"/>
    <x v="4"/>
    <x v="17"/>
    <d v="1900-01-24T00:00:00"/>
    <n v="48"/>
    <x v="3"/>
    <x v="3"/>
  </r>
  <r>
    <x v="637"/>
    <n v="-26.15"/>
    <x v="1367"/>
    <n v="10264.11"/>
    <s v="Complete Access"/>
    <x v="34"/>
    <x v="9"/>
    <x v="12"/>
    <d v="1900-01-24T00:00:00"/>
    <n v="48"/>
    <x v="3"/>
    <x v="3"/>
  </r>
  <r>
    <x v="638"/>
    <n v="-500"/>
    <x v="656"/>
    <n v="12637.5"/>
    <s v="Complete Access"/>
    <x v="13"/>
    <x v="0"/>
    <x v="0"/>
    <d v="1900-01-23T00:00:00"/>
    <n v="48"/>
    <x v="3"/>
    <x v="3"/>
  </r>
  <r>
    <x v="638"/>
    <n v="-13.2"/>
    <x v="1148"/>
    <n v="12589.26"/>
    <s v="Complete Access"/>
    <x v="297"/>
    <x v="1"/>
    <x v="5"/>
    <d v="1900-01-23T00:00:00"/>
    <n v="48"/>
    <x v="3"/>
    <x v="3"/>
  </r>
  <r>
    <x v="638"/>
    <n v="2422.17"/>
    <x v="1368"/>
    <n v="13137.5"/>
    <s v="Complete Access"/>
    <x v="14"/>
    <x v="6"/>
    <x v="9"/>
    <d v="1900-01-23T00:00:00"/>
    <n v="48"/>
    <x v="3"/>
    <x v="3"/>
  </r>
  <r>
    <x v="638"/>
    <n v="-35.04"/>
    <x v="1369"/>
    <n v="12602.46"/>
    <s v="Complete Access"/>
    <x v="1"/>
    <x v="1"/>
    <x v="1"/>
    <d v="1900-01-23T00:00:00"/>
    <n v="48"/>
    <x v="3"/>
    <x v="3"/>
  </r>
  <r>
    <x v="639"/>
    <n v="-29.63"/>
    <x v="1370"/>
    <n v="12309.6"/>
    <s v="Complete Access"/>
    <x v="8"/>
    <x v="1"/>
    <x v="5"/>
    <d v="1900-01-22T00:00:00"/>
    <n v="48"/>
    <x v="3"/>
    <x v="3"/>
  </r>
  <r>
    <x v="639"/>
    <n v="-35.58"/>
    <x v="1371"/>
    <n v="12274.02"/>
    <s v="Complete Access"/>
    <x v="29"/>
    <x v="4"/>
    <x v="19"/>
    <d v="1900-01-22T00:00:00"/>
    <n v="48"/>
    <x v="3"/>
    <x v="3"/>
  </r>
  <r>
    <x v="639"/>
    <n v="-1558.69"/>
    <x v="1372"/>
    <n v="10715.33"/>
    <s v="Complete Access"/>
    <x v="387"/>
    <x v="4"/>
    <x v="20"/>
    <d v="1900-01-22T00:00:00"/>
    <n v="48"/>
    <x v="3"/>
    <x v="3"/>
  </r>
  <r>
    <x v="640"/>
    <n v="-26.3"/>
    <x v="1373"/>
    <n v="12464.17"/>
    <s v="Complete Access"/>
    <x v="8"/>
    <x v="1"/>
    <x v="5"/>
    <d v="1900-01-21T00:00:00"/>
    <n v="48"/>
    <x v="3"/>
    <x v="3"/>
  </r>
  <r>
    <x v="640"/>
    <n v="-38.06"/>
    <x v="1374"/>
    <n v="12357.73"/>
    <s v="Complete Access"/>
    <x v="8"/>
    <x v="1"/>
    <x v="5"/>
    <d v="1900-01-21T00:00:00"/>
    <n v="48"/>
    <x v="3"/>
    <x v="3"/>
  </r>
  <r>
    <x v="640"/>
    <n v="-12.5"/>
    <x v="988"/>
    <n v="12345.23"/>
    <s v="Complete Access"/>
    <x v="331"/>
    <x v="1"/>
    <x v="5"/>
    <d v="1900-01-21T00:00:00"/>
    <n v="48"/>
    <x v="3"/>
    <x v="3"/>
  </r>
  <r>
    <x v="640"/>
    <n v="-45.04"/>
    <x v="1375"/>
    <n v="12397.14"/>
    <s v="Complete Access"/>
    <x v="344"/>
    <x v="4"/>
    <x v="25"/>
    <d v="1900-01-21T00:00:00"/>
    <n v="48"/>
    <x v="3"/>
    <x v="3"/>
  </r>
  <r>
    <x v="640"/>
    <n v="-1.35"/>
    <x v="1376"/>
    <n v="12395.79"/>
    <s v="Complete Access"/>
    <x v="10"/>
    <x v="0"/>
    <x v="0"/>
    <d v="1900-01-21T00:00:00"/>
    <n v="48"/>
    <x v="3"/>
    <x v="3"/>
  </r>
  <r>
    <x v="640"/>
    <n v="-36.29"/>
    <x v="1377"/>
    <n v="12490.47"/>
    <s v="Complete Access"/>
    <x v="104"/>
    <x v="1"/>
    <x v="5"/>
    <d v="1900-01-21T00:00:00"/>
    <n v="48"/>
    <x v="3"/>
    <x v="3"/>
  </r>
  <r>
    <x v="640"/>
    <n v="-21.99"/>
    <x v="1378"/>
    <n v="12442.18"/>
    <s v="Complete Access"/>
    <x v="104"/>
    <x v="1"/>
    <x v="5"/>
    <d v="1900-01-21T00:00:00"/>
    <n v="48"/>
    <x v="3"/>
    <x v="3"/>
  </r>
  <r>
    <x v="640"/>
    <n v="-6"/>
    <x v="1379"/>
    <n v="12339.23"/>
    <s v="Complete Access"/>
    <x v="0"/>
    <x v="0"/>
    <x v="0"/>
    <d v="1900-01-21T00:00:00"/>
    <n v="48"/>
    <x v="3"/>
    <x v="3"/>
  </r>
  <r>
    <x v="641"/>
    <n v="-18.420000000000002"/>
    <x v="1380"/>
    <n v="12602.96"/>
    <s v="Complete Access"/>
    <x v="8"/>
    <x v="1"/>
    <x v="5"/>
    <d v="1900-01-18T00:00:00"/>
    <n v="47"/>
    <x v="3"/>
    <x v="3"/>
  </r>
  <r>
    <x v="641"/>
    <n v="-32.979999999999997"/>
    <x v="1381"/>
    <n v="12631.96"/>
    <s v="Complete Access"/>
    <x v="248"/>
    <x v="3"/>
    <x v="58"/>
    <d v="1900-01-18T00:00:00"/>
    <n v="47"/>
    <x v="3"/>
    <x v="3"/>
  </r>
  <r>
    <x v="641"/>
    <n v="-10.58"/>
    <x v="1382"/>
    <n v="12621.38"/>
    <s v="Complete Access"/>
    <x v="221"/>
    <x v="1"/>
    <x v="5"/>
    <d v="1900-01-18T00:00:00"/>
    <n v="47"/>
    <x v="3"/>
    <x v="3"/>
  </r>
  <r>
    <x v="641"/>
    <n v="-42"/>
    <x v="1383"/>
    <n v="12540.96"/>
    <s v="Complete Access"/>
    <x v="388"/>
    <x v="4"/>
    <x v="20"/>
    <d v="1900-01-18T00:00:00"/>
    <n v="47"/>
    <x v="3"/>
    <x v="3"/>
  </r>
  <r>
    <x v="641"/>
    <n v="-20"/>
    <x v="1384"/>
    <n v="12582.96"/>
    <s v="Complete Access"/>
    <x v="0"/>
    <x v="0"/>
    <x v="0"/>
    <d v="1900-01-18T00:00:00"/>
    <n v="47"/>
    <x v="3"/>
    <x v="3"/>
  </r>
  <r>
    <x v="641"/>
    <n v="-14.2"/>
    <x v="1385"/>
    <n v="12526.76"/>
    <s v="Complete Access"/>
    <x v="0"/>
    <x v="0"/>
    <x v="0"/>
    <d v="1900-01-18T00:00:00"/>
    <n v="47"/>
    <x v="3"/>
    <x v="3"/>
  </r>
  <r>
    <x v="642"/>
    <n v="-9.65"/>
    <x v="1386"/>
    <n v="12747.14"/>
    <s v="Complete Access"/>
    <x v="285"/>
    <x v="5"/>
    <x v="8"/>
    <d v="1900-01-17T00:00:00"/>
    <n v="47"/>
    <x v="3"/>
    <x v="3"/>
  </r>
  <r>
    <x v="642"/>
    <n v="-98.5"/>
    <x v="1387"/>
    <n v="12756.79"/>
    <s v="Complete Access"/>
    <x v="389"/>
    <x v="8"/>
    <x v="22"/>
    <d v="1900-01-17T00:00:00"/>
    <n v="47"/>
    <x v="3"/>
    <x v="3"/>
  </r>
  <r>
    <x v="642"/>
    <n v="-69"/>
    <x v="1388"/>
    <n v="12678.14"/>
    <s v="Complete Access"/>
    <x v="207"/>
    <x v="7"/>
    <x v="11"/>
    <d v="1900-01-17T00:00:00"/>
    <n v="47"/>
    <x v="3"/>
    <x v="3"/>
  </r>
  <r>
    <x v="642"/>
    <n v="-13.2"/>
    <x v="1148"/>
    <n v="12664.94"/>
    <s v="Complete Access"/>
    <x v="297"/>
    <x v="1"/>
    <x v="5"/>
    <d v="1900-01-17T00:00:00"/>
    <n v="47"/>
    <x v="3"/>
    <x v="3"/>
  </r>
  <r>
    <x v="643"/>
    <n v="-13.2"/>
    <x v="1389"/>
    <n v="12962.24"/>
    <s v="Complete Access"/>
    <x v="16"/>
    <x v="1"/>
    <x v="5"/>
    <d v="1900-01-16T00:00:00"/>
    <n v="47"/>
    <x v="3"/>
    <x v="3"/>
  </r>
  <r>
    <x v="643"/>
    <n v="-82"/>
    <x v="1390"/>
    <n v="12855.29"/>
    <s v="Complete Access"/>
    <x v="390"/>
    <x v="1"/>
    <x v="5"/>
    <d v="1900-01-16T00:00:00"/>
    <n v="47"/>
    <x v="3"/>
    <x v="3"/>
  </r>
  <r>
    <x v="643"/>
    <n v="-24.95"/>
    <x v="1391"/>
    <n v="12937.29"/>
    <s v="Complete Access"/>
    <x v="19"/>
    <x v="3"/>
    <x v="3"/>
    <d v="1900-01-16T00:00:00"/>
    <n v="47"/>
    <x v="3"/>
    <x v="3"/>
  </r>
  <r>
    <x v="644"/>
    <n v="-33.96"/>
    <x v="1392"/>
    <n v="13019.15"/>
    <s v="Complete Access"/>
    <x v="8"/>
    <x v="1"/>
    <x v="5"/>
    <d v="1900-01-15T00:00:00"/>
    <n v="47"/>
    <x v="3"/>
    <x v="3"/>
  </r>
  <r>
    <x v="644"/>
    <n v="-37.72"/>
    <x v="1393"/>
    <n v="12981.43"/>
    <s v="Complete Access"/>
    <x v="8"/>
    <x v="1"/>
    <x v="5"/>
    <d v="1900-01-15T00:00:00"/>
    <n v="47"/>
    <x v="3"/>
    <x v="3"/>
  </r>
  <r>
    <x v="644"/>
    <n v="-5.99"/>
    <x v="1394"/>
    <n v="12975.44"/>
    <s v="Complete Access"/>
    <x v="352"/>
    <x v="4"/>
    <x v="67"/>
    <d v="1900-01-15T00:00:00"/>
    <n v="47"/>
    <x v="3"/>
    <x v="3"/>
  </r>
  <r>
    <x v="645"/>
    <n v="-34.96"/>
    <x v="1395"/>
    <n v="11553.11"/>
    <s v="Complete Access"/>
    <x v="8"/>
    <x v="1"/>
    <x v="5"/>
    <d v="1900-01-14T00:00:00"/>
    <n v="47"/>
    <x v="3"/>
    <x v="3"/>
  </r>
  <r>
    <x v="645"/>
    <n v="-34.86"/>
    <x v="1396"/>
    <n v="11606.24"/>
    <s v="Complete Access"/>
    <x v="74"/>
    <x v="4"/>
    <x v="10"/>
    <d v="1900-01-14T00:00:00"/>
    <n v="47"/>
    <x v="3"/>
    <x v="3"/>
  </r>
  <r>
    <x v="645"/>
    <n v="-1.05"/>
    <x v="1397"/>
    <n v="11605.19"/>
    <s v="Complete Access"/>
    <x v="10"/>
    <x v="0"/>
    <x v="0"/>
    <d v="1900-01-14T00:00:00"/>
    <n v="47"/>
    <x v="3"/>
    <x v="3"/>
  </r>
  <r>
    <x v="645"/>
    <n v="1500"/>
    <x v="1398"/>
    <n v="13053.11"/>
    <s v="Complete Access"/>
    <x v="391"/>
    <x v="4"/>
    <x v="20"/>
    <d v="1900-01-14T00:00:00"/>
    <n v="47"/>
    <x v="3"/>
    <x v="3"/>
  </r>
  <r>
    <x v="645"/>
    <n v="-17.12"/>
    <x v="1399"/>
    <n v="11588.07"/>
    <s v="Complete Access"/>
    <x v="1"/>
    <x v="1"/>
    <x v="1"/>
    <d v="1900-01-14T00:00:00"/>
    <n v="47"/>
    <x v="3"/>
    <x v="3"/>
  </r>
  <r>
    <x v="646"/>
    <n v="1500"/>
    <x v="1400"/>
    <n v="11641.1"/>
    <s v="Complete Access"/>
    <x v="391"/>
    <x v="4"/>
    <x v="20"/>
    <d v="1900-01-13T00:00:00"/>
    <n v="47"/>
    <x v="3"/>
    <x v="3"/>
  </r>
  <r>
    <x v="646"/>
    <n v="-65.28"/>
    <x v="1401"/>
    <n v="10141.1"/>
    <s v="Complete Access"/>
    <x v="0"/>
    <x v="0"/>
    <x v="0"/>
    <d v="1900-01-13T00:00:00"/>
    <n v="47"/>
    <x v="3"/>
    <x v="3"/>
  </r>
  <r>
    <x v="647"/>
    <n v="-6.68"/>
    <x v="1402"/>
    <n v="10240.36"/>
    <s v="Complete Access"/>
    <x v="285"/>
    <x v="5"/>
    <x v="8"/>
    <d v="1900-01-11T00:00:00"/>
    <n v="46"/>
    <x v="3"/>
    <x v="3"/>
  </r>
  <r>
    <x v="647"/>
    <n v="-15.14"/>
    <x v="1130"/>
    <n v="10215.879999999999"/>
    <s v="Complete Access"/>
    <x v="351"/>
    <x v="1"/>
    <x v="5"/>
    <d v="1900-01-11T00:00:00"/>
    <n v="46"/>
    <x v="3"/>
    <x v="3"/>
  </r>
  <r>
    <x v="647"/>
    <n v="-9.5"/>
    <x v="1222"/>
    <n v="10206.379999999999"/>
    <s v="Complete Access"/>
    <x v="365"/>
    <x v="1"/>
    <x v="5"/>
    <d v="1900-01-11T00:00:00"/>
    <n v="46"/>
    <x v="3"/>
    <x v="3"/>
  </r>
  <r>
    <x v="647"/>
    <n v="-9.34"/>
    <x v="1403"/>
    <n v="10231.02"/>
    <s v="Complete Access"/>
    <x v="304"/>
    <x v="1"/>
    <x v="5"/>
    <d v="1900-01-11T00:00:00"/>
    <n v="46"/>
    <x v="3"/>
    <x v="3"/>
  </r>
  <r>
    <x v="648"/>
    <n v="-8.98"/>
    <x v="1404"/>
    <n v="10255.49"/>
    <s v="Complete Access"/>
    <x v="285"/>
    <x v="5"/>
    <x v="8"/>
    <d v="1900-01-10T00:00:00"/>
    <n v="46"/>
    <x v="3"/>
    <x v="3"/>
  </r>
  <r>
    <x v="648"/>
    <n v="-8.4499999999999993"/>
    <x v="1405"/>
    <n v="10247.040000000001"/>
    <s v="Complete Access"/>
    <x v="392"/>
    <x v="3"/>
    <x v="26"/>
    <d v="1900-01-10T00:00:00"/>
    <n v="46"/>
    <x v="3"/>
    <x v="3"/>
  </r>
  <r>
    <x v="649"/>
    <n v="-500"/>
    <x v="656"/>
    <n v="10356.27"/>
    <s v="Complete Access"/>
    <x v="13"/>
    <x v="0"/>
    <x v="0"/>
    <d v="1900-01-09T00:00:00"/>
    <n v="46"/>
    <x v="3"/>
    <x v="3"/>
  </r>
  <r>
    <x v="649"/>
    <n v="2409.83"/>
    <x v="1406"/>
    <n v="10856.27"/>
    <s v="Complete Access"/>
    <x v="14"/>
    <x v="6"/>
    <x v="9"/>
    <d v="1900-01-09T00:00:00"/>
    <n v="46"/>
    <x v="3"/>
    <x v="3"/>
  </r>
  <r>
    <x v="649"/>
    <n v="-91.8"/>
    <x v="1407"/>
    <n v="10264.469999999999"/>
    <s v="Complete Access"/>
    <x v="393"/>
    <x v="11"/>
    <x v="49"/>
    <d v="1900-01-09T00:00:00"/>
    <n v="46"/>
    <x v="3"/>
    <x v="3"/>
  </r>
  <r>
    <x v="650"/>
    <n v="-8.5"/>
    <x v="1408"/>
    <n v="8509.18"/>
    <s v="Complete Access"/>
    <x v="394"/>
    <x v="1"/>
    <x v="5"/>
    <d v="1900-01-08T00:00:00"/>
    <n v="46"/>
    <x v="3"/>
    <x v="3"/>
  </r>
  <r>
    <x v="650"/>
    <n v="-20"/>
    <x v="1409"/>
    <n v="8489.18"/>
    <s v="Complete Access"/>
    <x v="395"/>
    <x v="9"/>
    <x v="39"/>
    <d v="1900-01-08T00:00:00"/>
    <n v="46"/>
    <x v="3"/>
    <x v="3"/>
  </r>
  <r>
    <x v="650"/>
    <n v="-35.049999999999997"/>
    <x v="1410"/>
    <n v="8517.68"/>
    <s v="Complete Access"/>
    <x v="1"/>
    <x v="1"/>
    <x v="1"/>
    <d v="1900-01-08T00:00:00"/>
    <n v="46"/>
    <x v="3"/>
    <x v="3"/>
  </r>
  <r>
    <x v="650"/>
    <n v="-42.74"/>
    <x v="1411"/>
    <n v="8446.44"/>
    <s v="Complete Access"/>
    <x v="34"/>
    <x v="9"/>
    <x v="12"/>
    <d v="1900-01-08T00:00:00"/>
    <n v="46"/>
    <x v="3"/>
    <x v="3"/>
  </r>
  <r>
    <x v="651"/>
    <n v="-37.119999999999997"/>
    <x v="1412"/>
    <n v="8552.73"/>
    <s v="Complete Access"/>
    <x v="8"/>
    <x v="1"/>
    <x v="5"/>
    <d v="1900-01-07T00:00:00"/>
    <n v="46"/>
    <x v="3"/>
    <x v="3"/>
  </r>
  <r>
    <x v="652"/>
    <n v="-3.99"/>
    <x v="1413"/>
    <n v="8620.51"/>
    <s v="Complete Access"/>
    <x v="396"/>
    <x v="11"/>
    <x v="14"/>
    <d v="1900-01-06T00:00:00"/>
    <n v="46"/>
    <x v="3"/>
    <x v="3"/>
  </r>
  <r>
    <x v="652"/>
    <n v="-30.66"/>
    <x v="1414"/>
    <n v="8589.85"/>
    <s v="Complete Access"/>
    <x v="397"/>
    <x v="1"/>
    <x v="1"/>
    <d v="1900-01-06T00:00:00"/>
    <n v="46"/>
    <x v="3"/>
    <x v="3"/>
  </r>
  <r>
    <x v="653"/>
    <n v="-9.65"/>
    <x v="1415"/>
    <n v="8624.5"/>
    <s v="Complete Access"/>
    <x v="285"/>
    <x v="5"/>
    <x v="8"/>
    <d v="1900-01-04T00:00:00"/>
    <n v="45"/>
    <x v="3"/>
    <x v="3"/>
  </r>
  <r>
    <x v="654"/>
    <n v="-9.65"/>
    <x v="1416"/>
    <n v="8634.15"/>
    <s v="Complete Access"/>
    <x v="285"/>
    <x v="5"/>
    <x v="8"/>
    <d v="1900-01-03T00:00:00"/>
    <n v="45"/>
    <x v="3"/>
    <x v="3"/>
  </r>
  <r>
    <x v="655"/>
    <n v="-22.62"/>
    <x v="1417"/>
    <n v="8643.7999999999993"/>
    <s v="Complete Access"/>
    <x v="186"/>
    <x v="1"/>
    <x v="5"/>
    <d v="1900-01-02T00:00:00"/>
    <n v="45"/>
    <x v="3"/>
    <x v="3"/>
  </r>
  <r>
    <x v="656"/>
    <n v="-9.65"/>
    <x v="1418"/>
    <n v="8691.44"/>
    <s v="Complete Access"/>
    <x v="285"/>
    <x v="5"/>
    <x v="8"/>
    <d v="1900-01-01T00:00:00"/>
    <n v="45"/>
    <x v="3"/>
    <x v="3"/>
  </r>
  <r>
    <x v="656"/>
    <n v="-11.02"/>
    <x v="1108"/>
    <n v="8666.42"/>
    <s v="Complete Access"/>
    <x v="348"/>
    <x v="1"/>
    <x v="5"/>
    <d v="1900-01-01T00:00:00"/>
    <n v="45"/>
    <x v="3"/>
    <x v="3"/>
  </r>
  <r>
    <x v="656"/>
    <n v="-14"/>
    <x v="1419"/>
    <n v="8677.44"/>
    <s v="Complete Access"/>
    <x v="242"/>
    <x v="1"/>
    <x v="5"/>
    <d v="1900-01-01T00:00:00"/>
    <n v="45"/>
    <x v="3"/>
    <x v="3"/>
  </r>
  <r>
    <x v="657"/>
    <n v="-26.3"/>
    <x v="1420"/>
    <n v="8944.4699999999993"/>
    <s v="Complete Access"/>
    <x v="8"/>
    <x v="1"/>
    <x v="5"/>
    <d v="1899-12-31T00:00:00"/>
    <n v="45"/>
    <x v="3"/>
    <x v="3"/>
  </r>
  <r>
    <x v="657"/>
    <n v="-186.7"/>
    <x v="1421"/>
    <n v="8701.09"/>
    <s v="Complete Access"/>
    <x v="76"/>
    <x v="2"/>
    <x v="2"/>
    <d v="1899-12-31T00:00:00"/>
    <n v="45"/>
    <x v="3"/>
    <x v="3"/>
  </r>
  <r>
    <x v="657"/>
    <n v="-56.68"/>
    <x v="1422"/>
    <n v="8887.7900000000009"/>
    <s v="Complete Access"/>
    <x v="1"/>
    <x v="1"/>
    <x v="1"/>
    <d v="1899-12-31T00:00:00"/>
    <n v="45"/>
    <x v="3"/>
    <x v="3"/>
  </r>
  <r>
    <x v="658"/>
    <n v="-15"/>
    <x v="1423"/>
    <n v="8970.77"/>
    <s v="Complete Access"/>
    <x v="0"/>
    <x v="0"/>
    <x v="0"/>
    <d v="1900-01-28T00:00:00"/>
    <n v="44"/>
    <x v="4"/>
    <x v="3"/>
  </r>
  <r>
    <x v="659"/>
    <n v="-500"/>
    <x v="656"/>
    <n v="9061.2900000000009"/>
    <s v="Complete Access"/>
    <x v="13"/>
    <x v="0"/>
    <x v="0"/>
    <d v="1900-01-26T00:00:00"/>
    <n v="44"/>
    <x v="4"/>
    <x v="3"/>
  </r>
  <r>
    <x v="659"/>
    <n v="2543.0300000000002"/>
    <x v="1424"/>
    <n v="9561.2900000000009"/>
    <s v="Complete Access"/>
    <x v="14"/>
    <x v="6"/>
    <x v="9"/>
    <d v="1900-01-26T00:00:00"/>
    <n v="44"/>
    <x v="4"/>
    <x v="3"/>
  </r>
  <r>
    <x v="659"/>
    <n v="-75.52"/>
    <x v="1425"/>
    <n v="8985.77"/>
    <s v="Complete Access"/>
    <x v="1"/>
    <x v="1"/>
    <x v="1"/>
    <d v="1900-01-26T00:00:00"/>
    <n v="44"/>
    <x v="4"/>
    <x v="3"/>
  </r>
  <r>
    <x v="660"/>
    <n v="-3.2"/>
    <x v="1426"/>
    <n v="7074.26"/>
    <s v="Complete Access"/>
    <x v="285"/>
    <x v="5"/>
    <x v="8"/>
    <d v="1900-01-25T00:00:00"/>
    <n v="44"/>
    <x v="4"/>
    <x v="3"/>
  </r>
  <r>
    <x v="660"/>
    <n v="-31"/>
    <x v="1427"/>
    <n v="7043.26"/>
    <s v="Complete Access"/>
    <x v="398"/>
    <x v="1"/>
    <x v="5"/>
    <d v="1900-01-25T00:00:00"/>
    <n v="44"/>
    <x v="4"/>
    <x v="3"/>
  </r>
  <r>
    <x v="660"/>
    <n v="-13"/>
    <x v="1428"/>
    <n v="7030.26"/>
    <s v="Complete Access"/>
    <x v="0"/>
    <x v="0"/>
    <x v="0"/>
    <d v="1900-01-25T00:00:00"/>
    <n v="44"/>
    <x v="4"/>
    <x v="3"/>
  </r>
  <r>
    <x v="660"/>
    <n v="-12"/>
    <x v="1429"/>
    <n v="7018.26"/>
    <s v="Complete Access"/>
    <x v="0"/>
    <x v="0"/>
    <x v="0"/>
    <d v="1900-01-25T00:00:00"/>
    <n v="44"/>
    <x v="4"/>
    <x v="3"/>
  </r>
  <r>
    <x v="661"/>
    <n v="-26.3"/>
    <x v="1430"/>
    <n v="7118.41"/>
    <s v="Complete Access"/>
    <x v="8"/>
    <x v="1"/>
    <x v="5"/>
    <d v="1900-01-24T00:00:00"/>
    <n v="44"/>
    <x v="4"/>
    <x v="3"/>
  </r>
  <r>
    <x v="661"/>
    <n v="-27.75"/>
    <x v="1431"/>
    <n v="7144.71"/>
    <s v="Complete Access"/>
    <x v="8"/>
    <x v="1"/>
    <x v="5"/>
    <d v="1900-01-24T00:00:00"/>
    <n v="44"/>
    <x v="4"/>
    <x v="3"/>
  </r>
  <r>
    <x v="661"/>
    <n v="-40.950000000000003"/>
    <x v="1432"/>
    <n v="7077.46"/>
    <s v="Complete Access"/>
    <x v="8"/>
    <x v="1"/>
    <x v="5"/>
    <d v="1900-01-24T00:00:00"/>
    <n v="44"/>
    <x v="4"/>
    <x v="3"/>
  </r>
  <r>
    <x v="661"/>
    <n v="-5.5"/>
    <x v="1433"/>
    <n v="7172.46"/>
    <s v="Complete Access"/>
    <x v="285"/>
    <x v="5"/>
    <x v="8"/>
    <d v="1900-01-24T00:00:00"/>
    <n v="44"/>
    <x v="4"/>
    <x v="3"/>
  </r>
  <r>
    <x v="662"/>
    <n v="76"/>
    <x v="1434"/>
    <n v="7177.96"/>
    <s v="Complete Access"/>
    <x v="36"/>
    <x v="0"/>
    <x v="0"/>
    <d v="1900-01-22T00:00:00"/>
    <n v="44"/>
    <x v="4"/>
    <x v="3"/>
  </r>
  <r>
    <x v="662"/>
    <n v="-157.5"/>
    <x v="1435"/>
    <n v="7101.96"/>
    <s v="Complete Access"/>
    <x v="399"/>
    <x v="1"/>
    <x v="5"/>
    <d v="1900-01-22T00:00:00"/>
    <n v="44"/>
    <x v="4"/>
    <x v="3"/>
  </r>
  <r>
    <x v="663"/>
    <n v="-9.65"/>
    <x v="1436"/>
    <n v="7259.46"/>
    <s v="Complete Access"/>
    <x v="285"/>
    <x v="5"/>
    <x v="8"/>
    <d v="1900-01-21T00:00:00"/>
    <n v="43"/>
    <x v="4"/>
    <x v="3"/>
  </r>
  <r>
    <x v="664"/>
    <n v="-50"/>
    <x v="782"/>
    <n v="7269.11"/>
    <s v="Complete Access"/>
    <x v="130"/>
    <x v="0"/>
    <x v="0"/>
    <d v="1900-01-20T00:00:00"/>
    <n v="43"/>
    <x v="4"/>
    <x v="3"/>
  </r>
  <r>
    <x v="664"/>
    <n v="-7.86"/>
    <x v="1437"/>
    <n v="7428.15"/>
    <s v="Complete Access"/>
    <x v="285"/>
    <x v="5"/>
    <x v="8"/>
    <d v="1900-01-20T00:00:00"/>
    <n v="43"/>
    <x v="4"/>
    <x v="3"/>
  </r>
  <r>
    <x v="664"/>
    <n v="-69"/>
    <x v="1438"/>
    <n v="7359.15"/>
    <s v="Complete Access"/>
    <x v="207"/>
    <x v="7"/>
    <x v="11"/>
    <d v="1900-01-20T00:00:00"/>
    <n v="43"/>
    <x v="4"/>
    <x v="3"/>
  </r>
  <r>
    <x v="664"/>
    <n v="-40.04"/>
    <x v="1439"/>
    <n v="7319.11"/>
    <s v="Complete Access"/>
    <x v="1"/>
    <x v="1"/>
    <x v="1"/>
    <d v="1900-01-20T00:00:00"/>
    <n v="43"/>
    <x v="4"/>
    <x v="3"/>
  </r>
  <r>
    <x v="665"/>
    <n v="-9.99"/>
    <x v="1440"/>
    <n v="7405.01"/>
    <s v="Complete Access"/>
    <x v="100"/>
    <x v="9"/>
    <x v="32"/>
    <d v="1900-01-19T00:00:00"/>
    <n v="43"/>
    <x v="4"/>
    <x v="3"/>
  </r>
  <r>
    <x v="665"/>
    <n v="-9.99"/>
    <x v="1441"/>
    <n v="7415"/>
    <s v="Complete Access"/>
    <x v="400"/>
    <x v="9"/>
    <x v="32"/>
    <d v="1900-01-19T00:00:00"/>
    <n v="43"/>
    <x v="4"/>
    <x v="3"/>
  </r>
  <r>
    <x v="665"/>
    <n v="-14"/>
    <x v="1442"/>
    <n v="7391.01"/>
    <s v="Complete Access"/>
    <x v="242"/>
    <x v="1"/>
    <x v="5"/>
    <d v="1900-01-19T00:00:00"/>
    <n v="43"/>
    <x v="4"/>
    <x v="3"/>
  </r>
  <r>
    <x v="665"/>
    <n v="45"/>
    <x v="1443"/>
    <n v="7436.01"/>
    <s v="Complete Access"/>
    <x v="36"/>
    <x v="0"/>
    <x v="0"/>
    <d v="1900-01-19T00:00:00"/>
    <n v="43"/>
    <x v="4"/>
    <x v="3"/>
  </r>
  <r>
    <x v="666"/>
    <n v="-31.63"/>
    <x v="1444"/>
    <n v="7527"/>
    <s v="Complete Access"/>
    <x v="8"/>
    <x v="1"/>
    <x v="5"/>
    <d v="1900-01-18T00:00:00"/>
    <n v="43"/>
    <x v="4"/>
    <x v="3"/>
  </r>
  <r>
    <x v="666"/>
    <n v="-11.02"/>
    <x v="1108"/>
    <n v="7515.98"/>
    <s v="Complete Access"/>
    <x v="348"/>
    <x v="1"/>
    <x v="5"/>
    <d v="1900-01-18T00:00:00"/>
    <n v="43"/>
    <x v="4"/>
    <x v="3"/>
  </r>
  <r>
    <x v="666"/>
    <n v="-90.99"/>
    <x v="989"/>
    <n v="7424.99"/>
    <s v="Complete Access"/>
    <x v="332"/>
    <x v="1"/>
    <x v="5"/>
    <d v="1900-01-18T00:00:00"/>
    <n v="43"/>
    <x v="4"/>
    <x v="3"/>
  </r>
  <r>
    <x v="667"/>
    <n v="-20.059999999999999"/>
    <x v="1445"/>
    <n v="7790.61"/>
    <s v="Complete Access"/>
    <x v="401"/>
    <x v="20"/>
    <x v="63"/>
    <d v="1900-01-17T00:00:00"/>
    <n v="43"/>
    <x v="4"/>
    <x v="3"/>
  </r>
  <r>
    <x v="667"/>
    <n v="-22.97"/>
    <x v="1446"/>
    <n v="7810.67"/>
    <s v="Complete Access"/>
    <x v="8"/>
    <x v="1"/>
    <x v="5"/>
    <d v="1900-01-17T00:00:00"/>
    <n v="43"/>
    <x v="4"/>
    <x v="3"/>
  </r>
  <r>
    <x v="667"/>
    <n v="-26.3"/>
    <x v="1447"/>
    <n v="7833.64"/>
    <s v="Complete Access"/>
    <x v="8"/>
    <x v="1"/>
    <x v="5"/>
    <d v="1900-01-17T00:00:00"/>
    <n v="43"/>
    <x v="4"/>
    <x v="3"/>
  </r>
  <r>
    <x v="667"/>
    <n v="-36.68"/>
    <x v="1448"/>
    <n v="7571.73"/>
    <s v="Complete Access"/>
    <x v="8"/>
    <x v="1"/>
    <x v="5"/>
    <d v="1900-01-17T00:00:00"/>
    <n v="43"/>
    <x v="4"/>
    <x v="3"/>
  </r>
  <r>
    <x v="667"/>
    <n v="-6.15"/>
    <x v="1449"/>
    <n v="7859.94"/>
    <s v="Complete Access"/>
    <x v="285"/>
    <x v="5"/>
    <x v="8"/>
    <d v="1900-01-17T00:00:00"/>
    <n v="43"/>
    <x v="4"/>
    <x v="3"/>
  </r>
  <r>
    <x v="667"/>
    <n v="-5.99"/>
    <x v="1450"/>
    <n v="7784.62"/>
    <s v="Complete Access"/>
    <x v="352"/>
    <x v="4"/>
    <x v="67"/>
    <d v="1900-01-17T00:00:00"/>
    <n v="43"/>
    <x v="4"/>
    <x v="3"/>
  </r>
  <r>
    <x v="667"/>
    <n v="-15.64"/>
    <x v="1451"/>
    <n v="7612.98"/>
    <s v="Complete Access"/>
    <x v="351"/>
    <x v="1"/>
    <x v="5"/>
    <d v="1900-01-17T00:00:00"/>
    <n v="43"/>
    <x v="4"/>
    <x v="3"/>
  </r>
  <r>
    <x v="667"/>
    <n v="-156"/>
    <x v="1452"/>
    <n v="7628.62"/>
    <s v="Complete Access"/>
    <x v="50"/>
    <x v="4"/>
    <x v="25"/>
    <d v="1900-01-17T00:00:00"/>
    <n v="43"/>
    <x v="4"/>
    <x v="3"/>
  </r>
  <r>
    <x v="667"/>
    <n v="-4.57"/>
    <x v="1453"/>
    <n v="7608.41"/>
    <s v="Complete Access"/>
    <x v="402"/>
    <x v="1"/>
    <x v="5"/>
    <d v="1900-01-17T00:00:00"/>
    <n v="43"/>
    <x v="4"/>
    <x v="3"/>
  </r>
  <r>
    <x v="667"/>
    <n v="-13.1"/>
    <x v="1454"/>
    <n v="7558.63"/>
    <s v="Complete Access"/>
    <x v="1"/>
    <x v="1"/>
    <x v="1"/>
    <d v="1900-01-17T00:00:00"/>
    <n v="43"/>
    <x v="4"/>
    <x v="3"/>
  </r>
  <r>
    <x v="668"/>
    <n v="-30.96"/>
    <x v="1455"/>
    <n v="7866.09"/>
    <s v="Complete Access"/>
    <x v="403"/>
    <x v="1"/>
    <x v="5"/>
    <d v="1900-01-15T00:00:00"/>
    <n v="43"/>
    <x v="4"/>
    <x v="3"/>
  </r>
  <r>
    <x v="669"/>
    <n v="-28.96"/>
    <x v="1456"/>
    <n v="7915.22"/>
    <s v="Complete Access"/>
    <x v="8"/>
    <x v="1"/>
    <x v="5"/>
    <d v="1900-01-14T00:00:00"/>
    <n v="42"/>
    <x v="4"/>
    <x v="3"/>
  </r>
  <r>
    <x v="669"/>
    <n v="-9.65"/>
    <x v="1457"/>
    <n v="7926.35"/>
    <s v="Complete Access"/>
    <x v="285"/>
    <x v="5"/>
    <x v="8"/>
    <d v="1900-01-14T00:00:00"/>
    <n v="42"/>
    <x v="4"/>
    <x v="3"/>
  </r>
  <r>
    <x v="669"/>
    <n v="17.829999999999998"/>
    <x v="1458"/>
    <n v="7944.18"/>
    <s v="Complete Access"/>
    <x v="74"/>
    <x v="4"/>
    <x v="10"/>
    <d v="1900-01-14T00:00:00"/>
    <n v="42"/>
    <x v="4"/>
    <x v="3"/>
  </r>
  <r>
    <x v="669"/>
    <n v="-17.64"/>
    <x v="1459"/>
    <n v="7897.58"/>
    <s v="Complete Access"/>
    <x v="74"/>
    <x v="4"/>
    <x v="10"/>
    <d v="1900-01-14T00:00:00"/>
    <n v="42"/>
    <x v="4"/>
    <x v="3"/>
  </r>
  <r>
    <x v="669"/>
    <n v="-0.53"/>
    <x v="1460"/>
    <n v="7897.05"/>
    <s v="Complete Access"/>
    <x v="10"/>
    <x v="0"/>
    <x v="0"/>
    <d v="1900-01-14T00:00:00"/>
    <n v="42"/>
    <x v="4"/>
    <x v="3"/>
  </r>
  <r>
    <x v="670"/>
    <n v="-9.65"/>
    <x v="1461"/>
    <n v="7949.2"/>
    <s v="Complete Access"/>
    <x v="285"/>
    <x v="5"/>
    <x v="8"/>
    <d v="1900-01-13T00:00:00"/>
    <n v="42"/>
    <x v="4"/>
    <x v="3"/>
  </r>
  <r>
    <x v="670"/>
    <n v="-13.2"/>
    <x v="1462"/>
    <n v="7936"/>
    <s v="Complete Access"/>
    <x v="16"/>
    <x v="1"/>
    <x v="5"/>
    <d v="1900-01-13T00:00:00"/>
    <n v="42"/>
    <x v="4"/>
    <x v="3"/>
  </r>
  <r>
    <x v="671"/>
    <n v="-500"/>
    <x v="656"/>
    <n v="7958.85"/>
    <s v="Complete Access"/>
    <x v="13"/>
    <x v="0"/>
    <x v="0"/>
    <d v="1900-01-12T00:00:00"/>
    <n v="42"/>
    <x v="4"/>
    <x v="3"/>
  </r>
  <r>
    <x v="671"/>
    <n v="2379.48"/>
    <x v="1463"/>
    <n v="8458.85"/>
    <s v="Complete Access"/>
    <x v="14"/>
    <x v="6"/>
    <x v="9"/>
    <d v="1900-01-12T00:00:00"/>
    <n v="42"/>
    <x v="4"/>
    <x v="3"/>
  </r>
  <r>
    <x v="672"/>
    <n v="-9.65"/>
    <x v="1464"/>
    <n v="6117.21"/>
    <s v="Complete Access"/>
    <x v="285"/>
    <x v="5"/>
    <x v="8"/>
    <d v="1900-01-11T00:00:00"/>
    <n v="42"/>
    <x v="4"/>
    <x v="3"/>
  </r>
  <r>
    <x v="672"/>
    <n v="-7.08"/>
    <x v="1108"/>
    <n v="6079.37"/>
    <s v="Complete Access"/>
    <x v="348"/>
    <x v="1"/>
    <x v="5"/>
    <d v="1900-01-11T00:00:00"/>
    <n v="42"/>
    <x v="4"/>
    <x v="3"/>
  </r>
  <r>
    <x v="672"/>
    <n v="-6.99"/>
    <x v="1465"/>
    <n v="6110.22"/>
    <s v="Complete Access"/>
    <x v="222"/>
    <x v="11"/>
    <x v="14"/>
    <d v="1900-01-11T00:00:00"/>
    <n v="42"/>
    <x v="4"/>
    <x v="3"/>
  </r>
  <r>
    <x v="672"/>
    <n v="-23.77"/>
    <x v="1466"/>
    <n v="6086.45"/>
    <s v="Complete Access"/>
    <x v="1"/>
    <x v="1"/>
    <x v="1"/>
    <d v="1900-01-11T00:00:00"/>
    <n v="42"/>
    <x v="4"/>
    <x v="3"/>
  </r>
  <r>
    <x v="673"/>
    <n v="-44.83"/>
    <x v="1467"/>
    <n v="6196.39"/>
    <s v="Complete Access"/>
    <x v="8"/>
    <x v="1"/>
    <x v="5"/>
    <d v="1900-01-10T00:00:00"/>
    <n v="42"/>
    <x v="4"/>
    <x v="3"/>
  </r>
  <r>
    <x v="673"/>
    <n v="-8.49"/>
    <x v="1108"/>
    <n v="6130.16"/>
    <s v="Complete Access"/>
    <x v="348"/>
    <x v="1"/>
    <x v="5"/>
    <d v="1900-01-10T00:00:00"/>
    <n v="42"/>
    <x v="4"/>
    <x v="3"/>
  </r>
  <r>
    <x v="673"/>
    <n v="-3.3"/>
    <x v="659"/>
    <n v="6126.86"/>
    <s v="Complete Access"/>
    <x v="220"/>
    <x v="1"/>
    <x v="5"/>
    <d v="1900-01-10T00:00:00"/>
    <n v="42"/>
    <x v="4"/>
    <x v="3"/>
  </r>
  <r>
    <x v="673"/>
    <n v="-17.16"/>
    <x v="1468"/>
    <n v="6139.16"/>
    <s v="Complete Access"/>
    <x v="74"/>
    <x v="4"/>
    <x v="10"/>
    <d v="1900-01-10T00:00:00"/>
    <n v="42"/>
    <x v="4"/>
    <x v="3"/>
  </r>
  <r>
    <x v="673"/>
    <n v="-0.51"/>
    <x v="1469"/>
    <n v="6138.65"/>
    <s v="Complete Access"/>
    <x v="10"/>
    <x v="0"/>
    <x v="0"/>
    <d v="1900-01-10T00:00:00"/>
    <n v="42"/>
    <x v="4"/>
    <x v="3"/>
  </r>
  <r>
    <x v="673"/>
    <n v="-40.07"/>
    <x v="1470"/>
    <n v="6156.32"/>
    <s v="Complete Access"/>
    <x v="64"/>
    <x v="9"/>
    <x v="12"/>
    <d v="1900-01-10T00:00:00"/>
    <n v="42"/>
    <x v="4"/>
    <x v="3"/>
  </r>
  <r>
    <x v="674"/>
    <n v="-13.14"/>
    <x v="1108"/>
    <n v="6241.22"/>
    <s v="Complete Access"/>
    <x v="348"/>
    <x v="1"/>
    <x v="5"/>
    <d v="1900-01-09T00:00:00"/>
    <n v="42"/>
    <x v="4"/>
    <x v="3"/>
  </r>
  <r>
    <x v="675"/>
    <n v="-100"/>
    <x v="1471"/>
    <n v="6257.16"/>
    <s v="Complete Access"/>
    <x v="130"/>
    <x v="0"/>
    <x v="0"/>
    <d v="1900-01-07T00:00:00"/>
    <n v="41"/>
    <x v="4"/>
    <x v="3"/>
  </r>
  <r>
    <x v="675"/>
    <n v="-50"/>
    <x v="782"/>
    <n v="6357.16"/>
    <s v="Complete Access"/>
    <x v="130"/>
    <x v="0"/>
    <x v="0"/>
    <d v="1900-01-07T00:00:00"/>
    <n v="41"/>
    <x v="4"/>
    <x v="3"/>
  </r>
  <r>
    <x v="675"/>
    <n v="-2.8"/>
    <x v="72"/>
    <n v="6254.36"/>
    <s v="Complete Access"/>
    <x v="37"/>
    <x v="0"/>
    <x v="0"/>
    <d v="1900-01-07T00:00:00"/>
    <n v="41"/>
    <x v="4"/>
    <x v="3"/>
  </r>
  <r>
    <x v="676"/>
    <n v="-100"/>
    <x v="782"/>
    <n v="6407.16"/>
    <s v="Complete Access"/>
    <x v="130"/>
    <x v="0"/>
    <x v="0"/>
    <d v="1900-01-06T00:00:00"/>
    <n v="41"/>
    <x v="4"/>
    <x v="3"/>
  </r>
  <r>
    <x v="677"/>
    <n v="-22.99"/>
    <x v="1472"/>
    <n v="6603.47"/>
    <s v="Complete Access"/>
    <x v="8"/>
    <x v="1"/>
    <x v="5"/>
    <d v="1900-01-05T00:00:00"/>
    <n v="41"/>
    <x v="4"/>
    <x v="3"/>
  </r>
  <r>
    <x v="677"/>
    <n v="-8.4700000000000006"/>
    <x v="1473"/>
    <n v="6626.46"/>
    <s v="Complete Access"/>
    <x v="285"/>
    <x v="5"/>
    <x v="8"/>
    <d v="1900-01-05T00:00:00"/>
    <n v="41"/>
    <x v="4"/>
    <x v="3"/>
  </r>
  <r>
    <x v="677"/>
    <n v="-96.31"/>
    <x v="1474"/>
    <n v="6507.16"/>
    <s v="Complete Access"/>
    <x v="1"/>
    <x v="1"/>
    <x v="1"/>
    <d v="1900-01-05T00:00:00"/>
    <n v="41"/>
    <x v="4"/>
    <x v="3"/>
  </r>
  <r>
    <x v="678"/>
    <n v="-22.79"/>
    <x v="1472"/>
    <n v="6634.93"/>
    <s v="Complete Access"/>
    <x v="8"/>
    <x v="1"/>
    <x v="5"/>
    <d v="1900-01-04T00:00:00"/>
    <n v="41"/>
    <x v="4"/>
    <x v="3"/>
  </r>
  <r>
    <x v="679"/>
    <n v="-26.09"/>
    <x v="1475"/>
    <n v="6850.49"/>
    <s v="Complete Access"/>
    <x v="8"/>
    <x v="1"/>
    <x v="5"/>
    <d v="1900-01-03T00:00:00"/>
    <n v="41"/>
    <x v="4"/>
    <x v="3"/>
  </r>
  <r>
    <x v="679"/>
    <n v="-39.19"/>
    <x v="1475"/>
    <n v="6876.58"/>
    <s v="Complete Access"/>
    <x v="8"/>
    <x v="1"/>
    <x v="5"/>
    <d v="1900-01-03T00:00:00"/>
    <n v="41"/>
    <x v="4"/>
    <x v="3"/>
  </r>
  <r>
    <x v="679"/>
    <n v="-41.1"/>
    <x v="1476"/>
    <n v="6915.77"/>
    <s v="Complete Access"/>
    <x v="104"/>
    <x v="1"/>
    <x v="5"/>
    <d v="1900-01-03T00:00:00"/>
    <n v="41"/>
    <x v="4"/>
    <x v="3"/>
  </r>
  <r>
    <x v="679"/>
    <n v="-180.55"/>
    <x v="1477"/>
    <n v="6657.72"/>
    <s v="Complete Access"/>
    <x v="76"/>
    <x v="2"/>
    <x v="2"/>
    <d v="1900-01-03T00:00:00"/>
    <n v="41"/>
    <x v="4"/>
    <x v="3"/>
  </r>
  <r>
    <x v="679"/>
    <n v="-4.24"/>
    <x v="436"/>
    <n v="6838.27"/>
    <s v="Complete Access"/>
    <x v="186"/>
    <x v="1"/>
    <x v="5"/>
    <d v="1900-01-03T00:00:00"/>
    <n v="41"/>
    <x v="4"/>
    <x v="3"/>
  </r>
  <r>
    <x v="679"/>
    <n v="-7.98"/>
    <x v="436"/>
    <n v="6842.51"/>
    <s v="Complete Access"/>
    <x v="186"/>
    <x v="1"/>
    <x v="5"/>
    <d v="1900-01-03T00:00:00"/>
    <n v="41"/>
    <x v="4"/>
    <x v="3"/>
  </r>
  <r>
    <x v="680"/>
    <n v="-9.65"/>
    <x v="1478"/>
    <n v="6977.82"/>
    <s v="Complete Access"/>
    <x v="285"/>
    <x v="5"/>
    <x v="8"/>
    <d v="1900-01-29T00:00:00"/>
    <n v="40"/>
    <x v="5"/>
    <x v="3"/>
  </r>
  <r>
    <x v="680"/>
    <n v="-20.95"/>
    <x v="96"/>
    <n v="6956.87"/>
    <s v="Complete Access"/>
    <x v="47"/>
    <x v="1"/>
    <x v="5"/>
    <d v="1900-01-29T00:00:00"/>
    <n v="40"/>
    <x v="5"/>
    <x v="3"/>
  </r>
  <r>
    <x v="681"/>
    <n v="-500"/>
    <x v="656"/>
    <n v="6996.27"/>
    <s v="Complete Access"/>
    <x v="13"/>
    <x v="0"/>
    <x v="0"/>
    <d v="1900-01-28T00:00:00"/>
    <n v="40"/>
    <x v="5"/>
    <x v="3"/>
  </r>
  <r>
    <x v="681"/>
    <n v="2727.1"/>
    <x v="1479"/>
    <n v="7496.27"/>
    <s v="Complete Access"/>
    <x v="14"/>
    <x v="6"/>
    <x v="9"/>
    <d v="1900-01-28T00:00:00"/>
    <n v="40"/>
    <x v="5"/>
    <x v="3"/>
  </r>
  <r>
    <x v="681"/>
    <n v="-8.8000000000000007"/>
    <x v="1480"/>
    <n v="6987.47"/>
    <s v="Complete Access"/>
    <x v="277"/>
    <x v="8"/>
    <x v="29"/>
    <d v="1900-01-28T00:00:00"/>
    <n v="40"/>
    <x v="5"/>
    <x v="3"/>
  </r>
  <r>
    <x v="682"/>
    <n v="-23.89"/>
    <x v="1481"/>
    <n v="4785.67"/>
    <s v="Complete Access"/>
    <x v="8"/>
    <x v="1"/>
    <x v="5"/>
    <d v="1900-01-27T00:00:00"/>
    <n v="40"/>
    <x v="5"/>
    <x v="3"/>
  </r>
  <r>
    <x v="682"/>
    <n v="-9.65"/>
    <x v="1482"/>
    <n v="4846.42"/>
    <s v="Complete Access"/>
    <x v="285"/>
    <x v="5"/>
    <x v="8"/>
    <d v="1900-01-27T00:00:00"/>
    <n v="40"/>
    <x v="5"/>
    <x v="3"/>
  </r>
  <r>
    <x v="682"/>
    <n v="-3.3"/>
    <x v="1483"/>
    <n v="4769.17"/>
    <s v="Complete Access"/>
    <x v="220"/>
    <x v="1"/>
    <x v="5"/>
    <d v="1900-01-27T00:00:00"/>
    <n v="40"/>
    <x v="5"/>
    <x v="3"/>
  </r>
  <r>
    <x v="682"/>
    <n v="-13.2"/>
    <x v="1484"/>
    <n v="4772.47"/>
    <s v="Complete Access"/>
    <x v="16"/>
    <x v="1"/>
    <x v="5"/>
    <d v="1900-01-27T00:00:00"/>
    <n v="40"/>
    <x v="5"/>
    <x v="3"/>
  </r>
  <r>
    <x v="682"/>
    <n v="-36.86"/>
    <x v="1485"/>
    <n v="4809.5600000000004"/>
    <s v="Complete Access"/>
    <x v="237"/>
    <x v="15"/>
    <x v="34"/>
    <d v="1900-01-27T00:00:00"/>
    <n v="40"/>
    <x v="5"/>
    <x v="3"/>
  </r>
  <r>
    <x v="683"/>
    <n v="-5"/>
    <x v="1345"/>
    <n v="4862.05"/>
    <s v="Complete Access"/>
    <x v="383"/>
    <x v="1"/>
    <x v="5"/>
    <d v="1900-01-26T00:00:00"/>
    <n v="40"/>
    <x v="5"/>
    <x v="3"/>
  </r>
  <r>
    <x v="683"/>
    <n v="-32.33"/>
    <x v="1486"/>
    <n v="5036.05"/>
    <s v="Complete Access"/>
    <x v="8"/>
    <x v="1"/>
    <x v="5"/>
    <d v="1900-01-26T00:00:00"/>
    <n v="40"/>
    <x v="5"/>
    <x v="3"/>
  </r>
  <r>
    <x v="683"/>
    <n v="-169"/>
    <x v="1487"/>
    <n v="4867.05"/>
    <s v="Complete Access"/>
    <x v="289"/>
    <x v="3"/>
    <x v="15"/>
    <d v="1900-01-26T00:00:00"/>
    <n v="40"/>
    <x v="5"/>
    <x v="3"/>
  </r>
  <r>
    <x v="683"/>
    <n v="214"/>
    <x v="1488"/>
    <n v="5070.07"/>
    <s v="Complete Access"/>
    <x v="404"/>
    <x v="0"/>
    <x v="0"/>
    <d v="1900-01-26T00:00:00"/>
    <n v="40"/>
    <x v="5"/>
    <x v="3"/>
  </r>
  <r>
    <x v="683"/>
    <n v="-5.98"/>
    <x v="1489"/>
    <n v="4856.07"/>
    <s v="Complete Access"/>
    <x v="215"/>
    <x v="1"/>
    <x v="1"/>
    <d v="1900-01-26T00:00:00"/>
    <n v="40"/>
    <x v="5"/>
    <x v="3"/>
  </r>
  <r>
    <x v="683"/>
    <n v="150"/>
    <x v="1490"/>
    <n v="4856.07"/>
    <s v="Complete Access"/>
    <x v="36"/>
    <x v="0"/>
    <x v="0"/>
    <d v="1900-01-26T00:00:00"/>
    <n v="40"/>
    <x v="5"/>
    <x v="3"/>
  </r>
  <r>
    <x v="683"/>
    <n v="-214"/>
    <x v="1491"/>
    <n v="4856.07"/>
    <s v="Complete Access"/>
    <x v="265"/>
    <x v="8"/>
    <x v="22"/>
    <d v="1900-01-26T00:00:00"/>
    <n v="40"/>
    <x v="5"/>
    <x v="3"/>
  </r>
  <r>
    <x v="683"/>
    <n v="-150"/>
    <x v="1492"/>
    <n v="4706.07"/>
    <s v="Complete Access"/>
    <x v="265"/>
    <x v="8"/>
    <x v="22"/>
    <d v="1900-01-26T00:00:00"/>
    <n v="40"/>
    <x v="5"/>
    <x v="3"/>
  </r>
  <r>
    <x v="684"/>
    <n v="-250"/>
    <x v="1493"/>
    <n v="5068.38"/>
    <s v="Complete Access"/>
    <x v="0"/>
    <x v="0"/>
    <x v="0"/>
    <d v="1900-01-23T00:00:00"/>
    <n v="39"/>
    <x v="5"/>
    <x v="3"/>
  </r>
  <r>
    <x v="684"/>
    <n v="-28.5"/>
    <x v="1494"/>
    <n v="5398.37"/>
    <s v="Complete Access"/>
    <x v="405"/>
    <x v="8"/>
    <x v="29"/>
    <d v="1900-01-23T00:00:00"/>
    <n v="39"/>
    <x v="5"/>
    <x v="3"/>
  </r>
  <r>
    <x v="684"/>
    <n v="-244"/>
    <x v="1495"/>
    <n v="5426.87"/>
    <s v="Complete Access"/>
    <x v="406"/>
    <x v="8"/>
    <x v="22"/>
    <d v="1900-01-23T00:00:00"/>
    <n v="39"/>
    <x v="5"/>
    <x v="3"/>
  </r>
  <r>
    <x v="684"/>
    <n v="-13.75"/>
    <x v="1496"/>
    <n v="5670.87"/>
    <s v="Complete Access"/>
    <x v="47"/>
    <x v="1"/>
    <x v="5"/>
    <d v="1900-01-23T00:00:00"/>
    <n v="39"/>
    <x v="5"/>
    <x v="3"/>
  </r>
  <r>
    <x v="684"/>
    <n v="-79.989999999999995"/>
    <x v="1497"/>
    <n v="5318.38"/>
    <s v="Complete Access"/>
    <x v="407"/>
    <x v="1"/>
    <x v="23"/>
    <d v="1900-01-23T00:00:00"/>
    <n v="39"/>
    <x v="5"/>
    <x v="3"/>
  </r>
  <r>
    <x v="684"/>
    <n v="-214"/>
    <x v="1498"/>
    <n v="5684.62"/>
    <s v="Complete Access"/>
    <x v="13"/>
    <x v="0"/>
    <x v="0"/>
    <d v="1900-01-23T00:00:00"/>
    <n v="39"/>
    <x v="5"/>
    <x v="3"/>
  </r>
  <r>
    <x v="685"/>
    <n v="-50"/>
    <x v="1423"/>
    <n v="5898.62"/>
    <s v="Complete Access"/>
    <x v="0"/>
    <x v="0"/>
    <x v="0"/>
    <d v="1900-01-22T00:00:00"/>
    <n v="39"/>
    <x v="5"/>
    <x v="3"/>
  </r>
  <r>
    <x v="686"/>
    <n v="-70.3"/>
    <x v="1499"/>
    <n v="5948.62"/>
    <s v="Complete Access"/>
    <x v="1"/>
    <x v="1"/>
    <x v="1"/>
    <d v="1900-01-20T00:00:00"/>
    <n v="39"/>
    <x v="5"/>
    <x v="3"/>
  </r>
  <r>
    <x v="687"/>
    <n v="-35.44"/>
    <x v="1500"/>
    <n v="6018.92"/>
    <s v="Complete Access"/>
    <x v="8"/>
    <x v="1"/>
    <x v="5"/>
    <d v="1900-01-19T00:00:00"/>
    <n v="39"/>
    <x v="5"/>
    <x v="3"/>
  </r>
  <r>
    <x v="688"/>
    <n v="-15"/>
    <x v="1385"/>
    <n v="6054.36"/>
    <s v="Complete Access"/>
    <x v="0"/>
    <x v="0"/>
    <x v="0"/>
    <d v="1900-01-17T00:00:00"/>
    <n v="39"/>
    <x v="5"/>
    <x v="3"/>
  </r>
  <r>
    <x v="689"/>
    <n v="-5.99"/>
    <x v="1501"/>
    <n v="6069.36"/>
    <s v="Complete Access"/>
    <x v="352"/>
    <x v="4"/>
    <x v="67"/>
    <d v="1900-01-16T00:00:00"/>
    <n v="38"/>
    <x v="5"/>
    <x v="3"/>
  </r>
  <r>
    <x v="690"/>
    <n v="-9.65"/>
    <x v="1502"/>
    <n v="6174.85"/>
    <s v="Complete Access"/>
    <x v="285"/>
    <x v="5"/>
    <x v="8"/>
    <d v="1900-01-15T00:00:00"/>
    <n v="38"/>
    <x v="5"/>
    <x v="3"/>
  </r>
  <r>
    <x v="690"/>
    <n v="-69"/>
    <x v="1503"/>
    <n v="6105.85"/>
    <s v="Complete Access"/>
    <x v="207"/>
    <x v="7"/>
    <x v="11"/>
    <d v="1900-01-15T00:00:00"/>
    <n v="38"/>
    <x v="5"/>
    <x v="3"/>
  </r>
  <r>
    <x v="690"/>
    <n v="-13.5"/>
    <x v="1504"/>
    <n v="6092.35"/>
    <s v="Complete Access"/>
    <x v="277"/>
    <x v="8"/>
    <x v="29"/>
    <d v="1900-01-15T00:00:00"/>
    <n v="38"/>
    <x v="5"/>
    <x v="3"/>
  </r>
  <r>
    <x v="690"/>
    <n v="-17"/>
    <x v="1385"/>
    <n v="6075.35"/>
    <s v="Complete Access"/>
    <x v="0"/>
    <x v="0"/>
    <x v="0"/>
    <d v="1900-01-15T00:00:00"/>
    <n v="38"/>
    <x v="5"/>
    <x v="3"/>
  </r>
  <r>
    <x v="691"/>
    <n v="-500"/>
    <x v="656"/>
    <n v="6208.15"/>
    <s v="Complete Access"/>
    <x v="13"/>
    <x v="0"/>
    <x v="0"/>
    <d v="1900-01-14T00:00:00"/>
    <n v="38"/>
    <x v="5"/>
    <x v="3"/>
  </r>
  <r>
    <x v="691"/>
    <n v="-9.65"/>
    <x v="1505"/>
    <n v="6198.5"/>
    <s v="Complete Access"/>
    <x v="285"/>
    <x v="5"/>
    <x v="8"/>
    <d v="1900-01-14T00:00:00"/>
    <n v="38"/>
    <x v="5"/>
    <x v="3"/>
  </r>
  <r>
    <x v="691"/>
    <n v="-14"/>
    <x v="1506"/>
    <n v="6184.5"/>
    <s v="Complete Access"/>
    <x v="242"/>
    <x v="1"/>
    <x v="5"/>
    <d v="1900-01-14T00:00:00"/>
    <n v="38"/>
    <x v="5"/>
    <x v="3"/>
  </r>
  <r>
    <x v="691"/>
    <n v="2379.48"/>
    <x v="352"/>
    <n v="6708.15"/>
    <s v="Complete Access"/>
    <x v="14"/>
    <x v="6"/>
    <x v="9"/>
    <d v="1900-01-14T00:00:00"/>
    <n v="38"/>
    <x v="5"/>
    <x v="3"/>
  </r>
  <r>
    <x v="692"/>
    <n v="-58.17"/>
    <x v="1507"/>
    <n v="4328.67"/>
    <s v="Complete Access"/>
    <x v="1"/>
    <x v="1"/>
    <x v="1"/>
    <d v="1900-01-13T00:00:00"/>
    <n v="38"/>
    <x v="5"/>
    <x v="3"/>
  </r>
  <r>
    <x v="693"/>
    <n v="-26.09"/>
    <x v="1508"/>
    <n v="4432.34"/>
    <s v="Complete Access"/>
    <x v="8"/>
    <x v="1"/>
    <x v="5"/>
    <d v="1900-01-12T00:00:00"/>
    <n v="38"/>
    <x v="5"/>
    <x v="3"/>
  </r>
  <r>
    <x v="693"/>
    <n v="-29.05"/>
    <x v="1509"/>
    <n v="4403.29"/>
    <s v="Complete Access"/>
    <x v="1"/>
    <x v="1"/>
    <x v="1"/>
    <d v="1900-01-12T00:00:00"/>
    <n v="38"/>
    <x v="5"/>
    <x v="3"/>
  </r>
  <r>
    <x v="693"/>
    <n v="-16.45"/>
    <x v="1510"/>
    <n v="4386.84"/>
    <s v="Complete Access"/>
    <x v="367"/>
    <x v="4"/>
    <x v="7"/>
    <d v="1900-01-12T00:00:00"/>
    <n v="38"/>
    <x v="5"/>
    <x v="3"/>
  </r>
  <r>
    <x v="694"/>
    <n v="-18.170000000000002"/>
    <x v="1130"/>
    <n v="4796.43"/>
    <s v="Complete Access"/>
    <x v="351"/>
    <x v="1"/>
    <x v="5"/>
    <d v="1900-01-09T00:00:00"/>
    <n v="37"/>
    <x v="5"/>
    <x v="3"/>
  </r>
  <r>
    <x v="694"/>
    <n v="-303"/>
    <x v="112"/>
    <n v="4493.43"/>
    <s v="Complete Access"/>
    <x v="50"/>
    <x v="4"/>
    <x v="25"/>
    <d v="1900-01-09T00:00:00"/>
    <n v="37"/>
    <x v="5"/>
    <x v="3"/>
  </r>
  <r>
    <x v="694"/>
    <n v="-35"/>
    <x v="1511"/>
    <n v="4458.43"/>
    <s v="Complete Access"/>
    <x v="21"/>
    <x v="10"/>
    <x v="13"/>
    <d v="1900-01-09T00:00:00"/>
    <n v="37"/>
    <x v="5"/>
    <x v="3"/>
  </r>
  <r>
    <x v="695"/>
    <n v="-9.65"/>
    <x v="1512"/>
    <n v="4814.6000000000004"/>
    <s v="Complete Access"/>
    <x v="285"/>
    <x v="5"/>
    <x v="8"/>
    <d v="1900-01-07T00:00:00"/>
    <n v="37"/>
    <x v="5"/>
    <x v="3"/>
  </r>
  <r>
    <x v="696"/>
    <n v="-9.65"/>
    <x v="1513"/>
    <n v="5683.52"/>
    <s v="Complete Access"/>
    <x v="285"/>
    <x v="5"/>
    <x v="8"/>
    <d v="1900-01-06T00:00:00"/>
    <n v="37"/>
    <x v="5"/>
    <x v="3"/>
  </r>
  <r>
    <x v="696"/>
    <n v="-13.2"/>
    <x v="1514"/>
    <n v="4858.58"/>
    <s v="Complete Access"/>
    <x v="16"/>
    <x v="1"/>
    <x v="5"/>
    <d v="1900-01-06T00:00:00"/>
    <n v="37"/>
    <x v="5"/>
    <x v="3"/>
  </r>
  <r>
    <x v="696"/>
    <n v="-31.82"/>
    <x v="1515"/>
    <n v="4880.78"/>
    <s v="Complete Access"/>
    <x v="237"/>
    <x v="15"/>
    <x v="34"/>
    <d v="1900-01-06T00:00:00"/>
    <n v="37"/>
    <x v="5"/>
    <x v="3"/>
  </r>
  <r>
    <x v="696"/>
    <n v="-34.33"/>
    <x v="1516"/>
    <n v="4824.25"/>
    <s v="Complete Access"/>
    <x v="1"/>
    <x v="1"/>
    <x v="1"/>
    <d v="1900-01-06T00:00:00"/>
    <n v="37"/>
    <x v="5"/>
    <x v="3"/>
  </r>
  <r>
    <x v="696"/>
    <n v="-770.92"/>
    <x v="1517"/>
    <n v="4912.6000000000004"/>
    <s v="Complete Access"/>
    <x v="408"/>
    <x v="14"/>
    <x v="66"/>
    <d v="1900-01-06T00:00:00"/>
    <n v="37"/>
    <x v="5"/>
    <x v="3"/>
  </r>
  <r>
    <x v="696"/>
    <n v="-9"/>
    <x v="1518"/>
    <n v="4871.78"/>
    <s v="Complete Access"/>
    <x v="409"/>
    <x v="8"/>
    <x v="29"/>
    <d v="1900-01-06T00:00:00"/>
    <n v="37"/>
    <x v="5"/>
    <x v="3"/>
  </r>
  <r>
    <x v="697"/>
    <n v="-3649"/>
    <x v="1519"/>
    <n v="5715.79"/>
    <s v="Complete Access"/>
    <x v="50"/>
    <x v="4"/>
    <x v="25"/>
    <d v="1900-01-05T00:00:00"/>
    <n v="37"/>
    <x v="5"/>
    <x v="3"/>
  </r>
  <r>
    <x v="697"/>
    <n v="-22.62"/>
    <x v="436"/>
    <n v="5693.17"/>
    <s v="Complete Access"/>
    <x v="186"/>
    <x v="1"/>
    <x v="5"/>
    <d v="1900-01-05T00:00:00"/>
    <n v="37"/>
    <x v="5"/>
    <x v="3"/>
  </r>
  <r>
    <x v="698"/>
    <n v="-41.7"/>
    <x v="1520"/>
    <n v="9364.7900000000009"/>
    <s v="Complete Access"/>
    <x v="410"/>
    <x v="8"/>
    <x v="29"/>
    <d v="1900-01-04T00:00:00"/>
    <n v="37"/>
    <x v="5"/>
    <x v="3"/>
  </r>
  <r>
    <x v="699"/>
    <n v="-9.65"/>
    <x v="1521"/>
    <n v="9484.91"/>
    <s v="Complete Access"/>
    <x v="285"/>
    <x v="5"/>
    <x v="8"/>
    <d v="1900-01-01T00:00:00"/>
    <n v="36"/>
    <x v="5"/>
    <x v="3"/>
  </r>
  <r>
    <x v="699"/>
    <n v="-14.72"/>
    <x v="1522"/>
    <n v="9470.19"/>
    <s v="Complete Access"/>
    <x v="16"/>
    <x v="1"/>
    <x v="5"/>
    <d v="1900-01-01T00:00:00"/>
    <n v="36"/>
    <x v="5"/>
    <x v="3"/>
  </r>
  <r>
    <x v="699"/>
    <n v="-63.7"/>
    <x v="1523"/>
    <n v="9406.49"/>
    <s v="Complete Access"/>
    <x v="1"/>
    <x v="1"/>
    <x v="1"/>
    <d v="1900-01-01T00:00:00"/>
    <n v="36"/>
    <x v="5"/>
    <x v="3"/>
  </r>
  <r>
    <x v="700"/>
    <n v="-500"/>
    <x v="656"/>
    <n v="9749.64"/>
    <s v="Complete Access"/>
    <x v="13"/>
    <x v="0"/>
    <x v="0"/>
    <d v="1899-12-31T00:00:00"/>
    <n v="36"/>
    <x v="5"/>
    <x v="3"/>
  </r>
  <r>
    <x v="700"/>
    <n v="-9.65"/>
    <x v="1524"/>
    <n v="9739.99"/>
    <s v="Complete Access"/>
    <x v="285"/>
    <x v="5"/>
    <x v="8"/>
    <d v="1899-12-31T00:00:00"/>
    <n v="36"/>
    <x v="5"/>
    <x v="3"/>
  </r>
  <r>
    <x v="700"/>
    <n v="-14"/>
    <x v="1525"/>
    <n v="9675.11"/>
    <s v="Complete Access"/>
    <x v="242"/>
    <x v="1"/>
    <x v="5"/>
    <d v="1899-12-31T00:00:00"/>
    <n v="36"/>
    <x v="5"/>
    <x v="3"/>
  </r>
  <r>
    <x v="700"/>
    <n v="2325.65"/>
    <x v="1526"/>
    <n v="10249.64"/>
    <s v="Complete Access"/>
    <x v="14"/>
    <x v="6"/>
    <x v="9"/>
    <d v="1899-12-31T00:00:00"/>
    <n v="36"/>
    <x v="5"/>
    <x v="3"/>
  </r>
  <r>
    <x v="700"/>
    <n v="-180.55"/>
    <x v="1527"/>
    <n v="9494.56"/>
    <s v="Complete Access"/>
    <x v="76"/>
    <x v="2"/>
    <x v="2"/>
    <d v="1899-12-31T00:00:00"/>
    <n v="36"/>
    <x v="5"/>
    <x v="3"/>
  </r>
  <r>
    <x v="700"/>
    <n v="-50.88"/>
    <x v="1528"/>
    <n v="9689.11"/>
    <s v="Complete Access"/>
    <x v="1"/>
    <x v="1"/>
    <x v="1"/>
    <d v="1899-12-31T00:00:00"/>
    <n v="36"/>
    <x v="5"/>
    <x v="3"/>
  </r>
  <r>
    <x v="701"/>
    <n v="-9.65"/>
    <x v="1529"/>
    <n v="8131.99"/>
    <s v="Complete Access"/>
    <x v="285"/>
    <x v="5"/>
    <x v="8"/>
    <d v="1900-01-30T00:00:00"/>
    <n v="36"/>
    <x v="6"/>
    <x v="3"/>
  </r>
  <r>
    <x v="701"/>
    <n v="-208"/>
    <x v="1530"/>
    <n v="7923.99"/>
    <s v="Complete Access"/>
    <x v="411"/>
    <x v="3"/>
    <x v="60"/>
    <d v="1900-01-30T00:00:00"/>
    <n v="36"/>
    <x v="6"/>
    <x v="3"/>
  </r>
  <r>
    <x v="702"/>
    <n v="-40.799999999999997"/>
    <x v="1531"/>
    <n v="8171.33"/>
    <s v="Complete Access"/>
    <x v="412"/>
    <x v="16"/>
    <x v="35"/>
    <d v="1900-01-29T00:00:00"/>
    <n v="36"/>
    <x v="6"/>
    <x v="3"/>
  </r>
  <r>
    <x v="702"/>
    <n v="-29.69"/>
    <x v="1532"/>
    <n v="8141.64"/>
    <s v="Complete Access"/>
    <x v="104"/>
    <x v="1"/>
    <x v="5"/>
    <d v="1900-01-29T00:00:00"/>
    <n v="36"/>
    <x v="6"/>
    <x v="3"/>
  </r>
  <r>
    <x v="703"/>
    <n v="-22.62"/>
    <x v="436"/>
    <n v="8212.1299999999992"/>
    <s v="Complete Access"/>
    <x v="186"/>
    <x v="1"/>
    <x v="5"/>
    <d v="1900-01-28T00:00:00"/>
    <n v="36"/>
    <x v="6"/>
    <x v="3"/>
  </r>
  <r>
    <x v="704"/>
    <n v="-150"/>
    <x v="1533"/>
    <n v="8252.08"/>
    <s v="Complete Access"/>
    <x v="130"/>
    <x v="0"/>
    <x v="0"/>
    <d v="1900-01-27T00:00:00"/>
    <n v="36"/>
    <x v="6"/>
    <x v="3"/>
  </r>
  <r>
    <x v="704"/>
    <n v="-17.329999999999998"/>
    <x v="1534"/>
    <n v="8234.75"/>
    <s v="Complete Access"/>
    <x v="413"/>
    <x v="1"/>
    <x v="5"/>
    <d v="1900-01-27T00:00:00"/>
    <n v="36"/>
    <x v="6"/>
    <x v="3"/>
  </r>
  <r>
    <x v="704"/>
    <n v="-5.5"/>
    <x v="1535"/>
    <n v="8402.08"/>
    <s v="Complete Access"/>
    <x v="414"/>
    <x v="1"/>
    <x v="1"/>
    <d v="1900-01-27T00:00:00"/>
    <n v="36"/>
    <x v="6"/>
    <x v="3"/>
  </r>
  <r>
    <x v="704"/>
    <n v="-2.5"/>
    <x v="1535"/>
    <n v="8407.58"/>
    <s v="Complete Access"/>
    <x v="414"/>
    <x v="1"/>
    <x v="1"/>
    <d v="1900-01-27T00:00:00"/>
    <n v="36"/>
    <x v="6"/>
    <x v="3"/>
  </r>
  <r>
    <x v="705"/>
    <n v="-55.53"/>
    <x v="1536"/>
    <n v="8427.08"/>
    <s v="Complete Access"/>
    <x v="415"/>
    <x v="12"/>
    <x v="21"/>
    <d v="1900-01-25T00:00:00"/>
    <n v="35"/>
    <x v="6"/>
    <x v="3"/>
  </r>
  <r>
    <x v="705"/>
    <n v="-17"/>
    <x v="1157"/>
    <n v="8410.08"/>
    <s v="Complete Access"/>
    <x v="0"/>
    <x v="0"/>
    <x v="0"/>
    <d v="1900-01-25T00:00:00"/>
    <n v="35"/>
    <x v="6"/>
    <x v="3"/>
  </r>
  <r>
    <x v="706"/>
    <n v="-6.22"/>
    <x v="1537"/>
    <n v="8532.51"/>
    <s v="Complete Access"/>
    <x v="188"/>
    <x v="1"/>
    <x v="1"/>
    <d v="1900-01-24T00:00:00"/>
    <n v="35"/>
    <x v="6"/>
    <x v="3"/>
  </r>
  <r>
    <x v="706"/>
    <n v="-7.5"/>
    <x v="1537"/>
    <n v="8538.73"/>
    <s v="Complete Access"/>
    <x v="188"/>
    <x v="1"/>
    <x v="1"/>
    <d v="1900-01-24T00:00:00"/>
    <n v="35"/>
    <x v="6"/>
    <x v="3"/>
  </r>
  <r>
    <x v="706"/>
    <n v="-10.9"/>
    <x v="1538"/>
    <n v="8521.61"/>
    <s v="Complete Access"/>
    <x v="61"/>
    <x v="1"/>
    <x v="1"/>
    <d v="1900-01-24T00:00:00"/>
    <n v="35"/>
    <x v="6"/>
    <x v="3"/>
  </r>
  <r>
    <x v="706"/>
    <n v="-9.65"/>
    <x v="1539"/>
    <n v="8588.8799999999992"/>
    <s v="Complete Access"/>
    <x v="285"/>
    <x v="5"/>
    <x v="8"/>
    <d v="1900-01-24T00:00:00"/>
    <n v="35"/>
    <x v="6"/>
    <x v="3"/>
  </r>
  <r>
    <x v="706"/>
    <n v="-42.65"/>
    <x v="1540"/>
    <n v="8546.23"/>
    <s v="Complete Access"/>
    <x v="20"/>
    <x v="9"/>
    <x v="12"/>
    <d v="1900-01-24T00:00:00"/>
    <n v="35"/>
    <x v="6"/>
    <x v="3"/>
  </r>
  <r>
    <x v="706"/>
    <n v="-39"/>
    <x v="96"/>
    <n v="8482.61"/>
    <s v="Complete Access"/>
    <x v="47"/>
    <x v="1"/>
    <x v="5"/>
    <d v="1900-01-24T00:00:00"/>
    <n v="35"/>
    <x v="6"/>
    <x v="3"/>
  </r>
  <r>
    <x v="707"/>
    <n v="-10"/>
    <x v="1541"/>
    <n v="8650.32"/>
    <s v="Complete Access"/>
    <x v="416"/>
    <x v="3"/>
    <x v="60"/>
    <d v="1900-01-23T00:00:00"/>
    <n v="35"/>
    <x v="6"/>
    <x v="3"/>
  </r>
  <r>
    <x v="707"/>
    <n v="-11.44"/>
    <x v="1542"/>
    <n v="8671.77"/>
    <s v="Complete Access"/>
    <x v="285"/>
    <x v="5"/>
    <x v="8"/>
    <d v="1900-01-23T00:00:00"/>
    <n v="35"/>
    <x v="6"/>
    <x v="3"/>
  </r>
  <r>
    <x v="707"/>
    <n v="-13"/>
    <x v="1543"/>
    <n v="8610.93"/>
    <s v="Complete Access"/>
    <x v="242"/>
    <x v="1"/>
    <x v="5"/>
    <d v="1900-01-23T00:00:00"/>
    <n v="35"/>
    <x v="6"/>
    <x v="3"/>
  </r>
  <r>
    <x v="707"/>
    <n v="-12.4"/>
    <x v="96"/>
    <n v="8598.5300000000007"/>
    <s v="Complete Access"/>
    <x v="47"/>
    <x v="1"/>
    <x v="5"/>
    <d v="1900-01-23T00:00:00"/>
    <n v="35"/>
    <x v="6"/>
    <x v="3"/>
  </r>
  <r>
    <x v="707"/>
    <n v="-11.45"/>
    <x v="1544"/>
    <n v="8660.32"/>
    <s v="Complete Access"/>
    <x v="47"/>
    <x v="1"/>
    <x v="5"/>
    <d v="1900-01-23T00:00:00"/>
    <n v="35"/>
    <x v="6"/>
    <x v="3"/>
  </r>
  <r>
    <x v="707"/>
    <n v="-26.39"/>
    <x v="1545"/>
    <n v="8623.93"/>
    <s v="Complete Access"/>
    <x v="1"/>
    <x v="1"/>
    <x v="1"/>
    <d v="1900-01-23T00:00:00"/>
    <n v="35"/>
    <x v="6"/>
    <x v="3"/>
  </r>
  <r>
    <x v="708"/>
    <n v="-199"/>
    <x v="1546"/>
    <n v="8694.7099999999991"/>
    <s v="Complete Access"/>
    <x v="416"/>
    <x v="3"/>
    <x v="60"/>
    <d v="1900-01-22T00:00:00"/>
    <n v="35"/>
    <x v="6"/>
    <x v="3"/>
  </r>
  <r>
    <x v="708"/>
    <n v="-11.5"/>
    <x v="1547"/>
    <n v="8683.2099999999991"/>
    <s v="Complete Access"/>
    <x v="417"/>
    <x v="1"/>
    <x v="1"/>
    <d v="1900-01-22T00:00:00"/>
    <n v="35"/>
    <x v="6"/>
    <x v="3"/>
  </r>
  <r>
    <x v="709"/>
    <n v="-21.5"/>
    <x v="96"/>
    <n v="8889.01"/>
    <s v="Complete Access"/>
    <x v="47"/>
    <x v="1"/>
    <x v="5"/>
    <d v="1900-01-20T00:00:00"/>
    <n v="35"/>
    <x v="6"/>
    <x v="3"/>
  </r>
  <r>
    <x v="709"/>
    <n v="4.7"/>
    <x v="1548"/>
    <n v="8893.7099999999991"/>
    <s v="Complete Access"/>
    <x v="36"/>
    <x v="0"/>
    <x v="0"/>
    <d v="1900-01-20T00:00:00"/>
    <n v="35"/>
    <x v="6"/>
    <x v="3"/>
  </r>
  <r>
    <x v="710"/>
    <n v="-250"/>
    <x v="1549"/>
    <n v="8876.7099999999991"/>
    <s v="Complete Access"/>
    <x v="418"/>
    <x v="18"/>
    <x v="69"/>
    <d v="1900-01-19T00:00:00"/>
    <n v="34"/>
    <x v="6"/>
    <x v="3"/>
  </r>
  <r>
    <x v="710"/>
    <n v="-16.2"/>
    <x v="96"/>
    <n v="8910.51"/>
    <s v="Complete Access"/>
    <x v="47"/>
    <x v="1"/>
    <x v="5"/>
    <d v="1900-01-19T00:00:00"/>
    <n v="34"/>
    <x v="6"/>
    <x v="3"/>
  </r>
  <r>
    <x v="710"/>
    <n v="50"/>
    <x v="1550"/>
    <n v="8926.7099999999991"/>
    <s v="Complete Access"/>
    <x v="36"/>
    <x v="0"/>
    <x v="0"/>
    <d v="1900-01-19T00:00:00"/>
    <n v="34"/>
    <x v="6"/>
    <x v="3"/>
  </r>
  <r>
    <x v="711"/>
    <n v="-9.65"/>
    <x v="1551"/>
    <n v="9623.7199999999993"/>
    <s v="Complete Access"/>
    <x v="285"/>
    <x v="5"/>
    <x v="8"/>
    <d v="1900-01-18T00:00:00"/>
    <n v="34"/>
    <x v="6"/>
    <x v="3"/>
  </r>
  <r>
    <x v="711"/>
    <n v="-98.15"/>
    <x v="1552"/>
    <n v="9131.7099999999991"/>
    <s v="Complete Access"/>
    <x v="419"/>
    <x v="1"/>
    <x v="5"/>
    <d v="1900-01-18T00:00:00"/>
    <n v="34"/>
    <x v="6"/>
    <x v="3"/>
  </r>
  <r>
    <x v="711"/>
    <n v="-380.66"/>
    <x v="1553"/>
    <n v="9243.06"/>
    <s v="Complete Access"/>
    <x v="95"/>
    <x v="14"/>
    <x v="38"/>
    <d v="1900-01-18T00:00:00"/>
    <n v="34"/>
    <x v="6"/>
    <x v="3"/>
  </r>
  <r>
    <x v="711"/>
    <n v="-13.2"/>
    <x v="1554"/>
    <n v="9229.86"/>
    <s v="Complete Access"/>
    <x v="16"/>
    <x v="1"/>
    <x v="5"/>
    <d v="1900-01-18T00:00:00"/>
    <n v="34"/>
    <x v="6"/>
    <x v="3"/>
  </r>
  <r>
    <x v="711"/>
    <n v="-5"/>
    <x v="1555"/>
    <n v="9126.7099999999991"/>
    <s v="Complete Access"/>
    <x v="4"/>
    <x v="1"/>
    <x v="1"/>
    <d v="1900-01-18T00:00:00"/>
    <n v="34"/>
    <x v="6"/>
    <x v="3"/>
  </r>
  <r>
    <x v="712"/>
    <n v="-500"/>
    <x v="656"/>
    <n v="10458.14"/>
    <s v="Complete Access"/>
    <x v="13"/>
    <x v="0"/>
    <x v="0"/>
    <d v="1900-01-17T00:00:00"/>
    <n v="34"/>
    <x v="6"/>
    <x v="3"/>
  </r>
  <r>
    <x v="712"/>
    <n v="-9.65"/>
    <x v="1556"/>
    <n v="10448.49"/>
    <s v="Complete Access"/>
    <x v="285"/>
    <x v="5"/>
    <x v="8"/>
    <d v="1900-01-17T00:00:00"/>
    <n v="34"/>
    <x v="6"/>
    <x v="3"/>
  </r>
  <r>
    <x v="712"/>
    <n v="-69"/>
    <x v="1557"/>
    <n v="10379.49"/>
    <s v="Complete Access"/>
    <x v="207"/>
    <x v="7"/>
    <x v="11"/>
    <d v="1900-01-17T00:00:00"/>
    <n v="34"/>
    <x v="6"/>
    <x v="3"/>
  </r>
  <r>
    <x v="712"/>
    <n v="-3.3"/>
    <x v="1558"/>
    <n v="9633.3700000000008"/>
    <s v="Complete Access"/>
    <x v="220"/>
    <x v="1"/>
    <x v="5"/>
    <d v="1900-01-17T00:00:00"/>
    <n v="34"/>
    <x v="6"/>
    <x v="3"/>
  </r>
  <r>
    <x v="712"/>
    <n v="-5.99"/>
    <x v="1559"/>
    <n v="10373.5"/>
    <s v="Complete Access"/>
    <x v="352"/>
    <x v="4"/>
    <x v="67"/>
    <d v="1900-01-17T00:00:00"/>
    <n v="34"/>
    <x v="6"/>
    <x v="3"/>
  </r>
  <r>
    <x v="712"/>
    <n v="2325.64"/>
    <x v="1560"/>
    <n v="10958.14"/>
    <s v="Complete Access"/>
    <x v="14"/>
    <x v="6"/>
    <x v="9"/>
    <d v="1900-01-17T00:00:00"/>
    <n v="34"/>
    <x v="6"/>
    <x v="3"/>
  </r>
  <r>
    <x v="712"/>
    <n v="-13.2"/>
    <x v="1561"/>
    <n v="10360.299999999999"/>
    <s v="Complete Access"/>
    <x v="16"/>
    <x v="1"/>
    <x v="5"/>
    <d v="1900-01-17T00:00:00"/>
    <n v="34"/>
    <x v="6"/>
    <x v="3"/>
  </r>
  <r>
    <x v="712"/>
    <n v="-723.63"/>
    <x v="1562"/>
    <n v="9636.67"/>
    <s v="Complete Access"/>
    <x v="420"/>
    <x v="9"/>
    <x v="57"/>
    <d v="1900-01-17T00:00:00"/>
    <n v="34"/>
    <x v="6"/>
    <x v="3"/>
  </r>
  <r>
    <x v="713"/>
    <n v="-705.76"/>
    <x v="1563"/>
    <n v="8592.5"/>
    <s v="Complete Access"/>
    <x v="295"/>
    <x v="14"/>
    <x v="66"/>
    <d v="1900-01-16T00:00:00"/>
    <n v="34"/>
    <x v="6"/>
    <x v="3"/>
  </r>
  <r>
    <x v="713"/>
    <n v="-124.31"/>
    <x v="1563"/>
    <n v="9413.7000000000007"/>
    <s v="Complete Access"/>
    <x v="295"/>
    <x v="14"/>
    <x v="66"/>
    <d v="1900-01-16T00:00:00"/>
    <n v="34"/>
    <x v="6"/>
    <x v="3"/>
  </r>
  <r>
    <x v="713"/>
    <n v="40"/>
    <x v="1564"/>
    <n v="8632.5"/>
    <s v="Complete Access"/>
    <x v="36"/>
    <x v="0"/>
    <x v="0"/>
    <d v="1900-01-16T00:00:00"/>
    <n v="34"/>
    <x v="6"/>
    <x v="3"/>
  </r>
  <r>
    <x v="713"/>
    <n v="-115.44"/>
    <x v="1565"/>
    <n v="9298.26"/>
    <s v="Complete Access"/>
    <x v="1"/>
    <x v="1"/>
    <x v="1"/>
    <d v="1900-01-16T00:00:00"/>
    <n v="34"/>
    <x v="6"/>
    <x v="3"/>
  </r>
  <r>
    <x v="714"/>
    <n v="-5"/>
    <x v="1345"/>
    <n v="9458.01"/>
    <s v="Complete Access"/>
    <x v="383"/>
    <x v="1"/>
    <x v="5"/>
    <d v="1900-01-15T00:00:00"/>
    <n v="34"/>
    <x v="6"/>
    <x v="3"/>
  </r>
  <r>
    <x v="714"/>
    <n v="-26.09"/>
    <x v="1566"/>
    <n v="9464.5"/>
    <s v="Complete Access"/>
    <x v="8"/>
    <x v="1"/>
    <x v="5"/>
    <d v="1900-01-15T00:00:00"/>
    <n v="34"/>
    <x v="6"/>
    <x v="3"/>
  </r>
  <r>
    <x v="714"/>
    <n v="50"/>
    <x v="1567"/>
    <n v="9508.01"/>
    <s v="Complete Access"/>
    <x v="36"/>
    <x v="0"/>
    <x v="0"/>
    <d v="1900-01-15T00:00:00"/>
    <n v="34"/>
    <x v="6"/>
    <x v="3"/>
  </r>
  <r>
    <x v="714"/>
    <n v="20"/>
    <x v="1568"/>
    <n v="9463.01"/>
    <s v="Complete Access"/>
    <x v="36"/>
    <x v="0"/>
    <x v="0"/>
    <d v="1900-01-15T00:00:00"/>
    <n v="34"/>
    <x v="6"/>
    <x v="3"/>
  </r>
  <r>
    <x v="714"/>
    <n v="-21.49"/>
    <x v="1569"/>
    <n v="9443.01"/>
    <s v="Complete Access"/>
    <x v="104"/>
    <x v="1"/>
    <x v="5"/>
    <d v="1900-01-15T00:00:00"/>
    <n v="34"/>
    <x v="6"/>
    <x v="3"/>
  </r>
  <r>
    <x v="714"/>
    <n v="30"/>
    <x v="1570"/>
    <n v="9538.01"/>
    <s v="Complete Access"/>
    <x v="67"/>
    <x v="0"/>
    <x v="0"/>
    <d v="1900-01-15T00:00:00"/>
    <n v="34"/>
    <x v="6"/>
    <x v="3"/>
  </r>
  <r>
    <x v="715"/>
    <n v="40"/>
    <x v="1571"/>
    <n v="9490.59"/>
    <s v="Complete Access"/>
    <x v="36"/>
    <x v="0"/>
    <x v="0"/>
    <d v="1900-01-14T00:00:00"/>
    <n v="34"/>
    <x v="6"/>
    <x v="3"/>
  </r>
  <r>
    <x v="715"/>
    <n v="20"/>
    <x v="1572"/>
    <n v="9450.59"/>
    <s v="Complete Access"/>
    <x v="36"/>
    <x v="0"/>
    <x v="0"/>
    <d v="1900-01-14T00:00:00"/>
    <n v="34"/>
    <x v="6"/>
    <x v="3"/>
  </r>
  <r>
    <x v="716"/>
    <n v="-15.05"/>
    <x v="96"/>
    <n v="9430.59"/>
    <s v="Complete Access"/>
    <x v="47"/>
    <x v="1"/>
    <x v="5"/>
    <d v="1900-01-13T00:00:00"/>
    <n v="34"/>
    <x v="6"/>
    <x v="3"/>
  </r>
  <r>
    <x v="717"/>
    <n v="1300"/>
    <x v="1573"/>
    <n v="9463.64"/>
    <s v="Complete Access"/>
    <x v="36"/>
    <x v="0"/>
    <x v="0"/>
    <d v="1900-01-12T00:00:00"/>
    <n v="33"/>
    <x v="6"/>
    <x v="3"/>
  </r>
  <r>
    <x v="717"/>
    <n v="-18"/>
    <x v="1574"/>
    <n v="9445.64"/>
    <s v="Complete Access"/>
    <x v="0"/>
    <x v="0"/>
    <x v="0"/>
    <d v="1900-01-12T00:00:00"/>
    <n v="33"/>
    <x v="6"/>
    <x v="3"/>
  </r>
  <r>
    <x v="718"/>
    <n v="-41.92"/>
    <x v="96"/>
    <n v="8150.64"/>
    <s v="Complete Access"/>
    <x v="47"/>
    <x v="1"/>
    <x v="5"/>
    <d v="1900-01-11T00:00:00"/>
    <n v="33"/>
    <x v="6"/>
    <x v="3"/>
  </r>
  <r>
    <x v="718"/>
    <n v="13"/>
    <x v="1119"/>
    <n v="8163.64"/>
    <s v="Complete Access"/>
    <x v="36"/>
    <x v="0"/>
    <x v="0"/>
    <d v="1900-01-11T00:00:00"/>
    <n v="33"/>
    <x v="6"/>
    <x v="3"/>
  </r>
  <r>
    <x v="718"/>
    <n v="-42.48"/>
    <x v="1575"/>
    <n v="8209.01"/>
    <s v="Complete Access"/>
    <x v="1"/>
    <x v="1"/>
    <x v="1"/>
    <d v="1900-01-11T00:00:00"/>
    <n v="33"/>
    <x v="6"/>
    <x v="3"/>
  </r>
  <r>
    <x v="718"/>
    <n v="-16.45"/>
    <x v="1576"/>
    <n v="8192.56"/>
    <s v="Complete Access"/>
    <x v="367"/>
    <x v="4"/>
    <x v="7"/>
    <d v="1900-01-11T00:00:00"/>
    <n v="33"/>
    <x v="6"/>
    <x v="3"/>
  </r>
  <r>
    <x v="719"/>
    <n v="-9.5"/>
    <x v="1577"/>
    <n v="8291.5499999999993"/>
    <s v="Complete Access"/>
    <x v="188"/>
    <x v="1"/>
    <x v="1"/>
    <d v="1900-01-10T00:00:00"/>
    <n v="33"/>
    <x v="6"/>
    <x v="3"/>
  </r>
  <r>
    <x v="719"/>
    <n v="-9.65"/>
    <x v="1578"/>
    <n v="8318.91"/>
    <s v="Complete Access"/>
    <x v="285"/>
    <x v="5"/>
    <x v="8"/>
    <d v="1900-01-10T00:00:00"/>
    <n v="33"/>
    <x v="6"/>
    <x v="3"/>
  </r>
  <r>
    <x v="719"/>
    <n v="-13.8"/>
    <x v="1579"/>
    <n v="8305.11"/>
    <s v="Complete Access"/>
    <x v="421"/>
    <x v="20"/>
    <x v="63"/>
    <d v="1900-01-10T00:00:00"/>
    <n v="33"/>
    <x v="6"/>
    <x v="3"/>
  </r>
  <r>
    <x v="719"/>
    <n v="-4.0599999999999996"/>
    <x v="1580"/>
    <n v="8301.0499999999993"/>
    <s v="Complete Access"/>
    <x v="16"/>
    <x v="1"/>
    <x v="5"/>
    <d v="1900-01-10T00:00:00"/>
    <n v="33"/>
    <x v="6"/>
    <x v="3"/>
  </r>
  <r>
    <x v="719"/>
    <n v="-40.06"/>
    <x v="1581"/>
    <n v="8251.49"/>
    <s v="Complete Access"/>
    <x v="34"/>
    <x v="9"/>
    <x v="12"/>
    <d v="1900-01-10T00:00:00"/>
    <n v="33"/>
    <x v="6"/>
    <x v="3"/>
  </r>
  <r>
    <x v="720"/>
    <n v="-9.65"/>
    <x v="1582"/>
    <n v="8345.68"/>
    <s v="Complete Access"/>
    <x v="285"/>
    <x v="5"/>
    <x v="8"/>
    <d v="1900-01-09T00:00:00"/>
    <n v="33"/>
    <x v="6"/>
    <x v="3"/>
  </r>
  <r>
    <x v="720"/>
    <n v="-17.12"/>
    <x v="1583"/>
    <n v="8328.56"/>
    <s v="Complete Access"/>
    <x v="1"/>
    <x v="1"/>
    <x v="1"/>
    <d v="1900-01-09T00:00:00"/>
    <n v="33"/>
    <x v="6"/>
    <x v="3"/>
  </r>
  <r>
    <x v="721"/>
    <n v="-56.39"/>
    <x v="1584"/>
    <n v="9239.4500000000007"/>
    <s v="Complete Access"/>
    <x v="8"/>
    <x v="1"/>
    <x v="5"/>
    <d v="1900-01-08T00:00:00"/>
    <n v="33"/>
    <x v="6"/>
    <x v="3"/>
  </r>
  <r>
    <x v="721"/>
    <n v="-29.18"/>
    <x v="1585"/>
    <n v="9210.27"/>
    <s v="Complete Access"/>
    <x v="8"/>
    <x v="1"/>
    <x v="5"/>
    <d v="1900-01-08T00:00:00"/>
    <n v="33"/>
    <x v="6"/>
    <x v="3"/>
  </r>
  <r>
    <x v="721"/>
    <n v="-3.2"/>
    <x v="1586"/>
    <n v="9295.84"/>
    <s v="Complete Access"/>
    <x v="285"/>
    <x v="5"/>
    <x v="8"/>
    <d v="1900-01-08T00:00:00"/>
    <n v="33"/>
    <x v="6"/>
    <x v="3"/>
  </r>
  <r>
    <x v="721"/>
    <n v="-854.94"/>
    <x v="1587"/>
    <n v="8355.33"/>
    <s v="Complete Access"/>
    <x v="422"/>
    <x v="9"/>
    <x v="36"/>
    <d v="1900-01-08T00:00:00"/>
    <n v="33"/>
    <x v="6"/>
    <x v="3"/>
  </r>
  <r>
    <x v="722"/>
    <n v="-13.09"/>
    <x v="1588"/>
    <n v="9299.0400000000009"/>
    <s v="Complete Access"/>
    <x v="423"/>
    <x v="1"/>
    <x v="5"/>
    <d v="1900-01-07T00:00:00"/>
    <n v="33"/>
    <x v="6"/>
    <x v="3"/>
  </r>
  <r>
    <x v="723"/>
    <n v="-350"/>
    <x v="1589"/>
    <n v="9459.1299999999992"/>
    <s v="Complete Access"/>
    <x v="0"/>
    <x v="0"/>
    <x v="0"/>
    <d v="1900-01-06T00:00:00"/>
    <n v="33"/>
    <x v="6"/>
    <x v="3"/>
  </r>
  <r>
    <x v="723"/>
    <n v="-147"/>
    <x v="1590"/>
    <n v="9312.1299999999992"/>
    <s v="Complete Access"/>
    <x v="0"/>
    <x v="0"/>
    <x v="0"/>
    <d v="1900-01-06T00:00:00"/>
    <n v="33"/>
    <x v="6"/>
    <x v="3"/>
  </r>
  <r>
    <x v="724"/>
    <n v="-3.2"/>
    <x v="1591"/>
    <n v="9835.52"/>
    <s v="Complete Access"/>
    <x v="285"/>
    <x v="5"/>
    <x v="8"/>
    <d v="1900-01-05T00:00:00"/>
    <n v="32"/>
    <x v="6"/>
    <x v="3"/>
  </r>
  <r>
    <x v="724"/>
    <n v="-26.39"/>
    <x v="1592"/>
    <n v="9809.1299999999992"/>
    <s v="Complete Access"/>
    <x v="185"/>
    <x v="8"/>
    <x v="22"/>
    <d v="1900-01-05T00:00:00"/>
    <n v="32"/>
    <x v="6"/>
    <x v="3"/>
  </r>
  <r>
    <x v="725"/>
    <n v="-362.91"/>
    <x v="1593"/>
    <n v="9898.82"/>
    <s v="Complete Access"/>
    <x v="295"/>
    <x v="14"/>
    <x v="66"/>
    <d v="1900-01-04T00:00:00"/>
    <n v="32"/>
    <x v="6"/>
    <x v="3"/>
  </r>
  <r>
    <x v="725"/>
    <n v="-17.190000000000001"/>
    <x v="1594"/>
    <n v="9838.7199999999993"/>
    <s v="Complete Access"/>
    <x v="104"/>
    <x v="1"/>
    <x v="5"/>
    <d v="1900-01-04T00:00:00"/>
    <n v="32"/>
    <x v="6"/>
    <x v="3"/>
  </r>
  <r>
    <x v="725"/>
    <n v="-42.91"/>
    <x v="1595"/>
    <n v="9855.91"/>
    <s v="Complete Access"/>
    <x v="1"/>
    <x v="1"/>
    <x v="1"/>
    <d v="1900-01-04T00:00:00"/>
    <n v="32"/>
    <x v="6"/>
    <x v="3"/>
  </r>
  <r>
    <x v="726"/>
    <n v="-500"/>
    <x v="656"/>
    <n v="10261.73"/>
    <s v="Complete Access"/>
    <x v="13"/>
    <x v="0"/>
    <x v="0"/>
    <d v="1900-01-03T00:00:00"/>
    <n v="32"/>
    <x v="6"/>
    <x v="3"/>
  </r>
  <r>
    <x v="726"/>
    <n v="2325.65"/>
    <x v="1596"/>
    <n v="10761.73"/>
    <s v="Complete Access"/>
    <x v="14"/>
    <x v="6"/>
    <x v="9"/>
    <d v="1900-01-03T00:00:00"/>
    <n v="32"/>
    <x v="6"/>
    <x v="3"/>
  </r>
  <r>
    <x v="727"/>
    <n v="-7.86"/>
    <x v="1597"/>
    <n v="8528.86"/>
    <s v="Complete Access"/>
    <x v="285"/>
    <x v="5"/>
    <x v="8"/>
    <d v="1900-01-02T00:00:00"/>
    <n v="32"/>
    <x v="6"/>
    <x v="3"/>
  </r>
  <r>
    <x v="727"/>
    <n v="-12.18"/>
    <x v="1598"/>
    <n v="8516.68"/>
    <s v="Complete Access"/>
    <x v="237"/>
    <x v="15"/>
    <x v="34"/>
    <d v="1900-01-02T00:00:00"/>
    <n v="32"/>
    <x v="6"/>
    <x v="3"/>
  </r>
  <r>
    <x v="727"/>
    <n v="-80.599999999999994"/>
    <x v="1599"/>
    <n v="8436.08"/>
    <s v="Complete Access"/>
    <x v="1"/>
    <x v="1"/>
    <x v="1"/>
    <d v="1900-01-02T00:00:00"/>
    <n v="32"/>
    <x v="6"/>
    <x v="3"/>
  </r>
  <r>
    <x v="728"/>
    <n v="-14.42"/>
    <x v="1600"/>
    <n v="8724.2199999999993"/>
    <s v="Complete Access"/>
    <x v="8"/>
    <x v="1"/>
    <x v="5"/>
    <d v="1900-01-01T00:00:00"/>
    <n v="32"/>
    <x v="6"/>
    <x v="3"/>
  </r>
  <r>
    <x v="728"/>
    <n v="-55"/>
    <x v="1601"/>
    <n v="8536.7199999999993"/>
    <s v="Complete Access"/>
    <x v="424"/>
    <x v="8"/>
    <x v="22"/>
    <d v="1900-01-01T00:00:00"/>
    <n v="32"/>
    <x v="6"/>
    <x v="3"/>
  </r>
  <r>
    <x v="728"/>
    <n v="-22.4"/>
    <x v="1602"/>
    <n v="8591.7199999999993"/>
    <s v="Complete Access"/>
    <x v="89"/>
    <x v="8"/>
    <x v="29"/>
    <d v="1900-01-01T00:00:00"/>
    <n v="32"/>
    <x v="6"/>
    <x v="3"/>
  </r>
  <r>
    <x v="728"/>
    <n v="-21.4"/>
    <x v="1602"/>
    <n v="8614.1200000000008"/>
    <s v="Complete Access"/>
    <x v="89"/>
    <x v="8"/>
    <x v="29"/>
    <d v="1900-01-01T00:00:00"/>
    <n v="32"/>
    <x v="6"/>
    <x v="3"/>
  </r>
  <r>
    <x v="728"/>
    <n v="-10.7"/>
    <x v="1602"/>
    <n v="8635.52"/>
    <s v="Complete Access"/>
    <x v="89"/>
    <x v="8"/>
    <x v="29"/>
    <d v="1900-01-01T00:00:00"/>
    <n v="32"/>
    <x v="6"/>
    <x v="3"/>
  </r>
  <r>
    <x v="728"/>
    <n v="-11"/>
    <x v="1603"/>
    <n v="8646.2199999999993"/>
    <s v="Complete Access"/>
    <x v="425"/>
    <x v="8"/>
    <x v="29"/>
    <d v="1900-01-01T00:00:00"/>
    <n v="32"/>
    <x v="6"/>
    <x v="3"/>
  </r>
  <r>
    <x v="728"/>
    <n v="-23"/>
    <x v="1603"/>
    <n v="8657.2199999999993"/>
    <s v="Complete Access"/>
    <x v="425"/>
    <x v="8"/>
    <x v="29"/>
    <d v="1900-01-01T00:00:00"/>
    <n v="32"/>
    <x v="6"/>
    <x v="3"/>
  </r>
  <r>
    <x v="728"/>
    <n v="-22"/>
    <x v="1603"/>
    <n v="8680.2199999999993"/>
    <s v="Complete Access"/>
    <x v="425"/>
    <x v="8"/>
    <x v="29"/>
    <d v="1900-01-01T00:00:00"/>
    <n v="32"/>
    <x v="6"/>
    <x v="3"/>
  </r>
  <r>
    <x v="728"/>
    <n v="-22"/>
    <x v="1603"/>
    <n v="8702.2199999999993"/>
    <s v="Complete Access"/>
    <x v="425"/>
    <x v="8"/>
    <x v="29"/>
    <d v="1900-01-01T00:00:00"/>
    <n v="32"/>
    <x v="6"/>
    <x v="3"/>
  </r>
  <r>
    <x v="729"/>
    <n v="-3.3"/>
    <x v="659"/>
    <n v="8919.19"/>
    <s v="Complete Access"/>
    <x v="220"/>
    <x v="1"/>
    <x v="5"/>
    <d v="1899-12-31T00:00:00"/>
    <n v="32"/>
    <x v="6"/>
    <x v="3"/>
  </r>
  <r>
    <x v="729"/>
    <n v="-180.55"/>
    <x v="1604"/>
    <n v="8738.64"/>
    <s v="Complete Access"/>
    <x v="76"/>
    <x v="2"/>
    <x v="2"/>
    <d v="1899-12-31T00:00:00"/>
    <n v="32"/>
    <x v="6"/>
    <x v="3"/>
  </r>
  <r>
    <x v="730"/>
    <n v="-50"/>
    <x v="1605"/>
    <n v="8885.2900000000009"/>
    <s v="Complete Access"/>
    <x v="130"/>
    <x v="0"/>
    <x v="0"/>
    <d v="1900-01-30T00:00:00"/>
    <n v="32"/>
    <x v="7"/>
    <x v="3"/>
  </r>
  <r>
    <x v="730"/>
    <n v="-100"/>
    <x v="1605"/>
    <n v="8938.09"/>
    <s v="Complete Access"/>
    <x v="130"/>
    <x v="0"/>
    <x v="0"/>
    <d v="1900-01-30T00:00:00"/>
    <n v="32"/>
    <x v="7"/>
    <x v="3"/>
  </r>
  <r>
    <x v="730"/>
    <n v="-2.8"/>
    <x v="72"/>
    <n v="8882.49"/>
    <s v="Complete Access"/>
    <x v="37"/>
    <x v="0"/>
    <x v="0"/>
    <d v="1900-01-30T00:00:00"/>
    <n v="32"/>
    <x v="7"/>
    <x v="3"/>
  </r>
  <r>
    <x v="730"/>
    <n v="-2.8"/>
    <x v="72"/>
    <n v="8935.2900000000009"/>
    <s v="Complete Access"/>
    <x v="37"/>
    <x v="0"/>
    <x v="0"/>
    <d v="1900-01-30T00:00:00"/>
    <n v="32"/>
    <x v="7"/>
    <x v="3"/>
  </r>
  <r>
    <x v="730"/>
    <n v="40"/>
    <x v="1606"/>
    <n v="8922.49"/>
    <s v="Complete Access"/>
    <x v="36"/>
    <x v="0"/>
    <x v="0"/>
    <d v="1900-01-30T00:00:00"/>
    <n v="32"/>
    <x v="7"/>
    <x v="3"/>
  </r>
  <r>
    <x v="731"/>
    <n v="-4.45"/>
    <x v="96"/>
    <n v="9038.09"/>
    <s v="Complete Access"/>
    <x v="47"/>
    <x v="1"/>
    <x v="5"/>
    <d v="1900-01-29T00:00:00"/>
    <n v="31"/>
    <x v="7"/>
    <x v="3"/>
  </r>
  <r>
    <x v="732"/>
    <n v="-14.01"/>
    <x v="1607"/>
    <n v="9075.34"/>
    <s v="Complete Access"/>
    <x v="27"/>
    <x v="1"/>
    <x v="5"/>
    <d v="1900-01-28T00:00:00"/>
    <n v="31"/>
    <x v="7"/>
    <x v="3"/>
  </r>
  <r>
    <x v="732"/>
    <n v="-9.65"/>
    <x v="1608"/>
    <n v="9089.35"/>
    <s v="Complete Access"/>
    <x v="285"/>
    <x v="5"/>
    <x v="8"/>
    <d v="1900-01-28T00:00:00"/>
    <n v="31"/>
    <x v="7"/>
    <x v="3"/>
  </r>
  <r>
    <x v="732"/>
    <n v="-8.8000000000000007"/>
    <x v="1609"/>
    <n v="9066.5400000000009"/>
    <s v="Complete Access"/>
    <x v="277"/>
    <x v="8"/>
    <x v="29"/>
    <d v="1900-01-28T00:00:00"/>
    <n v="31"/>
    <x v="7"/>
    <x v="3"/>
  </r>
  <r>
    <x v="732"/>
    <n v="-24"/>
    <x v="1574"/>
    <n v="9042.5400000000009"/>
    <s v="Complete Access"/>
    <x v="0"/>
    <x v="0"/>
    <x v="0"/>
    <d v="1900-01-28T00:00:00"/>
    <n v="31"/>
    <x v="7"/>
    <x v="3"/>
  </r>
  <r>
    <x v="733"/>
    <n v="-5.85"/>
    <x v="1610"/>
    <n v="9099"/>
    <s v="Complete Access"/>
    <x v="61"/>
    <x v="1"/>
    <x v="1"/>
    <d v="1900-01-27T00:00:00"/>
    <n v="31"/>
    <x v="7"/>
    <x v="3"/>
  </r>
  <r>
    <x v="733"/>
    <n v="-9.65"/>
    <x v="1611"/>
    <n v="9104.85"/>
    <s v="Complete Access"/>
    <x v="285"/>
    <x v="5"/>
    <x v="8"/>
    <d v="1900-01-27T00:00:00"/>
    <n v="31"/>
    <x v="7"/>
    <x v="3"/>
  </r>
  <r>
    <x v="734"/>
    <n v="-9.65"/>
    <x v="1612"/>
    <n v="9170.68"/>
    <s v="Complete Access"/>
    <x v="285"/>
    <x v="5"/>
    <x v="8"/>
    <d v="1900-01-26T00:00:00"/>
    <n v="31"/>
    <x v="7"/>
    <x v="3"/>
  </r>
  <r>
    <x v="734"/>
    <n v="-24.4"/>
    <x v="1613"/>
    <n v="9146.2800000000007"/>
    <s v="Complete Access"/>
    <x v="426"/>
    <x v="1"/>
    <x v="5"/>
    <d v="1900-01-26T00:00:00"/>
    <n v="31"/>
    <x v="7"/>
    <x v="3"/>
  </r>
  <r>
    <x v="734"/>
    <n v="-12.99"/>
    <x v="1614"/>
    <n v="9114.5"/>
    <s v="Complete Access"/>
    <x v="427"/>
    <x v="20"/>
    <x v="63"/>
    <d v="1900-01-26T00:00:00"/>
    <n v="31"/>
    <x v="7"/>
    <x v="3"/>
  </r>
  <r>
    <x v="734"/>
    <n v="-9.99"/>
    <x v="1615"/>
    <n v="9127.49"/>
    <s v="Complete Access"/>
    <x v="428"/>
    <x v="11"/>
    <x v="14"/>
    <d v="1900-01-26T00:00:00"/>
    <n v="31"/>
    <x v="7"/>
    <x v="3"/>
  </r>
  <r>
    <x v="734"/>
    <n v="-8.8000000000000007"/>
    <x v="1616"/>
    <n v="9137.48"/>
    <s v="Complete Access"/>
    <x v="277"/>
    <x v="8"/>
    <x v="29"/>
    <d v="1900-01-26T00:00:00"/>
    <n v="31"/>
    <x v="7"/>
    <x v="3"/>
  </r>
  <r>
    <x v="735"/>
    <n v="-5.3"/>
    <x v="1617"/>
    <n v="9202.33"/>
    <s v="Complete Access"/>
    <x v="421"/>
    <x v="20"/>
    <x v="63"/>
    <d v="1900-01-25T00:00:00"/>
    <n v="31"/>
    <x v="7"/>
    <x v="3"/>
  </r>
  <r>
    <x v="735"/>
    <n v="-45.22"/>
    <x v="1618"/>
    <n v="9262.4699999999993"/>
    <s v="Complete Access"/>
    <x v="429"/>
    <x v="1"/>
    <x v="5"/>
    <d v="1900-01-25T00:00:00"/>
    <n v="31"/>
    <x v="7"/>
    <x v="3"/>
  </r>
  <r>
    <x v="735"/>
    <n v="-4"/>
    <x v="1619"/>
    <n v="9258.4699999999993"/>
    <s v="Complete Access"/>
    <x v="430"/>
    <x v="14"/>
    <x v="32"/>
    <d v="1900-01-25T00:00:00"/>
    <n v="31"/>
    <x v="7"/>
    <x v="3"/>
  </r>
  <r>
    <x v="735"/>
    <n v="-22"/>
    <x v="1620"/>
    <n v="9180.33"/>
    <s v="Complete Access"/>
    <x v="431"/>
    <x v="1"/>
    <x v="5"/>
    <d v="1900-01-25T00:00:00"/>
    <n v="31"/>
    <x v="7"/>
    <x v="3"/>
  </r>
  <r>
    <x v="735"/>
    <n v="-22.56"/>
    <x v="1621"/>
    <n v="9307.69"/>
    <s v="Complete Access"/>
    <x v="104"/>
    <x v="1"/>
    <x v="5"/>
    <d v="1900-01-25T00:00:00"/>
    <n v="31"/>
    <x v="7"/>
    <x v="3"/>
  </r>
  <r>
    <x v="735"/>
    <n v="-21.49"/>
    <x v="1622"/>
    <n v="9207.6299999999992"/>
    <s v="Complete Access"/>
    <x v="104"/>
    <x v="1"/>
    <x v="5"/>
    <d v="1900-01-25T00:00:00"/>
    <n v="31"/>
    <x v="7"/>
    <x v="3"/>
  </r>
  <r>
    <x v="735"/>
    <n v="-21.46"/>
    <x v="1623"/>
    <n v="9229.1200000000008"/>
    <s v="Complete Access"/>
    <x v="1"/>
    <x v="1"/>
    <x v="1"/>
    <d v="1900-01-25T00:00:00"/>
    <n v="31"/>
    <x v="7"/>
    <x v="3"/>
  </r>
  <r>
    <x v="735"/>
    <n v="-7.89"/>
    <x v="1624"/>
    <n v="9250.58"/>
    <s v="Complete Access"/>
    <x v="44"/>
    <x v="4"/>
    <x v="27"/>
    <d v="1900-01-25T00:00:00"/>
    <n v="31"/>
    <x v="7"/>
    <x v="3"/>
  </r>
  <r>
    <x v="736"/>
    <n v="-5"/>
    <x v="1345"/>
    <n v="9330.25"/>
    <s v="Complete Access"/>
    <x v="383"/>
    <x v="1"/>
    <x v="5"/>
    <d v="1900-01-24T00:00:00"/>
    <n v="31"/>
    <x v="7"/>
    <x v="3"/>
  </r>
  <r>
    <x v="736"/>
    <n v="-15.12"/>
    <x v="1588"/>
    <n v="9335.25"/>
    <s v="Complete Access"/>
    <x v="423"/>
    <x v="1"/>
    <x v="5"/>
    <d v="1900-01-24T00:00:00"/>
    <n v="31"/>
    <x v="7"/>
    <x v="3"/>
  </r>
  <r>
    <x v="737"/>
    <n v="-500"/>
    <x v="656"/>
    <n v="9389.25"/>
    <s v="Complete Access"/>
    <x v="13"/>
    <x v="0"/>
    <x v="0"/>
    <d v="1900-01-20T00:00:00"/>
    <n v="30"/>
    <x v="7"/>
    <x v="3"/>
  </r>
  <r>
    <x v="737"/>
    <n v="-38.880000000000003"/>
    <x v="1625"/>
    <n v="9350.3700000000008"/>
    <s v="Complete Access"/>
    <x v="8"/>
    <x v="1"/>
    <x v="5"/>
    <d v="1900-01-20T00:00:00"/>
    <n v="30"/>
    <x v="7"/>
    <x v="3"/>
  </r>
  <r>
    <x v="737"/>
    <n v="2307.44"/>
    <x v="1626"/>
    <n v="9889.25"/>
    <s v="Complete Access"/>
    <x v="14"/>
    <x v="6"/>
    <x v="9"/>
    <d v="1900-01-20T00:00:00"/>
    <n v="30"/>
    <x v="7"/>
    <x v="3"/>
  </r>
  <r>
    <x v="738"/>
    <n v="-59.9"/>
    <x v="1627"/>
    <n v="7581.81"/>
    <s v="Complete Access"/>
    <x v="432"/>
    <x v="1"/>
    <x v="5"/>
    <d v="1900-01-19T00:00:00"/>
    <n v="30"/>
    <x v="7"/>
    <x v="3"/>
  </r>
  <r>
    <x v="739"/>
    <n v="-69"/>
    <x v="1628"/>
    <n v="7641.71"/>
    <s v="Complete Access"/>
    <x v="207"/>
    <x v="7"/>
    <x v="11"/>
    <d v="1900-01-18T00:00:00"/>
    <n v="30"/>
    <x v="7"/>
    <x v="3"/>
  </r>
  <r>
    <x v="739"/>
    <n v="-5.99"/>
    <x v="1629"/>
    <n v="7710.71"/>
    <s v="Complete Access"/>
    <x v="352"/>
    <x v="4"/>
    <x v="67"/>
    <d v="1900-01-18T00:00:00"/>
    <n v="30"/>
    <x v="7"/>
    <x v="3"/>
  </r>
  <r>
    <x v="740"/>
    <n v="-226.67"/>
    <x v="1630"/>
    <n v="7716.7"/>
    <s v="Complete Access"/>
    <x v="433"/>
    <x v="7"/>
    <x v="53"/>
    <d v="1900-01-17T00:00:00"/>
    <n v="30"/>
    <x v="7"/>
    <x v="3"/>
  </r>
  <r>
    <x v="741"/>
    <n v="27"/>
    <x v="1631"/>
    <n v="7943.37"/>
    <s v="Complete Access"/>
    <x v="36"/>
    <x v="0"/>
    <x v="0"/>
    <d v="1900-01-16T00:00:00"/>
    <n v="30"/>
    <x v="7"/>
    <x v="3"/>
  </r>
  <r>
    <x v="741"/>
    <n v="-14"/>
    <x v="1632"/>
    <n v="7916.37"/>
    <s v="Complete Access"/>
    <x v="0"/>
    <x v="0"/>
    <x v="0"/>
    <d v="1900-01-16T00:00:00"/>
    <n v="30"/>
    <x v="7"/>
    <x v="3"/>
  </r>
  <r>
    <x v="742"/>
    <n v="-5.5"/>
    <x v="1633"/>
    <n v="7930.37"/>
    <s v="Complete Access"/>
    <x v="434"/>
    <x v="8"/>
    <x v="29"/>
    <d v="1900-01-15T00:00:00"/>
    <n v="29"/>
    <x v="7"/>
    <x v="3"/>
  </r>
  <r>
    <x v="743"/>
    <n v="-27.18"/>
    <x v="1634"/>
    <n v="7935.87"/>
    <s v="Complete Access"/>
    <x v="8"/>
    <x v="1"/>
    <x v="5"/>
    <d v="1900-01-12T00:00:00"/>
    <n v="29"/>
    <x v="7"/>
    <x v="3"/>
  </r>
  <r>
    <x v="744"/>
    <n v="-80.94"/>
    <x v="1635"/>
    <n v="7963.05"/>
    <s v="Complete Access"/>
    <x v="222"/>
    <x v="11"/>
    <x v="14"/>
    <d v="1900-01-11T00:00:00"/>
    <n v="29"/>
    <x v="7"/>
    <x v="3"/>
  </r>
  <r>
    <x v="744"/>
    <n v="-16.45"/>
    <x v="1636"/>
    <n v="8043.99"/>
    <s v="Complete Access"/>
    <x v="367"/>
    <x v="4"/>
    <x v="7"/>
    <d v="1900-01-11T00:00:00"/>
    <n v="29"/>
    <x v="7"/>
    <x v="3"/>
  </r>
  <r>
    <x v="745"/>
    <n v="-8.5"/>
    <x v="1637"/>
    <n v="8060.44"/>
    <s v="Complete Access"/>
    <x v="34"/>
    <x v="9"/>
    <x v="12"/>
    <d v="1900-01-08T00:00:00"/>
    <n v="28"/>
    <x v="7"/>
    <x v="3"/>
  </r>
  <r>
    <x v="746"/>
    <n v="-52.21"/>
    <x v="405"/>
    <n v="8068.94"/>
    <s v="Complete Access"/>
    <x v="177"/>
    <x v="1"/>
    <x v="1"/>
    <d v="1900-01-07T00:00:00"/>
    <n v="28"/>
    <x v="7"/>
    <x v="3"/>
  </r>
  <r>
    <x v="747"/>
    <n v="-500"/>
    <x v="656"/>
    <n v="8239.7800000000007"/>
    <s v="Complete Access"/>
    <x v="13"/>
    <x v="0"/>
    <x v="0"/>
    <d v="1900-01-06T00:00:00"/>
    <n v="28"/>
    <x v="7"/>
    <x v="3"/>
  </r>
  <r>
    <x v="747"/>
    <n v="2259.67"/>
    <x v="1638"/>
    <n v="8739.7800000000007"/>
    <s v="Complete Access"/>
    <x v="14"/>
    <x v="6"/>
    <x v="9"/>
    <d v="1900-01-06T00:00:00"/>
    <n v="28"/>
    <x v="7"/>
    <x v="3"/>
  </r>
  <r>
    <x v="747"/>
    <n v="-39.82"/>
    <x v="969"/>
    <n v="8121.15"/>
    <s v="Complete Access"/>
    <x v="177"/>
    <x v="1"/>
    <x v="1"/>
    <d v="1900-01-06T00:00:00"/>
    <n v="28"/>
    <x v="7"/>
    <x v="3"/>
  </r>
  <r>
    <x v="747"/>
    <n v="-78.81"/>
    <x v="1639"/>
    <n v="8160.97"/>
    <s v="Complete Access"/>
    <x v="1"/>
    <x v="1"/>
    <x v="1"/>
    <d v="1900-01-06T00:00:00"/>
    <n v="28"/>
    <x v="7"/>
    <x v="3"/>
  </r>
  <r>
    <x v="748"/>
    <n v="-21"/>
    <x v="1640"/>
    <n v="6488.4"/>
    <s v="Complete Access"/>
    <x v="435"/>
    <x v="1"/>
    <x v="23"/>
    <d v="1900-01-04T00:00:00"/>
    <n v="28"/>
    <x v="7"/>
    <x v="3"/>
  </r>
  <r>
    <x v="748"/>
    <n v="-0.99"/>
    <x v="1641"/>
    <n v="6480.11"/>
    <s v="Complete Access"/>
    <x v="4"/>
    <x v="1"/>
    <x v="1"/>
    <d v="1900-01-04T00:00:00"/>
    <n v="28"/>
    <x v="7"/>
    <x v="3"/>
  </r>
  <r>
    <x v="748"/>
    <n v="-7.3"/>
    <x v="1641"/>
    <n v="6481.1"/>
    <s v="Complete Access"/>
    <x v="4"/>
    <x v="1"/>
    <x v="1"/>
    <d v="1900-01-04T00:00:00"/>
    <n v="28"/>
    <x v="7"/>
    <x v="3"/>
  </r>
  <r>
    <x v="749"/>
    <n v="-16.8"/>
    <x v="1642"/>
    <n v="6523.4"/>
    <s v="Complete Access"/>
    <x v="47"/>
    <x v="1"/>
    <x v="5"/>
    <d v="1900-01-02T00:00:00"/>
    <n v="28"/>
    <x v="7"/>
    <x v="3"/>
  </r>
  <r>
    <x v="749"/>
    <n v="-14"/>
    <x v="1157"/>
    <n v="6509.4"/>
    <s v="Complete Access"/>
    <x v="0"/>
    <x v="0"/>
    <x v="0"/>
    <d v="1900-01-02T00:00:00"/>
    <n v="28"/>
    <x v="7"/>
    <x v="3"/>
  </r>
  <r>
    <x v="750"/>
    <n v="-22"/>
    <x v="1643"/>
    <n v="6540.2"/>
    <s v="Complete Access"/>
    <x v="436"/>
    <x v="20"/>
    <x v="63"/>
    <d v="1900-01-01T00:00:00"/>
    <n v="27"/>
    <x v="7"/>
    <x v="3"/>
  </r>
  <r>
    <x v="751"/>
    <n v="-180.55"/>
    <x v="1644"/>
    <n v="6562.2"/>
    <s v="Complete Access"/>
    <x v="76"/>
    <x v="2"/>
    <x v="2"/>
    <d v="1899-12-31T00:00:00"/>
    <n v="27"/>
    <x v="7"/>
    <x v="3"/>
  </r>
  <r>
    <x v="752"/>
    <n v="-8.15"/>
    <x v="1645"/>
    <n v="6876.64"/>
    <s v="Complete Access"/>
    <x v="285"/>
    <x v="5"/>
    <x v="8"/>
    <d v="1900-01-27T00:00:00"/>
    <n v="27"/>
    <x v="8"/>
    <x v="3"/>
  </r>
  <r>
    <x v="752"/>
    <n v="-31.99"/>
    <x v="1646"/>
    <n v="6742.75"/>
    <s v="Complete Access"/>
    <x v="343"/>
    <x v="1"/>
    <x v="5"/>
    <d v="1900-01-27T00:00:00"/>
    <n v="27"/>
    <x v="8"/>
    <x v="3"/>
  </r>
  <r>
    <x v="752"/>
    <n v="-7.5"/>
    <x v="1647"/>
    <n v="6796.99"/>
    <s v="Complete Access"/>
    <x v="35"/>
    <x v="1"/>
    <x v="23"/>
    <d v="1900-01-27T00:00:00"/>
    <n v="27"/>
    <x v="8"/>
    <x v="3"/>
  </r>
  <r>
    <x v="752"/>
    <n v="-22.25"/>
    <x v="1648"/>
    <n v="6774.74"/>
    <s v="Complete Access"/>
    <x v="437"/>
    <x v="1"/>
    <x v="5"/>
    <d v="1900-01-27T00:00:00"/>
    <n v="27"/>
    <x v="8"/>
    <x v="3"/>
  </r>
  <r>
    <x v="752"/>
    <n v="-72.150000000000006"/>
    <x v="1649"/>
    <n v="6804.49"/>
    <s v="Complete Access"/>
    <x v="1"/>
    <x v="1"/>
    <x v="1"/>
    <d v="1900-01-27T00:00:00"/>
    <n v="27"/>
    <x v="8"/>
    <x v="3"/>
  </r>
  <r>
    <x v="753"/>
    <n v="-62.5"/>
    <x v="1390"/>
    <n v="6884.79"/>
    <s v="Complete Access"/>
    <x v="390"/>
    <x v="1"/>
    <x v="5"/>
    <d v="1900-01-26T00:00:00"/>
    <n v="27"/>
    <x v="8"/>
    <x v="3"/>
  </r>
  <r>
    <x v="754"/>
    <n v="-6"/>
    <x v="1650"/>
    <n v="6947.29"/>
    <s v="Complete Access"/>
    <x v="220"/>
    <x v="1"/>
    <x v="5"/>
    <d v="1900-01-24T00:00:00"/>
    <n v="26"/>
    <x v="8"/>
    <x v="3"/>
  </r>
  <r>
    <x v="755"/>
    <n v="50"/>
    <x v="1651"/>
    <n v="6953.29"/>
    <s v="Complete Access"/>
    <x v="36"/>
    <x v="0"/>
    <x v="0"/>
    <d v="1900-01-23T00:00:00"/>
    <n v="26"/>
    <x v="8"/>
    <x v="3"/>
  </r>
  <r>
    <x v="756"/>
    <n v="-500"/>
    <x v="656"/>
    <n v="7261.95"/>
    <s v="Complete Access"/>
    <x v="13"/>
    <x v="0"/>
    <x v="0"/>
    <d v="1900-01-22T00:00:00"/>
    <n v="26"/>
    <x v="8"/>
    <x v="3"/>
  </r>
  <r>
    <x v="756"/>
    <n v="70"/>
    <x v="1652"/>
    <n v="7331.95"/>
    <s v="Complete Access"/>
    <x v="36"/>
    <x v="0"/>
    <x v="0"/>
    <d v="1900-01-22T00:00:00"/>
    <n v="26"/>
    <x v="8"/>
    <x v="3"/>
  </r>
  <r>
    <x v="756"/>
    <n v="2325.65"/>
    <x v="1653"/>
    <n v="7761.95"/>
    <s v="Complete Access"/>
    <x v="14"/>
    <x v="6"/>
    <x v="9"/>
    <d v="1900-01-22T00:00:00"/>
    <n v="26"/>
    <x v="8"/>
    <x v="3"/>
  </r>
  <r>
    <x v="756"/>
    <n v="-428.66"/>
    <x v="989"/>
    <n v="6903.29"/>
    <s v="Complete Access"/>
    <x v="332"/>
    <x v="1"/>
    <x v="5"/>
    <d v="1900-01-22T00:00:00"/>
    <n v="26"/>
    <x v="8"/>
    <x v="3"/>
  </r>
  <r>
    <x v="757"/>
    <n v="-53.88"/>
    <x v="1654"/>
    <n v="5474.17"/>
    <s v="Complete Access"/>
    <x v="20"/>
    <x v="9"/>
    <x v="12"/>
    <d v="1900-01-21T00:00:00"/>
    <n v="26"/>
    <x v="8"/>
    <x v="3"/>
  </r>
  <r>
    <x v="757"/>
    <n v="-37.869999999999997"/>
    <x v="1655"/>
    <n v="5436.3"/>
    <s v="Complete Access"/>
    <x v="1"/>
    <x v="1"/>
    <x v="1"/>
    <d v="1900-01-21T00:00:00"/>
    <n v="26"/>
    <x v="8"/>
    <x v="3"/>
  </r>
  <r>
    <x v="758"/>
    <n v="-5.99"/>
    <x v="1656"/>
    <n v="5181.25"/>
    <s v="Complete Access"/>
    <x v="352"/>
    <x v="4"/>
    <x v="67"/>
    <d v="1900-01-20T00:00:00"/>
    <n v="26"/>
    <x v="8"/>
    <x v="3"/>
  </r>
  <r>
    <x v="758"/>
    <n v="365.8"/>
    <x v="1657"/>
    <n v="5528.05"/>
    <s v="Complete Access"/>
    <x v="67"/>
    <x v="0"/>
    <x v="0"/>
    <d v="1900-01-20T00:00:00"/>
    <n v="26"/>
    <x v="8"/>
    <x v="3"/>
  </r>
  <r>
    <x v="758"/>
    <n v="-19"/>
    <x v="1658"/>
    <n v="5162.25"/>
    <s v="Complete Access"/>
    <x v="1"/>
    <x v="1"/>
    <x v="1"/>
    <d v="1900-01-20T00:00:00"/>
    <n v="26"/>
    <x v="8"/>
    <x v="3"/>
  </r>
  <r>
    <x v="759"/>
    <n v="-176"/>
    <x v="1659"/>
    <n v="5187.24"/>
    <s v="Complete Access"/>
    <x v="438"/>
    <x v="12"/>
    <x v="21"/>
    <d v="1900-01-19T00:00:00"/>
    <n v="26"/>
    <x v="8"/>
    <x v="3"/>
  </r>
  <r>
    <x v="759"/>
    <n v="1520"/>
    <x v="1660"/>
    <n v="5363.24"/>
    <s v="Complete Access"/>
    <x v="67"/>
    <x v="0"/>
    <x v="0"/>
    <d v="1900-01-19T00:00:00"/>
    <n v="26"/>
    <x v="8"/>
    <x v="3"/>
  </r>
  <r>
    <x v="760"/>
    <n v="-6.44"/>
    <x v="1661"/>
    <n v="3992.72"/>
    <s v="Complete Access"/>
    <x v="285"/>
    <x v="5"/>
    <x v="8"/>
    <d v="1900-01-17T00:00:00"/>
    <n v="25"/>
    <x v="8"/>
    <x v="3"/>
  </r>
  <r>
    <x v="760"/>
    <n v="-11.65"/>
    <x v="1662"/>
    <n v="3843.24"/>
    <s v="Complete Access"/>
    <x v="439"/>
    <x v="15"/>
    <x v="34"/>
    <d v="1900-01-17T00:00:00"/>
    <n v="25"/>
    <x v="8"/>
    <x v="3"/>
  </r>
  <r>
    <x v="760"/>
    <n v="-110.74"/>
    <x v="1663"/>
    <n v="3881.98"/>
    <s v="Complete Access"/>
    <x v="1"/>
    <x v="1"/>
    <x v="1"/>
    <d v="1900-01-17T00:00:00"/>
    <n v="25"/>
    <x v="8"/>
    <x v="3"/>
  </r>
  <r>
    <x v="760"/>
    <n v="-27.09"/>
    <x v="1664"/>
    <n v="3854.89"/>
    <s v="Complete Access"/>
    <x v="34"/>
    <x v="9"/>
    <x v="12"/>
    <d v="1900-01-17T00:00:00"/>
    <n v="25"/>
    <x v="8"/>
    <x v="3"/>
  </r>
  <r>
    <x v="761"/>
    <n v="-87.4"/>
    <x v="1665"/>
    <n v="3999.16"/>
    <s v="Complete Access"/>
    <x v="440"/>
    <x v="8"/>
    <x v="22"/>
    <d v="1900-01-16T00:00:00"/>
    <n v="25"/>
    <x v="8"/>
    <x v="3"/>
  </r>
  <r>
    <x v="761"/>
    <n v="-69"/>
    <x v="1666"/>
    <n v="4086.56"/>
    <s v="Complete Access"/>
    <x v="207"/>
    <x v="7"/>
    <x v="11"/>
    <d v="1900-01-16T00:00:00"/>
    <n v="25"/>
    <x v="8"/>
    <x v="3"/>
  </r>
  <r>
    <x v="762"/>
    <n v="-22.79"/>
    <x v="1667"/>
    <n v="4272.5600000000004"/>
    <s v="Complete Access"/>
    <x v="8"/>
    <x v="1"/>
    <x v="5"/>
    <d v="1900-01-15T00:00:00"/>
    <n v="25"/>
    <x v="8"/>
    <x v="3"/>
  </r>
  <r>
    <x v="762"/>
    <n v="-15"/>
    <x v="1668"/>
    <n v="4228.5600000000004"/>
    <s v="Complete Access"/>
    <x v="441"/>
    <x v="1"/>
    <x v="5"/>
    <d v="1900-01-15T00:00:00"/>
    <n v="25"/>
    <x v="8"/>
    <x v="3"/>
  </r>
  <r>
    <x v="762"/>
    <n v="-12"/>
    <x v="1669"/>
    <n v="4260.5600000000004"/>
    <s v="Complete Access"/>
    <x v="442"/>
    <x v="8"/>
    <x v="29"/>
    <d v="1900-01-15T00:00:00"/>
    <n v="25"/>
    <x v="8"/>
    <x v="3"/>
  </r>
  <r>
    <x v="762"/>
    <n v="-17"/>
    <x v="1670"/>
    <n v="4243.5600000000004"/>
    <s v="Complete Access"/>
    <x v="443"/>
    <x v="1"/>
    <x v="5"/>
    <d v="1900-01-15T00:00:00"/>
    <n v="25"/>
    <x v="8"/>
    <x v="3"/>
  </r>
  <r>
    <x v="762"/>
    <n v="-18"/>
    <x v="1671"/>
    <n v="4210.5600000000004"/>
    <s v="Complete Access"/>
    <x v="444"/>
    <x v="1"/>
    <x v="5"/>
    <d v="1900-01-15T00:00:00"/>
    <n v="25"/>
    <x v="8"/>
    <x v="3"/>
  </r>
  <r>
    <x v="762"/>
    <n v="-55"/>
    <x v="1672"/>
    <n v="4155.5600000000004"/>
    <s v="Complete Access"/>
    <x v="433"/>
    <x v="7"/>
    <x v="53"/>
    <d v="1900-01-15T00:00:00"/>
    <n v="25"/>
    <x v="8"/>
    <x v="3"/>
  </r>
  <r>
    <x v="763"/>
    <n v="10"/>
    <x v="1673"/>
    <n v="4295.3500000000004"/>
    <s v="Complete Access"/>
    <x v="36"/>
    <x v="0"/>
    <x v="0"/>
    <d v="1900-01-14T00:00:00"/>
    <n v="25"/>
    <x v="8"/>
    <x v="3"/>
  </r>
  <r>
    <x v="763"/>
    <n v="-24"/>
    <x v="1674"/>
    <n v="4285.3500000000004"/>
    <s v="Complete Access"/>
    <x v="445"/>
    <x v="20"/>
    <x v="63"/>
    <d v="1900-01-14T00:00:00"/>
    <n v="25"/>
    <x v="8"/>
    <x v="3"/>
  </r>
  <r>
    <x v="764"/>
    <n v="-5.3"/>
    <x v="1675"/>
    <n v="4418.93"/>
    <s v="Complete Access"/>
    <x v="285"/>
    <x v="5"/>
    <x v="8"/>
    <d v="1900-01-13T00:00:00"/>
    <n v="25"/>
    <x v="8"/>
    <x v="3"/>
  </r>
  <r>
    <x v="764"/>
    <n v="-68"/>
    <x v="1676"/>
    <n v="4350.93"/>
    <s v="Complete Access"/>
    <x v="35"/>
    <x v="1"/>
    <x v="23"/>
    <d v="1900-01-13T00:00:00"/>
    <n v="25"/>
    <x v="8"/>
    <x v="3"/>
  </r>
  <r>
    <x v="764"/>
    <n v="-2.63"/>
    <x v="1677"/>
    <n v="4325.8"/>
    <s v="Complete Access"/>
    <x v="44"/>
    <x v="4"/>
    <x v="27"/>
    <d v="1900-01-13T00:00:00"/>
    <n v="25"/>
    <x v="8"/>
    <x v="3"/>
  </r>
  <r>
    <x v="764"/>
    <n v="-16.45"/>
    <x v="1678"/>
    <n v="4309.3500000000004"/>
    <s v="Complete Access"/>
    <x v="367"/>
    <x v="4"/>
    <x v="7"/>
    <d v="1900-01-13T00:00:00"/>
    <n v="25"/>
    <x v="8"/>
    <x v="3"/>
  </r>
  <r>
    <x v="764"/>
    <n v="-22.5"/>
    <x v="1679"/>
    <n v="4328.43"/>
    <s v="Complete Access"/>
    <x v="446"/>
    <x v="1"/>
    <x v="5"/>
    <d v="1900-01-13T00:00:00"/>
    <n v="25"/>
    <x v="8"/>
    <x v="3"/>
  </r>
  <r>
    <x v="765"/>
    <n v="-10"/>
    <x v="1157"/>
    <n v="4424.2299999999996"/>
    <s v="Complete Access"/>
    <x v="0"/>
    <x v="0"/>
    <x v="0"/>
    <d v="1900-01-12T00:00:00"/>
    <n v="25"/>
    <x v="8"/>
    <x v="3"/>
  </r>
  <r>
    <x v="766"/>
    <n v="40"/>
    <x v="1680"/>
    <n v="4434.2299999999996"/>
    <s v="Complete Access"/>
    <x v="36"/>
    <x v="0"/>
    <x v="0"/>
    <d v="1900-01-11T00:00:00"/>
    <n v="25"/>
    <x v="8"/>
    <x v="3"/>
  </r>
  <r>
    <x v="767"/>
    <n v="-3.99"/>
    <x v="966"/>
    <n v="4434.2299999999996"/>
    <s v="Complete Access"/>
    <x v="215"/>
    <x v="1"/>
    <x v="1"/>
    <d v="1900-01-10T00:00:00"/>
    <n v="24"/>
    <x v="8"/>
    <x v="3"/>
  </r>
  <r>
    <x v="767"/>
    <n v="-38.54"/>
    <x v="969"/>
    <n v="4438.22"/>
    <s v="Complete Access"/>
    <x v="177"/>
    <x v="1"/>
    <x v="1"/>
    <d v="1900-01-10T00:00:00"/>
    <n v="24"/>
    <x v="8"/>
    <x v="3"/>
  </r>
  <r>
    <x v="767"/>
    <n v="-40"/>
    <x v="1681"/>
    <n v="4394.2299999999996"/>
    <s v="Complete Access"/>
    <x v="0"/>
    <x v="0"/>
    <x v="0"/>
    <d v="1900-01-10T00:00:00"/>
    <n v="24"/>
    <x v="8"/>
    <x v="3"/>
  </r>
  <r>
    <x v="768"/>
    <n v="-9.24"/>
    <x v="1682"/>
    <n v="4758.8500000000004"/>
    <s v="Complete Access"/>
    <x v="285"/>
    <x v="5"/>
    <x v="8"/>
    <d v="1900-01-09T00:00:00"/>
    <n v="24"/>
    <x v="8"/>
    <x v="3"/>
  </r>
  <r>
    <x v="768"/>
    <n v="-2.4"/>
    <x v="1683"/>
    <n v="4480.76"/>
    <s v="Complete Access"/>
    <x v="447"/>
    <x v="3"/>
    <x v="26"/>
    <d v="1900-01-09T00:00:00"/>
    <n v="24"/>
    <x v="8"/>
    <x v="3"/>
  </r>
  <r>
    <x v="768"/>
    <n v="-275.69"/>
    <x v="1684"/>
    <n v="4483.16"/>
    <s v="Complete Access"/>
    <x v="295"/>
    <x v="14"/>
    <x v="66"/>
    <d v="1900-01-09T00:00:00"/>
    <n v="24"/>
    <x v="8"/>
    <x v="3"/>
  </r>
  <r>
    <x v="768"/>
    <n v="-4"/>
    <x v="1685"/>
    <n v="4476.76"/>
    <s v="Complete Access"/>
    <x v="277"/>
    <x v="8"/>
    <x v="29"/>
    <d v="1900-01-09T00:00:00"/>
    <n v="24"/>
    <x v="8"/>
    <x v="3"/>
  </r>
  <r>
    <x v="769"/>
    <n v="-500"/>
    <x v="656"/>
    <n v="4597.8599999999997"/>
    <s v="Complete Access"/>
    <x v="13"/>
    <x v="0"/>
    <x v="0"/>
    <d v="1900-01-08T00:00:00"/>
    <n v="24"/>
    <x v="8"/>
    <x v="3"/>
  </r>
  <r>
    <x v="769"/>
    <n v="-7.58"/>
    <x v="1686"/>
    <n v="4590.28"/>
    <s v="Complete Access"/>
    <x v="285"/>
    <x v="5"/>
    <x v="8"/>
    <d v="1900-01-08T00:00:00"/>
    <n v="24"/>
    <x v="8"/>
    <x v="3"/>
  </r>
  <r>
    <x v="769"/>
    <n v="2325.65"/>
    <x v="1424"/>
    <n v="5097.8599999999997"/>
    <s v="Complete Access"/>
    <x v="14"/>
    <x v="6"/>
    <x v="9"/>
    <d v="1900-01-08T00:00:00"/>
    <n v="24"/>
    <x v="8"/>
    <x v="3"/>
  </r>
  <r>
    <x v="769"/>
    <n v="189.81"/>
    <x v="1687"/>
    <n v="4768.09"/>
    <s v="Complete Access"/>
    <x v="67"/>
    <x v="0"/>
    <x v="0"/>
    <d v="1900-01-08T00:00:00"/>
    <n v="24"/>
    <x v="8"/>
    <x v="3"/>
  </r>
  <r>
    <x v="769"/>
    <n v="-12"/>
    <x v="1688"/>
    <n v="4578.28"/>
    <s v="Complete Access"/>
    <x v="1"/>
    <x v="1"/>
    <x v="1"/>
    <d v="1900-01-08T00:00:00"/>
    <n v="24"/>
    <x v="8"/>
    <x v="3"/>
  </r>
  <r>
    <x v="770"/>
    <n v="-9.24"/>
    <x v="1689"/>
    <n v="2905.21"/>
    <s v="Complete Access"/>
    <x v="285"/>
    <x v="5"/>
    <x v="8"/>
    <d v="1900-01-07T00:00:00"/>
    <n v="24"/>
    <x v="8"/>
    <x v="3"/>
  </r>
  <r>
    <x v="770"/>
    <n v="-11.9"/>
    <x v="1690"/>
    <n v="2880.11"/>
    <s v="Complete Access"/>
    <x v="448"/>
    <x v="1"/>
    <x v="5"/>
    <d v="1900-01-07T00:00:00"/>
    <n v="24"/>
    <x v="8"/>
    <x v="3"/>
  </r>
  <r>
    <x v="770"/>
    <n v="-107.9"/>
    <x v="1688"/>
    <n v="2772.21"/>
    <s v="Complete Access"/>
    <x v="1"/>
    <x v="1"/>
    <x v="1"/>
    <d v="1900-01-07T00:00:00"/>
    <n v="24"/>
    <x v="8"/>
    <x v="3"/>
  </r>
  <r>
    <x v="770"/>
    <n v="-13.2"/>
    <x v="1691"/>
    <n v="2892.01"/>
    <s v="Complete Access"/>
    <x v="417"/>
    <x v="1"/>
    <x v="1"/>
    <d v="1900-01-07T00:00:00"/>
    <n v="24"/>
    <x v="8"/>
    <x v="3"/>
  </r>
  <r>
    <x v="771"/>
    <n v="-26.09"/>
    <x v="1692"/>
    <n v="3409.24"/>
    <s v="Complete Access"/>
    <x v="8"/>
    <x v="1"/>
    <x v="5"/>
    <d v="1900-01-06T00:00:00"/>
    <n v="24"/>
    <x v="8"/>
    <x v="3"/>
  </r>
  <r>
    <x v="771"/>
    <n v="-470.17"/>
    <x v="1693"/>
    <n v="2914.45"/>
    <s v="Complete Access"/>
    <x v="295"/>
    <x v="14"/>
    <x v="66"/>
    <d v="1900-01-06T00:00:00"/>
    <n v="24"/>
    <x v="8"/>
    <x v="3"/>
  </r>
  <r>
    <x v="771"/>
    <n v="-18.62"/>
    <x v="1694"/>
    <n v="3390.62"/>
    <s v="Complete Access"/>
    <x v="426"/>
    <x v="1"/>
    <x v="5"/>
    <d v="1900-01-06T00:00:00"/>
    <n v="24"/>
    <x v="8"/>
    <x v="3"/>
  </r>
  <r>
    <x v="771"/>
    <n v="-6"/>
    <x v="1695"/>
    <n v="3384.62"/>
    <s v="Complete Access"/>
    <x v="449"/>
    <x v="8"/>
    <x v="70"/>
    <d v="1900-01-06T00:00:00"/>
    <n v="24"/>
    <x v="8"/>
    <x v="3"/>
  </r>
  <r>
    <x v="772"/>
    <n v="-5"/>
    <x v="1345"/>
    <n v="3435.33"/>
    <s v="Complete Access"/>
    <x v="383"/>
    <x v="1"/>
    <x v="5"/>
    <d v="1900-01-05T00:00:00"/>
    <n v="24"/>
    <x v="8"/>
    <x v="3"/>
  </r>
  <r>
    <x v="773"/>
    <n v="-24.1"/>
    <x v="96"/>
    <n v="3440.33"/>
    <s v="Complete Access"/>
    <x v="47"/>
    <x v="1"/>
    <x v="5"/>
    <d v="1900-01-04T00:00:00"/>
    <n v="24"/>
    <x v="8"/>
    <x v="3"/>
  </r>
  <r>
    <x v="774"/>
    <n v="-24.5"/>
    <x v="1696"/>
    <n v="3464.43"/>
    <s v="Complete Access"/>
    <x v="61"/>
    <x v="1"/>
    <x v="1"/>
    <d v="1900-01-03T00:00:00"/>
    <n v="23"/>
    <x v="8"/>
    <x v="3"/>
  </r>
  <r>
    <x v="774"/>
    <n v="-13.65"/>
    <x v="1697"/>
    <n v="3488.93"/>
    <s v="Complete Access"/>
    <x v="333"/>
    <x v="1"/>
    <x v="5"/>
    <d v="1900-01-03T00:00:00"/>
    <n v="23"/>
    <x v="8"/>
    <x v="3"/>
  </r>
  <r>
    <x v="775"/>
    <n v="-9.24"/>
    <x v="1698"/>
    <n v="3556.68"/>
    <s v="Complete Access"/>
    <x v="285"/>
    <x v="5"/>
    <x v="8"/>
    <d v="1900-01-02T00:00:00"/>
    <n v="23"/>
    <x v="8"/>
    <x v="3"/>
  </r>
  <r>
    <x v="775"/>
    <n v="-54.1"/>
    <x v="1699"/>
    <n v="3502.58"/>
    <s v="Complete Access"/>
    <x v="417"/>
    <x v="1"/>
    <x v="1"/>
    <d v="1900-01-02T00:00:00"/>
    <n v="23"/>
    <x v="8"/>
    <x v="3"/>
  </r>
  <r>
    <x v="776"/>
    <n v="-25.52"/>
    <x v="1700"/>
    <n v="2839.51"/>
    <s v="Complete Access"/>
    <x v="61"/>
    <x v="1"/>
    <x v="1"/>
    <d v="1900-01-01T00:00:00"/>
    <n v="23"/>
    <x v="8"/>
    <x v="3"/>
  </r>
  <r>
    <x v="776"/>
    <n v="-60.99"/>
    <x v="1701"/>
    <n v="2900.03"/>
    <s v="Complete Access"/>
    <x v="210"/>
    <x v="3"/>
    <x v="15"/>
    <d v="1900-01-01T00:00:00"/>
    <n v="23"/>
    <x v="8"/>
    <x v="3"/>
  </r>
  <r>
    <x v="776"/>
    <n v="-33.590000000000003"/>
    <x v="1306"/>
    <n v="3565.92"/>
    <s v="Complete Access"/>
    <x v="381"/>
    <x v="1"/>
    <x v="1"/>
    <d v="1900-01-01T00:00:00"/>
    <n v="23"/>
    <x v="8"/>
    <x v="3"/>
  </r>
  <r>
    <x v="776"/>
    <n v="-35"/>
    <x v="1702"/>
    <n v="2865.03"/>
    <s v="Complete Access"/>
    <x v="29"/>
    <x v="4"/>
    <x v="19"/>
    <d v="1900-01-01T00:00:00"/>
    <n v="23"/>
    <x v="8"/>
    <x v="3"/>
  </r>
  <r>
    <x v="776"/>
    <n v="-14.07"/>
    <x v="1703"/>
    <n v="2961.02"/>
    <s v="Complete Access"/>
    <x v="450"/>
    <x v="9"/>
    <x v="32"/>
    <d v="1900-01-01T00:00:00"/>
    <n v="23"/>
    <x v="8"/>
    <x v="3"/>
  </r>
  <r>
    <x v="776"/>
    <n v="-7.04"/>
    <x v="1703"/>
    <n v="2975.09"/>
    <s v="Complete Access"/>
    <x v="450"/>
    <x v="9"/>
    <x v="32"/>
    <d v="1900-01-01T00:00:00"/>
    <n v="23"/>
    <x v="8"/>
    <x v="3"/>
  </r>
  <r>
    <x v="776"/>
    <n v="760"/>
    <x v="1704"/>
    <n v="3599.51"/>
    <s v="Complete Access"/>
    <x v="67"/>
    <x v="0"/>
    <x v="0"/>
    <d v="1900-01-01T00:00:00"/>
    <n v="23"/>
    <x v="8"/>
    <x v="3"/>
  </r>
  <r>
    <x v="777"/>
    <n v="-11.42"/>
    <x v="1705"/>
    <n v="3148.34"/>
    <s v="Complete Access"/>
    <x v="61"/>
    <x v="1"/>
    <x v="1"/>
    <d v="1899-12-31T00:00:00"/>
    <n v="23"/>
    <x v="8"/>
    <x v="3"/>
  </r>
  <r>
    <x v="777"/>
    <n v="-32.19"/>
    <x v="1706"/>
    <n v="3163.76"/>
    <s v="Complete Access"/>
    <x v="8"/>
    <x v="1"/>
    <x v="5"/>
    <d v="1899-12-31T00:00:00"/>
    <n v="23"/>
    <x v="8"/>
    <x v="3"/>
  </r>
  <r>
    <x v="777"/>
    <n v="75"/>
    <x v="1707"/>
    <n v="3162.68"/>
    <s v="Complete Access"/>
    <x v="36"/>
    <x v="0"/>
    <x v="0"/>
    <d v="1899-12-31T00:00:00"/>
    <n v="23"/>
    <x v="8"/>
    <x v="3"/>
  </r>
  <r>
    <x v="777"/>
    <n v="-60.66"/>
    <x v="989"/>
    <n v="3087.68"/>
    <s v="Complete Access"/>
    <x v="332"/>
    <x v="1"/>
    <x v="5"/>
    <d v="1899-12-31T00:00:00"/>
    <n v="23"/>
    <x v="8"/>
    <x v="3"/>
  </r>
  <r>
    <x v="777"/>
    <n v="-4"/>
    <x v="1708"/>
    <n v="3159.76"/>
    <s v="Complete Access"/>
    <x v="269"/>
    <x v="1"/>
    <x v="1"/>
    <d v="1899-12-31T00:00:00"/>
    <n v="23"/>
    <x v="8"/>
    <x v="3"/>
  </r>
  <r>
    <x v="777"/>
    <n v="-180.55"/>
    <x v="1709"/>
    <n v="2982.13"/>
    <s v="Complete Access"/>
    <x v="76"/>
    <x v="2"/>
    <x v="2"/>
    <d v="1899-12-31T00:00:00"/>
    <n v="23"/>
    <x v="8"/>
    <x v="3"/>
  </r>
  <r>
    <x v="778"/>
    <n v="-61.79"/>
    <x v="1710"/>
    <n v="3246.32"/>
    <s v="Complete Access"/>
    <x v="8"/>
    <x v="1"/>
    <x v="5"/>
    <d v="1900-01-30T00:00:00"/>
    <n v="23"/>
    <x v="9"/>
    <x v="3"/>
  </r>
  <r>
    <x v="778"/>
    <n v="-7.99"/>
    <x v="1711"/>
    <n v="3238.33"/>
    <s v="Complete Access"/>
    <x v="15"/>
    <x v="4"/>
    <x v="10"/>
    <d v="1900-01-30T00:00:00"/>
    <n v="23"/>
    <x v="9"/>
    <x v="3"/>
  </r>
  <r>
    <x v="778"/>
    <n v="-10"/>
    <x v="1712"/>
    <n v="3218.35"/>
    <s v="Complete Access"/>
    <x v="1"/>
    <x v="1"/>
    <x v="1"/>
    <d v="1900-01-30T00:00:00"/>
    <n v="23"/>
    <x v="9"/>
    <x v="3"/>
  </r>
  <r>
    <x v="778"/>
    <n v="-22.4"/>
    <x v="436"/>
    <n v="3195.95"/>
    <s v="Complete Access"/>
    <x v="186"/>
    <x v="1"/>
    <x v="5"/>
    <d v="1900-01-30T00:00:00"/>
    <n v="23"/>
    <x v="9"/>
    <x v="3"/>
  </r>
  <r>
    <x v="778"/>
    <n v="-9.98"/>
    <x v="1713"/>
    <n v="3228.35"/>
    <s v="Complete Access"/>
    <x v="221"/>
    <x v="1"/>
    <x v="5"/>
    <d v="1900-01-30T00:00:00"/>
    <n v="23"/>
    <x v="9"/>
    <x v="3"/>
  </r>
  <r>
    <x v="779"/>
    <n v="-500"/>
    <x v="1714"/>
    <n v="3308.11"/>
    <s v="Complete Access"/>
    <x v="451"/>
    <x v="19"/>
    <x v="61"/>
    <d v="1900-01-29T00:00:00"/>
    <n v="23"/>
    <x v="9"/>
    <x v="3"/>
  </r>
  <r>
    <x v="779"/>
    <n v="-12.04"/>
    <x v="1715"/>
    <n v="3808.11"/>
    <s v="Complete Access"/>
    <x v="4"/>
    <x v="1"/>
    <x v="1"/>
    <d v="1900-01-29T00:00:00"/>
    <n v="23"/>
    <x v="9"/>
    <x v="3"/>
  </r>
  <r>
    <x v="780"/>
    <n v="-7.05"/>
    <x v="1716"/>
    <n v="3885.15"/>
    <s v="Complete Access"/>
    <x v="61"/>
    <x v="1"/>
    <x v="1"/>
    <d v="1900-01-27T00:00:00"/>
    <n v="22"/>
    <x v="9"/>
    <x v="3"/>
  </r>
  <r>
    <x v="780"/>
    <n v="-47.32"/>
    <x v="1717"/>
    <n v="3918.63"/>
    <s v="Complete Access"/>
    <x v="20"/>
    <x v="9"/>
    <x v="12"/>
    <d v="1900-01-27T00:00:00"/>
    <n v="22"/>
    <x v="9"/>
    <x v="3"/>
  </r>
  <r>
    <x v="780"/>
    <n v="-22.23"/>
    <x v="1718"/>
    <n v="3896.4"/>
    <s v="Complete Access"/>
    <x v="304"/>
    <x v="1"/>
    <x v="5"/>
    <d v="1900-01-27T00:00:00"/>
    <n v="22"/>
    <x v="9"/>
    <x v="3"/>
  </r>
  <r>
    <x v="780"/>
    <n v="-4.2"/>
    <x v="1719"/>
    <n v="3892.2"/>
    <s v="Complete Access"/>
    <x v="34"/>
    <x v="9"/>
    <x v="12"/>
    <d v="1900-01-27T00:00:00"/>
    <n v="22"/>
    <x v="9"/>
    <x v="3"/>
  </r>
  <r>
    <x v="780"/>
    <n v="-65"/>
    <x v="1720"/>
    <n v="3820.15"/>
    <s v="Complete Access"/>
    <x v="0"/>
    <x v="0"/>
    <x v="0"/>
    <d v="1900-01-27T00:00:00"/>
    <n v="22"/>
    <x v="9"/>
    <x v="3"/>
  </r>
  <r>
    <x v="781"/>
    <n v="-15"/>
    <x v="1721"/>
    <n v="4003.55"/>
    <s v="Complete Access"/>
    <x v="61"/>
    <x v="1"/>
    <x v="1"/>
    <d v="1900-01-26T00:00:00"/>
    <n v="22"/>
    <x v="9"/>
    <x v="3"/>
  </r>
  <r>
    <x v="781"/>
    <n v="-9.24"/>
    <x v="1722"/>
    <n v="4018.55"/>
    <s v="Complete Access"/>
    <x v="285"/>
    <x v="5"/>
    <x v="8"/>
    <d v="1900-01-26T00:00:00"/>
    <n v="22"/>
    <x v="9"/>
    <x v="3"/>
  </r>
  <r>
    <x v="781"/>
    <n v="-9.3000000000000007"/>
    <x v="1723"/>
    <n v="3994.25"/>
    <s v="Complete Access"/>
    <x v="452"/>
    <x v="1"/>
    <x v="5"/>
    <d v="1900-01-26T00:00:00"/>
    <n v="22"/>
    <x v="9"/>
    <x v="3"/>
  </r>
  <r>
    <x v="781"/>
    <n v="-28.3"/>
    <x v="1724"/>
    <n v="3965.95"/>
    <s v="Complete Access"/>
    <x v="453"/>
    <x v="8"/>
    <x v="22"/>
    <d v="1900-01-26T00:00:00"/>
    <n v="22"/>
    <x v="9"/>
    <x v="3"/>
  </r>
  <r>
    <x v="782"/>
    <n v="-760"/>
    <x v="656"/>
    <n v="4044.18"/>
    <s v="Complete Access"/>
    <x v="13"/>
    <x v="0"/>
    <x v="0"/>
    <d v="1900-01-25T00:00:00"/>
    <n v="22"/>
    <x v="9"/>
    <x v="3"/>
  </r>
  <r>
    <x v="782"/>
    <n v="-7.15"/>
    <x v="1725"/>
    <n v="4027.79"/>
    <s v="Complete Access"/>
    <x v="61"/>
    <x v="1"/>
    <x v="1"/>
    <d v="1900-01-25T00:00:00"/>
    <n v="22"/>
    <x v="9"/>
    <x v="3"/>
  </r>
  <r>
    <x v="782"/>
    <n v="-9.24"/>
    <x v="1726"/>
    <n v="4034.94"/>
    <s v="Complete Access"/>
    <x v="285"/>
    <x v="5"/>
    <x v="8"/>
    <d v="1900-01-25T00:00:00"/>
    <n v="22"/>
    <x v="9"/>
    <x v="3"/>
  </r>
  <r>
    <x v="782"/>
    <n v="2325.66"/>
    <x v="1727"/>
    <n v="4804.18"/>
    <s v="Complete Access"/>
    <x v="14"/>
    <x v="6"/>
    <x v="9"/>
    <d v="1900-01-25T00:00:00"/>
    <n v="22"/>
    <x v="9"/>
    <x v="3"/>
  </r>
  <r>
    <x v="783"/>
    <n v="-16.3"/>
    <x v="1728"/>
    <n v="2528.62"/>
    <s v="Complete Access"/>
    <x v="61"/>
    <x v="1"/>
    <x v="1"/>
    <d v="1900-01-24T00:00:00"/>
    <n v="22"/>
    <x v="9"/>
    <x v="3"/>
  </r>
  <r>
    <x v="783"/>
    <n v="-8.1"/>
    <x v="1729"/>
    <n v="2713.43"/>
    <s v="Complete Access"/>
    <x v="285"/>
    <x v="5"/>
    <x v="8"/>
    <d v="1900-01-24T00:00:00"/>
    <n v="22"/>
    <x v="9"/>
    <x v="3"/>
  </r>
  <r>
    <x v="783"/>
    <n v="-119.6"/>
    <x v="1730"/>
    <n v="2544.92"/>
    <s v="Complete Access"/>
    <x v="454"/>
    <x v="3"/>
    <x v="60"/>
    <d v="1900-01-24T00:00:00"/>
    <n v="22"/>
    <x v="9"/>
    <x v="3"/>
  </r>
  <r>
    <x v="783"/>
    <n v="-25.7"/>
    <x v="96"/>
    <n v="2478.52"/>
    <s v="Complete Access"/>
    <x v="47"/>
    <x v="1"/>
    <x v="5"/>
    <d v="1900-01-24T00:00:00"/>
    <n v="22"/>
    <x v="9"/>
    <x v="3"/>
  </r>
  <r>
    <x v="783"/>
    <n v="-6.8"/>
    <x v="1731"/>
    <n v="2706.63"/>
    <s v="Complete Access"/>
    <x v="98"/>
    <x v="9"/>
    <x v="32"/>
    <d v="1900-01-24T00:00:00"/>
    <n v="22"/>
    <x v="9"/>
    <x v="3"/>
  </r>
  <r>
    <x v="783"/>
    <n v="-24.4"/>
    <x v="436"/>
    <n v="2504.2199999999998"/>
    <s v="Complete Access"/>
    <x v="186"/>
    <x v="1"/>
    <x v="5"/>
    <d v="1900-01-24T00:00:00"/>
    <n v="22"/>
    <x v="9"/>
    <x v="3"/>
  </r>
  <r>
    <x v="783"/>
    <n v="-42.11"/>
    <x v="1732"/>
    <n v="2664.52"/>
    <s v="Complete Access"/>
    <x v="91"/>
    <x v="9"/>
    <x v="12"/>
    <d v="1900-01-24T00:00:00"/>
    <n v="22"/>
    <x v="9"/>
    <x v="3"/>
  </r>
  <r>
    <x v="784"/>
    <n v="-5"/>
    <x v="1345"/>
    <n v="2721.53"/>
    <s v="Complete Access"/>
    <x v="383"/>
    <x v="1"/>
    <x v="5"/>
    <d v="1900-01-23T00:00:00"/>
    <n v="22"/>
    <x v="9"/>
    <x v="3"/>
  </r>
  <r>
    <x v="784"/>
    <n v="-4.8"/>
    <x v="1345"/>
    <n v="2726.53"/>
    <s v="Complete Access"/>
    <x v="383"/>
    <x v="1"/>
    <x v="5"/>
    <d v="1900-01-23T00:00:00"/>
    <n v="22"/>
    <x v="9"/>
    <x v="3"/>
  </r>
  <r>
    <x v="784"/>
    <n v="-40.19"/>
    <x v="1733"/>
    <n v="2937.28"/>
    <s v="Complete Access"/>
    <x v="8"/>
    <x v="1"/>
    <x v="5"/>
    <d v="1900-01-23T00:00:00"/>
    <n v="22"/>
    <x v="9"/>
    <x v="3"/>
  </r>
  <r>
    <x v="784"/>
    <n v="-60.79"/>
    <x v="1734"/>
    <n v="2731.33"/>
    <s v="Complete Access"/>
    <x v="8"/>
    <x v="1"/>
    <x v="5"/>
    <d v="1900-01-23T00:00:00"/>
    <n v="22"/>
    <x v="9"/>
    <x v="3"/>
  </r>
  <r>
    <x v="784"/>
    <n v="-8.65"/>
    <x v="1735"/>
    <n v="2792.12"/>
    <s v="Complete Access"/>
    <x v="455"/>
    <x v="8"/>
    <x v="29"/>
    <d v="1900-01-23T00:00:00"/>
    <n v="22"/>
    <x v="9"/>
    <x v="3"/>
  </r>
  <r>
    <x v="784"/>
    <n v="-113.5"/>
    <x v="1736"/>
    <n v="2800.77"/>
    <s v="Complete Access"/>
    <x v="456"/>
    <x v="1"/>
    <x v="5"/>
    <d v="1900-01-23T00:00:00"/>
    <n v="22"/>
    <x v="9"/>
    <x v="3"/>
  </r>
  <r>
    <x v="784"/>
    <n v="-3.5"/>
    <x v="1737"/>
    <n v="2933.78"/>
    <s v="Complete Access"/>
    <x v="269"/>
    <x v="1"/>
    <x v="1"/>
    <d v="1900-01-23T00:00:00"/>
    <n v="22"/>
    <x v="9"/>
    <x v="3"/>
  </r>
  <r>
    <x v="784"/>
    <n v="-19.510000000000002"/>
    <x v="1738"/>
    <n v="2914.27"/>
    <s v="Complete Access"/>
    <x v="1"/>
    <x v="1"/>
    <x v="1"/>
    <d v="1900-01-23T00:00:00"/>
    <n v="22"/>
    <x v="9"/>
    <x v="3"/>
  </r>
  <r>
    <x v="785"/>
    <n v="-5"/>
    <x v="1617"/>
    <n v="3001.37"/>
    <s v="Complete Access"/>
    <x v="421"/>
    <x v="20"/>
    <x v="63"/>
    <d v="1900-01-22T00:00:00"/>
    <n v="22"/>
    <x v="9"/>
    <x v="3"/>
  </r>
  <r>
    <x v="785"/>
    <n v="-23.9"/>
    <x v="1739"/>
    <n v="2977.47"/>
    <s v="Complete Access"/>
    <x v="457"/>
    <x v="1"/>
    <x v="5"/>
    <d v="1900-01-22T00:00:00"/>
    <n v="22"/>
    <x v="9"/>
    <x v="3"/>
  </r>
  <r>
    <x v="786"/>
    <n v="30"/>
    <x v="1740"/>
    <n v="3006.37"/>
    <s v="Complete Access"/>
    <x v="36"/>
    <x v="0"/>
    <x v="0"/>
    <d v="1900-01-20T00:00:00"/>
    <n v="21"/>
    <x v="9"/>
    <x v="3"/>
  </r>
  <r>
    <x v="786"/>
    <n v="-17.71"/>
    <x v="1741"/>
    <n v="2976.37"/>
    <s v="Complete Access"/>
    <x v="1"/>
    <x v="1"/>
    <x v="1"/>
    <d v="1900-01-20T00:00:00"/>
    <n v="21"/>
    <x v="9"/>
    <x v="3"/>
  </r>
  <r>
    <x v="786"/>
    <n v="-21.63"/>
    <x v="1742"/>
    <n v="2994.08"/>
    <s v="Complete Access"/>
    <x v="34"/>
    <x v="9"/>
    <x v="12"/>
    <d v="1900-01-20T00:00:00"/>
    <n v="21"/>
    <x v="9"/>
    <x v="3"/>
  </r>
  <r>
    <x v="787"/>
    <n v="-5.99"/>
    <x v="1743"/>
    <n v="3027.86"/>
    <s v="Complete Access"/>
    <x v="352"/>
    <x v="4"/>
    <x v="67"/>
    <d v="1900-01-19T00:00:00"/>
    <n v="21"/>
    <x v="9"/>
    <x v="3"/>
  </r>
  <r>
    <x v="787"/>
    <n v="-12.15"/>
    <x v="96"/>
    <n v="3015.71"/>
    <s v="Complete Access"/>
    <x v="47"/>
    <x v="1"/>
    <x v="5"/>
    <d v="1900-01-19T00:00:00"/>
    <n v="21"/>
    <x v="9"/>
    <x v="3"/>
  </r>
  <r>
    <x v="788"/>
    <n v="100"/>
    <x v="1744"/>
    <n v="3033.85"/>
    <s v="Complete Access"/>
    <x v="36"/>
    <x v="0"/>
    <x v="0"/>
    <d v="1900-01-18T00:00:00"/>
    <n v="21"/>
    <x v="9"/>
    <x v="3"/>
  </r>
  <r>
    <x v="788"/>
    <n v="-69"/>
    <x v="1745"/>
    <n v="2947.98"/>
    <s v="Complete Access"/>
    <x v="207"/>
    <x v="7"/>
    <x v="11"/>
    <d v="1900-01-18T00:00:00"/>
    <n v="21"/>
    <x v="9"/>
    <x v="3"/>
  </r>
  <r>
    <x v="788"/>
    <n v="-14.13"/>
    <x v="1130"/>
    <n v="2933.85"/>
    <s v="Complete Access"/>
    <x v="351"/>
    <x v="1"/>
    <x v="5"/>
    <d v="1900-01-18T00:00:00"/>
    <n v="21"/>
    <x v="9"/>
    <x v="3"/>
  </r>
  <r>
    <x v="789"/>
    <n v="-218"/>
    <x v="1746"/>
    <n v="3016.98"/>
    <s v="Complete Access"/>
    <x v="0"/>
    <x v="0"/>
    <x v="0"/>
    <d v="1900-01-17T00:00:00"/>
    <n v="21"/>
    <x v="9"/>
    <x v="3"/>
  </r>
  <r>
    <x v="789"/>
    <n v="-23.89"/>
    <x v="1747"/>
    <n v="3248.98"/>
    <s v="Complete Access"/>
    <x v="8"/>
    <x v="1"/>
    <x v="5"/>
    <d v="1900-01-17T00:00:00"/>
    <n v="21"/>
    <x v="9"/>
    <x v="3"/>
  </r>
  <r>
    <x v="789"/>
    <n v="-9.24"/>
    <x v="1748"/>
    <n v="3300.28"/>
    <s v="Complete Access"/>
    <x v="285"/>
    <x v="5"/>
    <x v="8"/>
    <d v="1900-01-17T00:00:00"/>
    <n v="21"/>
    <x v="9"/>
    <x v="3"/>
  </r>
  <r>
    <x v="789"/>
    <n v="-14"/>
    <x v="1130"/>
    <n v="3234.98"/>
    <s v="Complete Access"/>
    <x v="351"/>
    <x v="1"/>
    <x v="5"/>
    <d v="1900-01-17T00:00:00"/>
    <n v="21"/>
    <x v="9"/>
    <x v="3"/>
  </r>
  <r>
    <x v="789"/>
    <n v="-27.41"/>
    <x v="1749"/>
    <n v="3272.87"/>
    <s v="Complete Access"/>
    <x v="458"/>
    <x v="20"/>
    <x v="63"/>
    <d v="1900-01-17T00:00:00"/>
    <n v="21"/>
    <x v="9"/>
    <x v="3"/>
  </r>
  <r>
    <x v="790"/>
    <n v="-26.87"/>
    <x v="1750"/>
    <n v="3532.51"/>
    <s v="Complete Access"/>
    <x v="8"/>
    <x v="1"/>
    <x v="5"/>
    <d v="1900-01-16T00:00:00"/>
    <n v="21"/>
    <x v="9"/>
    <x v="3"/>
  </r>
  <r>
    <x v="790"/>
    <n v="-30.82"/>
    <x v="1751"/>
    <n v="3559.38"/>
    <s v="Complete Access"/>
    <x v="8"/>
    <x v="1"/>
    <x v="5"/>
    <d v="1900-01-16T00:00:00"/>
    <n v="21"/>
    <x v="9"/>
    <x v="3"/>
  </r>
  <r>
    <x v="790"/>
    <n v="-21.45"/>
    <x v="1751"/>
    <n v="3590.2"/>
    <s v="Complete Access"/>
    <x v="8"/>
    <x v="1"/>
    <x v="5"/>
    <d v="1900-01-16T00:00:00"/>
    <n v="21"/>
    <x v="9"/>
    <x v="3"/>
  </r>
  <r>
    <x v="790"/>
    <n v="-54.99"/>
    <x v="1752"/>
    <n v="3477.52"/>
    <s v="Complete Access"/>
    <x v="459"/>
    <x v="1"/>
    <x v="23"/>
    <d v="1900-01-16T00:00:00"/>
    <n v="21"/>
    <x v="9"/>
    <x v="3"/>
  </r>
  <r>
    <x v="790"/>
    <n v="-18.899999999999999"/>
    <x v="96"/>
    <n v="3364.52"/>
    <s v="Complete Access"/>
    <x v="47"/>
    <x v="1"/>
    <x v="5"/>
    <d v="1900-01-16T00:00:00"/>
    <n v="21"/>
    <x v="9"/>
    <x v="3"/>
  </r>
  <r>
    <x v="790"/>
    <n v="-43.45"/>
    <x v="1753"/>
    <n v="3383.42"/>
    <s v="Complete Access"/>
    <x v="460"/>
    <x v="8"/>
    <x v="29"/>
    <d v="1900-01-16T00:00:00"/>
    <n v="21"/>
    <x v="9"/>
    <x v="3"/>
  </r>
  <r>
    <x v="790"/>
    <n v="-50.65"/>
    <x v="1753"/>
    <n v="3426.87"/>
    <s v="Complete Access"/>
    <x v="460"/>
    <x v="8"/>
    <x v="29"/>
    <d v="1900-01-16T00:00:00"/>
    <n v="21"/>
    <x v="9"/>
    <x v="3"/>
  </r>
  <r>
    <x v="790"/>
    <n v="-55"/>
    <x v="1754"/>
    <n v="3309.52"/>
    <s v="Complete Access"/>
    <x v="433"/>
    <x v="7"/>
    <x v="53"/>
    <d v="1900-01-16T00:00:00"/>
    <n v="21"/>
    <x v="9"/>
    <x v="3"/>
  </r>
  <r>
    <x v="791"/>
    <n v="-5.3"/>
    <x v="1617"/>
    <n v="3611.65"/>
    <s v="Complete Access"/>
    <x v="421"/>
    <x v="20"/>
    <x v="63"/>
    <d v="1900-01-15T00:00:00"/>
    <n v="21"/>
    <x v="9"/>
    <x v="3"/>
  </r>
  <r>
    <x v="792"/>
    <n v="-50"/>
    <x v="1755"/>
    <n v="3621.95"/>
    <s v="Complete Access"/>
    <x v="130"/>
    <x v="0"/>
    <x v="0"/>
    <d v="1900-01-14T00:00:00"/>
    <n v="21"/>
    <x v="9"/>
    <x v="3"/>
  </r>
  <r>
    <x v="792"/>
    <n v="-5"/>
    <x v="72"/>
    <n v="3616.95"/>
    <s v="Complete Access"/>
    <x v="37"/>
    <x v="0"/>
    <x v="0"/>
    <d v="1900-01-14T00:00:00"/>
    <n v="21"/>
    <x v="9"/>
    <x v="3"/>
  </r>
  <r>
    <x v="793"/>
    <n v="-150"/>
    <x v="1756"/>
    <n v="3676.95"/>
    <s v="Complete Access"/>
    <x v="130"/>
    <x v="0"/>
    <x v="0"/>
    <d v="1900-01-13T00:00:00"/>
    <n v="20"/>
    <x v="9"/>
    <x v="3"/>
  </r>
  <r>
    <x v="793"/>
    <n v="-5"/>
    <x v="1757"/>
    <n v="3671.95"/>
    <s v="Complete Access"/>
    <x v="37"/>
    <x v="0"/>
    <x v="0"/>
    <d v="1900-01-13T00:00:00"/>
    <n v="20"/>
    <x v="9"/>
    <x v="3"/>
  </r>
  <r>
    <x v="793"/>
    <n v="-13.9"/>
    <x v="1758"/>
    <n v="3853.2"/>
    <s v="Complete Access"/>
    <x v="47"/>
    <x v="1"/>
    <x v="5"/>
    <d v="1900-01-13T00:00:00"/>
    <n v="20"/>
    <x v="9"/>
    <x v="3"/>
  </r>
  <r>
    <x v="793"/>
    <n v="-26.25"/>
    <x v="1759"/>
    <n v="3826.95"/>
    <s v="Complete Access"/>
    <x v="461"/>
    <x v="15"/>
    <x v="34"/>
    <d v="1900-01-13T00:00:00"/>
    <n v="20"/>
    <x v="9"/>
    <x v="3"/>
  </r>
  <r>
    <x v="794"/>
    <n v="40"/>
    <x v="1760"/>
    <n v="3867.1"/>
    <s v="Complete Access"/>
    <x v="36"/>
    <x v="0"/>
    <x v="0"/>
    <d v="1900-01-12T00:00:00"/>
    <n v="20"/>
    <x v="9"/>
    <x v="3"/>
  </r>
  <r>
    <x v="795"/>
    <n v="-760"/>
    <x v="656"/>
    <n v="3837.17"/>
    <s v="Complete Access"/>
    <x v="13"/>
    <x v="0"/>
    <x v="0"/>
    <d v="1900-01-11T00:00:00"/>
    <n v="20"/>
    <x v="9"/>
    <x v="3"/>
  </r>
  <r>
    <x v="795"/>
    <n v="2468.7199999999998"/>
    <x v="1761"/>
    <n v="4597.17"/>
    <s v="Complete Access"/>
    <x v="14"/>
    <x v="6"/>
    <x v="9"/>
    <d v="1900-01-11T00:00:00"/>
    <n v="20"/>
    <x v="9"/>
    <x v="3"/>
  </r>
  <r>
    <x v="795"/>
    <n v="-2.0699999999999998"/>
    <x v="1762"/>
    <n v="3827.1"/>
    <s v="Complete Access"/>
    <x v="1"/>
    <x v="1"/>
    <x v="1"/>
    <d v="1900-01-11T00:00:00"/>
    <n v="20"/>
    <x v="9"/>
    <x v="3"/>
  </r>
  <r>
    <x v="795"/>
    <n v="-8"/>
    <x v="1763"/>
    <n v="3829.17"/>
    <s v="Complete Access"/>
    <x v="367"/>
    <x v="4"/>
    <x v="7"/>
    <d v="1900-01-11T00:00:00"/>
    <n v="20"/>
    <x v="9"/>
    <x v="3"/>
  </r>
  <r>
    <x v="796"/>
    <n v="-7.45"/>
    <x v="1764"/>
    <n v="2128.4499999999998"/>
    <s v="Complete Access"/>
    <x v="285"/>
    <x v="5"/>
    <x v="8"/>
    <d v="1900-01-10T00:00:00"/>
    <n v="20"/>
    <x v="9"/>
    <x v="3"/>
  </r>
  <r>
    <x v="797"/>
    <n v="-110"/>
    <x v="1765"/>
    <n v="2135.9"/>
    <s v="Complete Access"/>
    <x v="0"/>
    <x v="0"/>
    <x v="0"/>
    <d v="1900-01-09T00:00:00"/>
    <n v="20"/>
    <x v="9"/>
    <x v="3"/>
  </r>
  <r>
    <x v="797"/>
    <n v="-17.27"/>
    <x v="1766"/>
    <n v="2267.0100000000002"/>
    <s v="Complete Access"/>
    <x v="462"/>
    <x v="1"/>
    <x v="5"/>
    <d v="1900-01-09T00:00:00"/>
    <n v="20"/>
    <x v="9"/>
    <x v="3"/>
  </r>
  <r>
    <x v="797"/>
    <n v="-21.11"/>
    <x v="1641"/>
    <n v="2245.9"/>
    <s v="Complete Access"/>
    <x v="4"/>
    <x v="1"/>
    <x v="1"/>
    <d v="1900-01-09T00:00:00"/>
    <n v="20"/>
    <x v="9"/>
    <x v="3"/>
  </r>
  <r>
    <x v="798"/>
    <n v="9.5"/>
    <x v="1767"/>
    <n v="2284.2800000000002"/>
    <s v="Complete Access"/>
    <x v="36"/>
    <x v="0"/>
    <x v="0"/>
    <d v="1900-01-08T00:00:00"/>
    <n v="20"/>
    <x v="9"/>
    <x v="3"/>
  </r>
  <r>
    <x v="798"/>
    <n v="-10"/>
    <x v="1617"/>
    <n v="2274.7800000000002"/>
    <s v="Complete Access"/>
    <x v="421"/>
    <x v="20"/>
    <x v="63"/>
    <d v="1900-01-08T00:00:00"/>
    <n v="20"/>
    <x v="9"/>
    <x v="3"/>
  </r>
  <r>
    <x v="799"/>
    <n v="-50"/>
    <x v="1768"/>
    <n v="2284.7800000000002"/>
    <s v="Complete Access"/>
    <x v="463"/>
    <x v="10"/>
    <x v="13"/>
    <d v="1900-01-07T00:00:00"/>
    <n v="20"/>
    <x v="9"/>
    <x v="3"/>
  </r>
  <r>
    <x v="800"/>
    <n v="-4.46"/>
    <x v="1769"/>
    <n v="2334.7800000000002"/>
    <s v="Complete Access"/>
    <x v="177"/>
    <x v="1"/>
    <x v="1"/>
    <d v="1900-01-06T00:00:00"/>
    <n v="19"/>
    <x v="9"/>
    <x v="3"/>
  </r>
  <r>
    <x v="801"/>
    <n v="-103.79"/>
    <x v="1770"/>
    <n v="2351.7399999999998"/>
    <s v="Complete Access"/>
    <x v="1"/>
    <x v="1"/>
    <x v="1"/>
    <d v="1900-01-05T00:00:00"/>
    <n v="19"/>
    <x v="9"/>
    <x v="3"/>
  </r>
  <r>
    <x v="801"/>
    <n v="-12.5"/>
    <x v="1771"/>
    <n v="2339.2399999999998"/>
    <s v="Complete Access"/>
    <x v="0"/>
    <x v="0"/>
    <x v="0"/>
    <d v="1900-01-05T00:00:00"/>
    <n v="19"/>
    <x v="9"/>
    <x v="3"/>
  </r>
  <r>
    <x v="802"/>
    <n v="-18.79"/>
    <x v="1772"/>
    <n v="2455.5300000000002"/>
    <s v="Complete Access"/>
    <x v="34"/>
    <x v="9"/>
    <x v="12"/>
    <d v="1900-01-04T00:00:00"/>
    <n v="19"/>
    <x v="9"/>
    <x v="3"/>
  </r>
  <r>
    <x v="803"/>
    <n v="-90"/>
    <x v="1773"/>
    <n v="2474.3200000000002"/>
    <s v="Complete Access"/>
    <x v="438"/>
    <x v="12"/>
    <x v="21"/>
    <d v="1900-01-03T00:00:00"/>
    <n v="19"/>
    <x v="9"/>
    <x v="3"/>
  </r>
  <r>
    <x v="804"/>
    <n v="15"/>
    <x v="1774"/>
    <n v="2564.3200000000002"/>
    <s v="Complete Access"/>
    <x v="160"/>
    <x v="17"/>
    <x v="43"/>
    <d v="1900-01-02T00:00:00"/>
    <n v="19"/>
    <x v="9"/>
    <x v="3"/>
  </r>
  <r>
    <x v="805"/>
    <n v="-22.15"/>
    <x v="96"/>
    <n v="2729.87"/>
    <s v="Complete Access"/>
    <x v="47"/>
    <x v="1"/>
    <x v="5"/>
    <d v="1900-01-01T00:00:00"/>
    <n v="19"/>
    <x v="9"/>
    <x v="3"/>
  </r>
  <r>
    <x v="805"/>
    <n v="-180.55"/>
    <x v="1775"/>
    <n v="2549.3200000000002"/>
    <s v="Complete Access"/>
    <x v="76"/>
    <x v="2"/>
    <x v="2"/>
    <d v="1900-01-01T00:00:00"/>
    <n v="19"/>
    <x v="9"/>
    <x v="3"/>
  </r>
  <r>
    <x v="806"/>
    <n v="-70.209999999999994"/>
    <x v="1776"/>
    <n v="2752.02"/>
    <s v="Complete Access"/>
    <x v="61"/>
    <x v="1"/>
    <x v="1"/>
    <d v="1900-01-28T00:00:00"/>
    <n v="18"/>
    <x v="10"/>
    <x v="3"/>
  </r>
  <r>
    <x v="806"/>
    <n v="-7.5"/>
    <x v="1777"/>
    <n v="2822.23"/>
    <s v="Complete Access"/>
    <x v="464"/>
    <x v="11"/>
    <x v="14"/>
    <d v="1900-01-28T00:00:00"/>
    <n v="18"/>
    <x v="10"/>
    <x v="3"/>
  </r>
  <r>
    <x v="807"/>
    <n v="-760"/>
    <x v="656"/>
    <n v="2849.73"/>
    <s v="Complete Access"/>
    <x v="13"/>
    <x v="0"/>
    <x v="0"/>
    <d v="1900-01-27T00:00:00"/>
    <n v="18"/>
    <x v="10"/>
    <x v="3"/>
  </r>
  <r>
    <x v="807"/>
    <n v="2248.56"/>
    <x v="503"/>
    <n v="3609.73"/>
    <s v="Complete Access"/>
    <x v="14"/>
    <x v="6"/>
    <x v="9"/>
    <d v="1900-01-27T00:00:00"/>
    <n v="18"/>
    <x v="10"/>
    <x v="3"/>
  </r>
  <r>
    <x v="807"/>
    <n v="-20"/>
    <x v="1778"/>
    <n v="2829.73"/>
    <s v="Complete Access"/>
    <x v="465"/>
    <x v="3"/>
    <x v="58"/>
    <d v="1900-01-27T00:00:00"/>
    <n v="18"/>
    <x v="10"/>
    <x v="3"/>
  </r>
  <r>
    <x v="808"/>
    <n v="-11.71"/>
    <x v="1779"/>
    <n v="1612.61"/>
    <s v="Complete Access"/>
    <x v="8"/>
    <x v="1"/>
    <x v="5"/>
    <d v="1900-01-26T00:00:00"/>
    <n v="18"/>
    <x v="10"/>
    <x v="3"/>
  </r>
  <r>
    <x v="808"/>
    <n v="-10"/>
    <x v="1779"/>
    <n v="1624.32"/>
    <s v="Complete Access"/>
    <x v="8"/>
    <x v="1"/>
    <x v="5"/>
    <d v="1900-01-26T00:00:00"/>
    <n v="18"/>
    <x v="10"/>
    <x v="3"/>
  </r>
  <r>
    <x v="808"/>
    <n v="-25.85"/>
    <x v="1780"/>
    <n v="1379.77"/>
    <s v="Complete Access"/>
    <x v="8"/>
    <x v="1"/>
    <x v="5"/>
    <d v="1900-01-26T00:00:00"/>
    <n v="18"/>
    <x v="10"/>
    <x v="3"/>
  </r>
  <r>
    <x v="808"/>
    <n v="-39.090000000000003"/>
    <x v="1780"/>
    <n v="1573.52"/>
    <s v="Complete Access"/>
    <x v="8"/>
    <x v="1"/>
    <x v="5"/>
    <d v="1900-01-26T00:00:00"/>
    <n v="18"/>
    <x v="10"/>
    <x v="3"/>
  </r>
  <r>
    <x v="808"/>
    <n v="-11.05"/>
    <x v="1781"/>
    <n v="1361.17"/>
    <s v="Complete Access"/>
    <x v="466"/>
    <x v="1"/>
    <x v="1"/>
    <d v="1900-01-26T00:00:00"/>
    <n v="18"/>
    <x v="10"/>
    <x v="3"/>
  </r>
  <r>
    <x v="808"/>
    <n v="-33.65"/>
    <x v="1782"/>
    <n v="1713.69"/>
    <s v="Complete Access"/>
    <x v="467"/>
    <x v="1"/>
    <x v="5"/>
    <d v="1900-01-26T00:00:00"/>
    <n v="18"/>
    <x v="10"/>
    <x v="3"/>
  </r>
  <r>
    <x v="808"/>
    <n v="-35"/>
    <x v="1783"/>
    <n v="1678.69"/>
    <s v="Complete Access"/>
    <x v="192"/>
    <x v="4"/>
    <x v="20"/>
    <d v="1900-01-26T00:00:00"/>
    <n v="18"/>
    <x v="10"/>
    <x v="3"/>
  </r>
  <r>
    <x v="808"/>
    <n v="-7.55"/>
    <x v="1784"/>
    <n v="1372.22"/>
    <s v="Complete Access"/>
    <x v="468"/>
    <x v="20"/>
    <x v="63"/>
    <d v="1900-01-26T00:00:00"/>
    <n v="18"/>
    <x v="10"/>
    <x v="3"/>
  </r>
  <r>
    <x v="808"/>
    <n v="-44.37"/>
    <x v="1785"/>
    <n v="1634.32"/>
    <s v="Complete Access"/>
    <x v="104"/>
    <x v="1"/>
    <x v="5"/>
    <d v="1900-01-26T00:00:00"/>
    <n v="18"/>
    <x v="10"/>
    <x v="3"/>
  </r>
  <r>
    <x v="808"/>
    <n v="-26.9"/>
    <x v="1786"/>
    <n v="1405.62"/>
    <s v="Complete Access"/>
    <x v="304"/>
    <x v="1"/>
    <x v="5"/>
    <d v="1900-01-26T00:00:00"/>
    <n v="18"/>
    <x v="10"/>
    <x v="3"/>
  </r>
  <r>
    <x v="808"/>
    <n v="-33"/>
    <x v="1787"/>
    <n v="1432.52"/>
    <s v="Complete Access"/>
    <x v="425"/>
    <x v="8"/>
    <x v="29"/>
    <d v="1900-01-26T00:00:00"/>
    <n v="18"/>
    <x v="10"/>
    <x v="3"/>
  </r>
  <r>
    <x v="808"/>
    <n v="-24"/>
    <x v="1787"/>
    <n v="1465.52"/>
    <s v="Complete Access"/>
    <x v="425"/>
    <x v="8"/>
    <x v="29"/>
    <d v="1900-01-26T00:00:00"/>
    <n v="18"/>
    <x v="10"/>
    <x v="3"/>
  </r>
  <r>
    <x v="808"/>
    <n v="-34"/>
    <x v="1787"/>
    <n v="1489.52"/>
    <s v="Complete Access"/>
    <x v="425"/>
    <x v="8"/>
    <x v="29"/>
    <d v="1900-01-26T00:00:00"/>
    <n v="18"/>
    <x v="10"/>
    <x v="3"/>
  </r>
  <r>
    <x v="808"/>
    <n v="-28"/>
    <x v="1787"/>
    <n v="1523.52"/>
    <s v="Complete Access"/>
    <x v="425"/>
    <x v="8"/>
    <x v="29"/>
    <d v="1900-01-26T00:00:00"/>
    <n v="18"/>
    <x v="10"/>
    <x v="3"/>
  </r>
  <r>
    <x v="808"/>
    <n v="-22"/>
    <x v="1787"/>
    <n v="1551.52"/>
    <s v="Complete Access"/>
    <x v="425"/>
    <x v="8"/>
    <x v="29"/>
    <d v="1900-01-26T00:00:00"/>
    <n v="18"/>
    <x v="10"/>
    <x v="3"/>
  </r>
  <r>
    <x v="809"/>
    <n v="-72.17"/>
    <x v="1788"/>
    <n v="1747.34"/>
    <s v="Complete Access"/>
    <x v="469"/>
    <x v="1"/>
    <x v="5"/>
    <d v="1900-01-24T00:00:00"/>
    <n v="18"/>
    <x v="10"/>
    <x v="3"/>
  </r>
  <r>
    <x v="810"/>
    <n v="-13.65"/>
    <x v="1789"/>
    <n v="1825.41"/>
    <s v="Complete Access"/>
    <x v="333"/>
    <x v="1"/>
    <x v="5"/>
    <d v="1900-01-22T00:00:00"/>
    <n v="17"/>
    <x v="10"/>
    <x v="3"/>
  </r>
  <r>
    <x v="810"/>
    <n v="-5.9"/>
    <x v="1790"/>
    <n v="1819.51"/>
    <s v="Complete Access"/>
    <x v="243"/>
    <x v="1"/>
    <x v="23"/>
    <d v="1900-01-22T00:00:00"/>
    <n v="17"/>
    <x v="10"/>
    <x v="3"/>
  </r>
  <r>
    <x v="811"/>
    <n v="-72.45"/>
    <x v="1791"/>
    <n v="1839.06"/>
    <s v="Complete Access"/>
    <x v="470"/>
    <x v="8"/>
    <x v="40"/>
    <d v="1900-01-21T00:00:00"/>
    <n v="17"/>
    <x v="10"/>
    <x v="3"/>
  </r>
  <r>
    <x v="811"/>
    <n v="-69"/>
    <x v="1792"/>
    <n v="1911.51"/>
    <s v="Complete Access"/>
    <x v="207"/>
    <x v="7"/>
    <x v="11"/>
    <d v="1900-01-21T00:00:00"/>
    <n v="17"/>
    <x v="10"/>
    <x v="3"/>
  </r>
  <r>
    <x v="811"/>
    <n v="-12.7"/>
    <x v="1793"/>
    <n v="2090.87"/>
    <s v="Complete Access"/>
    <x v="471"/>
    <x v="15"/>
    <x v="34"/>
    <d v="1900-01-21T00:00:00"/>
    <n v="17"/>
    <x v="10"/>
    <x v="3"/>
  </r>
  <r>
    <x v="811"/>
    <n v="-57.12"/>
    <x v="1794"/>
    <n v="1980.51"/>
    <s v="Complete Access"/>
    <x v="471"/>
    <x v="15"/>
    <x v="34"/>
    <d v="1900-01-21T00:00:00"/>
    <n v="17"/>
    <x v="10"/>
    <x v="3"/>
  </r>
  <r>
    <x v="811"/>
    <n v="-53.24"/>
    <x v="1794"/>
    <n v="2037.63"/>
    <s v="Complete Access"/>
    <x v="471"/>
    <x v="15"/>
    <x v="34"/>
    <d v="1900-01-21T00:00:00"/>
    <n v="17"/>
    <x v="10"/>
    <x v="3"/>
  </r>
  <r>
    <x v="812"/>
    <n v="-86.59"/>
    <x v="1795"/>
    <n v="2129.15"/>
    <s v="Complete Access"/>
    <x v="256"/>
    <x v="4"/>
    <x v="47"/>
    <d v="1900-01-20T00:00:00"/>
    <n v="17"/>
    <x v="10"/>
    <x v="3"/>
  </r>
  <r>
    <x v="812"/>
    <n v="-3.3"/>
    <x v="1796"/>
    <n v="2215.7399999999998"/>
    <s v="Complete Access"/>
    <x v="220"/>
    <x v="1"/>
    <x v="5"/>
    <d v="1900-01-20T00:00:00"/>
    <n v="17"/>
    <x v="10"/>
    <x v="3"/>
  </r>
  <r>
    <x v="812"/>
    <n v="-13"/>
    <x v="96"/>
    <n v="2103.5700000000002"/>
    <s v="Complete Access"/>
    <x v="47"/>
    <x v="1"/>
    <x v="5"/>
    <d v="1900-01-20T00:00:00"/>
    <n v="17"/>
    <x v="10"/>
    <x v="3"/>
  </r>
  <r>
    <x v="812"/>
    <n v="-2.6"/>
    <x v="1797"/>
    <n v="2126.5500000000002"/>
    <s v="Complete Access"/>
    <x v="10"/>
    <x v="0"/>
    <x v="0"/>
    <d v="1900-01-20T00:00:00"/>
    <n v="17"/>
    <x v="10"/>
    <x v="3"/>
  </r>
  <r>
    <x v="812"/>
    <n v="-9.98"/>
    <x v="966"/>
    <n v="2116.5700000000002"/>
    <s v="Complete Access"/>
    <x v="215"/>
    <x v="1"/>
    <x v="1"/>
    <d v="1900-01-20T00:00:00"/>
    <n v="17"/>
    <x v="10"/>
    <x v="3"/>
  </r>
  <r>
    <x v="813"/>
    <n v="-10"/>
    <x v="1798"/>
    <n v="2615.9"/>
    <s v="Complete Access"/>
    <x v="472"/>
    <x v="8"/>
    <x v="40"/>
    <d v="1900-01-19T00:00:00"/>
    <n v="17"/>
    <x v="10"/>
    <x v="3"/>
  </r>
  <r>
    <x v="813"/>
    <n v="-38.159999999999997"/>
    <x v="1799"/>
    <n v="2625.9"/>
    <s v="Complete Access"/>
    <x v="8"/>
    <x v="1"/>
    <x v="5"/>
    <d v="1900-01-19T00:00:00"/>
    <n v="17"/>
    <x v="10"/>
    <x v="3"/>
  </r>
  <r>
    <x v="813"/>
    <n v="-56.6"/>
    <x v="1800"/>
    <n v="2774.95"/>
    <s v="Complete Access"/>
    <x v="473"/>
    <x v="1"/>
    <x v="5"/>
    <d v="1900-01-19T00:00:00"/>
    <n v="17"/>
    <x v="10"/>
    <x v="3"/>
  </r>
  <r>
    <x v="813"/>
    <n v="-13.09"/>
    <x v="1588"/>
    <n v="2219.04"/>
    <s v="Complete Access"/>
    <x v="423"/>
    <x v="1"/>
    <x v="5"/>
    <d v="1900-01-19T00:00:00"/>
    <n v="17"/>
    <x v="10"/>
    <x v="3"/>
  </r>
  <r>
    <x v="813"/>
    <n v="-17.899999999999999"/>
    <x v="1801"/>
    <n v="2831.55"/>
    <s v="Complete Access"/>
    <x v="474"/>
    <x v="1"/>
    <x v="5"/>
    <d v="1900-01-19T00:00:00"/>
    <n v="17"/>
    <x v="10"/>
    <x v="3"/>
  </r>
  <r>
    <x v="813"/>
    <n v="-227.7"/>
    <x v="1802"/>
    <n v="2388.1999999999998"/>
    <s v="Complete Access"/>
    <x v="475"/>
    <x v="8"/>
    <x v="40"/>
    <d v="1900-01-19T00:00:00"/>
    <n v="17"/>
    <x v="10"/>
    <x v="3"/>
  </r>
  <r>
    <x v="813"/>
    <n v="-5.99"/>
    <x v="1803"/>
    <n v="2852.95"/>
    <s v="Complete Access"/>
    <x v="476"/>
    <x v="4"/>
    <x v="7"/>
    <d v="1900-01-19T00:00:00"/>
    <n v="17"/>
    <x v="10"/>
    <x v="3"/>
  </r>
  <r>
    <x v="813"/>
    <n v="-110.89"/>
    <x v="1804"/>
    <n v="2664.06"/>
    <s v="Complete Access"/>
    <x v="477"/>
    <x v="8"/>
    <x v="29"/>
    <d v="1900-01-19T00:00:00"/>
    <n v="17"/>
    <x v="10"/>
    <x v="3"/>
  </r>
  <r>
    <x v="813"/>
    <n v="-37.07"/>
    <x v="1805"/>
    <n v="2232.13"/>
    <s v="Complete Access"/>
    <x v="1"/>
    <x v="1"/>
    <x v="1"/>
    <d v="1900-01-19T00:00:00"/>
    <n v="17"/>
    <x v="10"/>
    <x v="3"/>
  </r>
  <r>
    <x v="813"/>
    <n v="-3.5"/>
    <x v="1806"/>
    <n v="2849.45"/>
    <s v="Complete Access"/>
    <x v="91"/>
    <x v="9"/>
    <x v="12"/>
    <d v="1900-01-19T00:00:00"/>
    <n v="17"/>
    <x v="10"/>
    <x v="3"/>
  </r>
  <r>
    <x v="813"/>
    <n v="-119"/>
    <x v="1807"/>
    <n v="2269.1999999999998"/>
    <s v="Complete Access"/>
    <x v="77"/>
    <x v="4"/>
    <x v="27"/>
    <d v="1900-01-19T00:00:00"/>
    <n v="17"/>
    <x v="10"/>
    <x v="3"/>
  </r>
  <r>
    <x v="814"/>
    <n v="-8.1"/>
    <x v="1617"/>
    <n v="2913.94"/>
    <s v="Complete Access"/>
    <x v="421"/>
    <x v="20"/>
    <x v="63"/>
    <d v="1900-01-18T00:00:00"/>
    <n v="17"/>
    <x v="10"/>
    <x v="3"/>
  </r>
  <r>
    <x v="814"/>
    <n v="-55"/>
    <x v="1808"/>
    <n v="2858.94"/>
    <s v="Complete Access"/>
    <x v="433"/>
    <x v="7"/>
    <x v="53"/>
    <d v="1900-01-18T00:00:00"/>
    <n v="17"/>
    <x v="10"/>
    <x v="3"/>
  </r>
  <r>
    <x v="815"/>
    <n v="80"/>
    <x v="1809"/>
    <n v="2922.04"/>
    <s v="Complete Access"/>
    <x v="36"/>
    <x v="0"/>
    <x v="0"/>
    <d v="1900-01-17T00:00:00"/>
    <n v="17"/>
    <x v="10"/>
    <x v="3"/>
  </r>
  <r>
    <x v="815"/>
    <n v="-35.6"/>
    <x v="1810"/>
    <n v="2932.04"/>
    <s v="Complete Access"/>
    <x v="478"/>
    <x v="20"/>
    <x v="63"/>
    <d v="1900-01-17T00:00:00"/>
    <n v="17"/>
    <x v="10"/>
    <x v="3"/>
  </r>
  <r>
    <x v="815"/>
    <n v="-90"/>
    <x v="1811"/>
    <n v="2842.04"/>
    <s v="Complete Access"/>
    <x v="479"/>
    <x v="1"/>
    <x v="5"/>
    <d v="1900-01-17T00:00:00"/>
    <n v="17"/>
    <x v="10"/>
    <x v="3"/>
  </r>
  <r>
    <x v="815"/>
    <n v="-80"/>
    <x v="1812"/>
    <n v="2.0299999999999998"/>
    <s v="Netbank Saver"/>
    <x v="13"/>
    <x v="0"/>
    <x v="0"/>
    <d v="1900-01-17T00:00:00"/>
    <n v="17"/>
    <x v="10"/>
    <x v="3"/>
  </r>
  <r>
    <x v="816"/>
    <n v="616.4"/>
    <x v="1813"/>
    <n v="3056.54"/>
    <s v="Complete Access"/>
    <x v="36"/>
    <x v="0"/>
    <x v="0"/>
    <d v="1900-01-16T00:00:00"/>
    <n v="17"/>
    <x v="10"/>
    <x v="3"/>
  </r>
  <r>
    <x v="816"/>
    <n v="-10.35"/>
    <x v="1814"/>
    <n v="2440.14"/>
    <s v="Complete Access"/>
    <x v="480"/>
    <x v="8"/>
    <x v="29"/>
    <d v="1900-01-16T00:00:00"/>
    <n v="17"/>
    <x v="10"/>
    <x v="3"/>
  </r>
  <r>
    <x v="816"/>
    <n v="-88.9"/>
    <x v="1815"/>
    <n v="2967.64"/>
    <s v="Complete Access"/>
    <x v="481"/>
    <x v="1"/>
    <x v="5"/>
    <d v="1900-01-16T00:00:00"/>
    <n v="17"/>
    <x v="10"/>
    <x v="3"/>
  </r>
  <r>
    <x v="817"/>
    <n v="32"/>
    <x v="1816"/>
    <n v="2493.12"/>
    <s v="Complete Access"/>
    <x v="36"/>
    <x v="0"/>
    <x v="0"/>
    <d v="1900-01-15T00:00:00"/>
    <n v="16"/>
    <x v="10"/>
    <x v="3"/>
  </r>
  <r>
    <x v="817"/>
    <n v="40.5"/>
    <x v="1817"/>
    <n v="2461.12"/>
    <s v="Complete Access"/>
    <x v="36"/>
    <x v="0"/>
    <x v="0"/>
    <d v="1900-01-15T00:00:00"/>
    <n v="16"/>
    <x v="10"/>
    <x v="3"/>
  </r>
  <r>
    <x v="817"/>
    <n v="25"/>
    <x v="1818"/>
    <n v="2450.4899999999998"/>
    <s v="Complete Access"/>
    <x v="36"/>
    <x v="0"/>
    <x v="0"/>
    <d v="1900-01-15T00:00:00"/>
    <n v="16"/>
    <x v="10"/>
    <x v="3"/>
  </r>
  <r>
    <x v="817"/>
    <n v="-17.079999999999998"/>
    <x v="1819"/>
    <n v="2476.04"/>
    <s v="Complete Access"/>
    <x v="482"/>
    <x v="1"/>
    <x v="5"/>
    <d v="1900-01-15T00:00:00"/>
    <n v="16"/>
    <x v="10"/>
    <x v="3"/>
  </r>
  <r>
    <x v="817"/>
    <n v="-50.55"/>
    <x v="1820"/>
    <n v="2425.4899999999998"/>
    <s v="Complete Access"/>
    <x v="483"/>
    <x v="1"/>
    <x v="1"/>
    <d v="1900-01-15T00:00:00"/>
    <n v="16"/>
    <x v="10"/>
    <x v="3"/>
  </r>
  <r>
    <x v="818"/>
    <n v="-34.44"/>
    <x v="1810"/>
    <n v="2537.6"/>
    <s v="Complete Access"/>
    <x v="478"/>
    <x v="20"/>
    <x v="63"/>
    <d v="1900-01-14T00:00:00"/>
    <n v="16"/>
    <x v="10"/>
    <x v="3"/>
  </r>
  <r>
    <x v="818"/>
    <n v="-91"/>
    <x v="1821"/>
    <n v="2420.62"/>
    <s v="Complete Access"/>
    <x v="484"/>
    <x v="1"/>
    <x v="5"/>
    <d v="1900-01-14T00:00:00"/>
    <n v="16"/>
    <x v="10"/>
    <x v="3"/>
  </r>
  <r>
    <x v="818"/>
    <n v="-10.98"/>
    <x v="1822"/>
    <n v="2511.62"/>
    <s v="Complete Access"/>
    <x v="485"/>
    <x v="11"/>
    <x v="14"/>
    <d v="1900-01-14T00:00:00"/>
    <n v="16"/>
    <x v="10"/>
    <x v="3"/>
  </r>
  <r>
    <x v="818"/>
    <n v="-15"/>
    <x v="1823"/>
    <n v="2522.6"/>
    <s v="Complete Access"/>
    <x v="486"/>
    <x v="3"/>
    <x v="15"/>
    <d v="1900-01-14T00:00:00"/>
    <n v="16"/>
    <x v="10"/>
    <x v="3"/>
  </r>
  <r>
    <x v="818"/>
    <n v="-5.69"/>
    <x v="1824"/>
    <n v="3577.14"/>
    <s v="Complete Access"/>
    <x v="487"/>
    <x v="15"/>
    <x v="71"/>
    <d v="1900-01-14T00:00:00"/>
    <n v="16"/>
    <x v="10"/>
    <x v="3"/>
  </r>
  <r>
    <x v="818"/>
    <n v="-1005.1"/>
    <x v="1825"/>
    <n v="2572.04"/>
    <s v="Complete Access"/>
    <x v="160"/>
    <x v="17"/>
    <x v="43"/>
    <d v="1900-01-14T00:00:00"/>
    <n v="16"/>
    <x v="10"/>
    <x v="3"/>
  </r>
  <r>
    <x v="819"/>
    <n v="-760"/>
    <x v="656"/>
    <n v="3625.51"/>
    <s v="Complete Access"/>
    <x v="13"/>
    <x v="0"/>
    <x v="0"/>
    <d v="1900-01-13T00:00:00"/>
    <n v="16"/>
    <x v="10"/>
    <x v="3"/>
  </r>
  <r>
    <x v="819"/>
    <n v="2259.67"/>
    <x v="16"/>
    <n v="4385.51"/>
    <s v="Complete Access"/>
    <x v="14"/>
    <x v="6"/>
    <x v="9"/>
    <d v="1900-01-13T00:00:00"/>
    <n v="16"/>
    <x v="10"/>
    <x v="3"/>
  </r>
  <r>
    <x v="819"/>
    <n v="-42.68"/>
    <x v="1826"/>
    <n v="3582.83"/>
    <s v="Complete Access"/>
    <x v="1"/>
    <x v="1"/>
    <x v="1"/>
    <d v="1900-01-13T00:00:00"/>
    <n v="16"/>
    <x v="10"/>
    <x v="3"/>
  </r>
  <r>
    <x v="820"/>
    <n v="-8.15"/>
    <x v="1827"/>
    <n v="2163.6"/>
    <s v="Complete Access"/>
    <x v="285"/>
    <x v="5"/>
    <x v="8"/>
    <d v="1900-01-12T00:00:00"/>
    <n v="16"/>
    <x v="10"/>
    <x v="3"/>
  </r>
  <r>
    <x v="820"/>
    <n v="-37.76"/>
    <x v="1828"/>
    <n v="2125.84"/>
    <s v="Complete Access"/>
    <x v="304"/>
    <x v="1"/>
    <x v="5"/>
    <d v="1900-01-12T00:00:00"/>
    <n v="16"/>
    <x v="10"/>
    <x v="3"/>
  </r>
  <r>
    <x v="821"/>
    <n v="-34.619999999999997"/>
    <x v="1829"/>
    <n v="2171.75"/>
    <s v="Complete Access"/>
    <x v="8"/>
    <x v="1"/>
    <x v="5"/>
    <d v="1900-01-11T00:00:00"/>
    <n v="16"/>
    <x v="10"/>
    <x v="3"/>
  </r>
  <r>
    <x v="821"/>
    <n v="-8"/>
    <x v="1830"/>
    <n v="2206.37"/>
    <s v="Complete Access"/>
    <x v="367"/>
    <x v="4"/>
    <x v="7"/>
    <d v="1900-01-11T00:00:00"/>
    <n v="16"/>
    <x v="10"/>
    <x v="3"/>
  </r>
  <r>
    <x v="822"/>
    <n v="19"/>
    <x v="1831"/>
    <n v="2214.37"/>
    <s v="Complete Access"/>
    <x v="36"/>
    <x v="0"/>
    <x v="0"/>
    <d v="1900-01-10T00:00:00"/>
    <n v="16"/>
    <x v="10"/>
    <x v="3"/>
  </r>
  <r>
    <x v="823"/>
    <n v="-11"/>
    <x v="1345"/>
    <n v="2144.37"/>
    <s v="Complete Access"/>
    <x v="383"/>
    <x v="1"/>
    <x v="5"/>
    <d v="1900-01-08T00:00:00"/>
    <n v="15"/>
    <x v="10"/>
    <x v="3"/>
  </r>
  <r>
    <x v="823"/>
    <n v="-8.6999999999999993"/>
    <x v="1345"/>
    <n v="2155.37"/>
    <s v="Complete Access"/>
    <x v="383"/>
    <x v="1"/>
    <x v="5"/>
    <d v="1900-01-08T00:00:00"/>
    <n v="15"/>
    <x v="10"/>
    <x v="3"/>
  </r>
  <r>
    <x v="823"/>
    <n v="51"/>
    <x v="1832"/>
    <n v="2195.37"/>
    <s v="Complete Access"/>
    <x v="36"/>
    <x v="0"/>
    <x v="0"/>
    <d v="1900-01-08T00:00:00"/>
    <n v="15"/>
    <x v="10"/>
    <x v="3"/>
  </r>
  <r>
    <x v="823"/>
    <n v="-103.28"/>
    <x v="1833"/>
    <n v="2164.0700000000002"/>
    <s v="Complete Access"/>
    <x v="488"/>
    <x v="20"/>
    <x v="63"/>
    <d v="1900-01-08T00:00:00"/>
    <n v="15"/>
    <x v="10"/>
    <x v="3"/>
  </r>
  <r>
    <x v="824"/>
    <n v="-129"/>
    <x v="1834"/>
    <n v="2267.35"/>
    <s v="Complete Access"/>
    <x v="214"/>
    <x v="4"/>
    <x v="52"/>
    <d v="1900-01-07T00:00:00"/>
    <n v="15"/>
    <x v="10"/>
    <x v="3"/>
  </r>
  <r>
    <x v="825"/>
    <n v="-7.58"/>
    <x v="1835"/>
    <n v="2434.23"/>
    <s v="Complete Access"/>
    <x v="285"/>
    <x v="5"/>
    <x v="8"/>
    <d v="1900-01-05T00:00:00"/>
    <n v="15"/>
    <x v="10"/>
    <x v="3"/>
  </r>
  <r>
    <x v="825"/>
    <n v="-3.15"/>
    <x v="1836"/>
    <n v="2396.35"/>
    <s v="Complete Access"/>
    <x v="220"/>
    <x v="1"/>
    <x v="5"/>
    <d v="1900-01-05T00:00:00"/>
    <n v="15"/>
    <x v="10"/>
    <x v="3"/>
  </r>
  <r>
    <x v="825"/>
    <n v="-30.93"/>
    <x v="1837"/>
    <n v="2399.5"/>
    <s v="Complete Access"/>
    <x v="489"/>
    <x v="1"/>
    <x v="5"/>
    <d v="1900-01-05T00:00:00"/>
    <n v="15"/>
    <x v="10"/>
    <x v="3"/>
  </r>
  <r>
    <x v="825"/>
    <n v="-3.8"/>
    <x v="1838"/>
    <n v="2430.4299999999998"/>
    <s v="Complete Access"/>
    <x v="398"/>
    <x v="1"/>
    <x v="5"/>
    <d v="1900-01-05T00:00:00"/>
    <n v="15"/>
    <x v="10"/>
    <x v="3"/>
  </r>
  <r>
    <x v="826"/>
    <n v="-4.0999999999999996"/>
    <x v="1839"/>
    <n v="2441.81"/>
    <s v="Complete Access"/>
    <x v="490"/>
    <x v="1"/>
    <x v="5"/>
    <d v="1900-01-04T00:00:00"/>
    <n v="15"/>
    <x v="10"/>
    <x v="3"/>
  </r>
  <r>
    <x v="827"/>
    <n v="-10.5"/>
    <x v="1345"/>
    <n v="2445.91"/>
    <s v="Complete Access"/>
    <x v="383"/>
    <x v="1"/>
    <x v="5"/>
    <d v="1900-01-03T00:00:00"/>
    <n v="15"/>
    <x v="10"/>
    <x v="3"/>
  </r>
  <r>
    <x v="827"/>
    <n v="-16.649999999999999"/>
    <x v="1588"/>
    <n v="2456.41"/>
    <s v="Complete Access"/>
    <x v="423"/>
    <x v="1"/>
    <x v="5"/>
    <d v="1900-01-03T00:00:00"/>
    <n v="15"/>
    <x v="10"/>
    <x v="3"/>
  </r>
  <r>
    <x v="828"/>
    <n v="54"/>
    <x v="1840"/>
    <n v="2564.0500000000002"/>
    <s v="Complete Access"/>
    <x v="36"/>
    <x v="0"/>
    <x v="0"/>
    <d v="1900-01-02T00:00:00"/>
    <n v="15"/>
    <x v="10"/>
    <x v="3"/>
  </r>
  <r>
    <x v="828"/>
    <n v="-90.99"/>
    <x v="989"/>
    <n v="2473.06"/>
    <s v="Complete Access"/>
    <x v="332"/>
    <x v="1"/>
    <x v="5"/>
    <d v="1900-01-02T00:00:00"/>
    <n v="15"/>
    <x v="10"/>
    <x v="3"/>
  </r>
  <r>
    <x v="829"/>
    <n v="-17.899999999999999"/>
    <x v="1841"/>
    <n v="2510.0500000000002"/>
    <s v="Complete Access"/>
    <x v="491"/>
    <x v="20"/>
    <x v="63"/>
    <d v="1900-01-01T00:00:00"/>
    <n v="14"/>
    <x v="10"/>
    <x v="3"/>
  </r>
  <r>
    <x v="830"/>
    <n v="-7.58"/>
    <x v="1842"/>
    <n v="2748.85"/>
    <s v="Complete Access"/>
    <x v="285"/>
    <x v="5"/>
    <x v="8"/>
    <d v="1899-12-31T00:00:00"/>
    <n v="14"/>
    <x v="10"/>
    <x v="3"/>
  </r>
  <r>
    <x v="830"/>
    <n v="-19.2"/>
    <x v="1843"/>
    <n v="2726.5"/>
    <s v="Complete Access"/>
    <x v="492"/>
    <x v="8"/>
    <x v="29"/>
    <d v="1899-12-31T00:00:00"/>
    <n v="14"/>
    <x v="10"/>
    <x v="3"/>
  </r>
  <r>
    <x v="830"/>
    <n v="-18"/>
    <x v="1843"/>
    <n v="2708.5"/>
    <s v="Complete Access"/>
    <x v="492"/>
    <x v="8"/>
    <x v="29"/>
    <d v="1899-12-31T00:00:00"/>
    <n v="14"/>
    <x v="10"/>
    <x v="3"/>
  </r>
  <r>
    <x v="830"/>
    <n v="-3.15"/>
    <x v="1844"/>
    <n v="2745.7"/>
    <s v="Complete Access"/>
    <x v="220"/>
    <x v="1"/>
    <x v="5"/>
    <d v="1899-12-31T00:00:00"/>
    <n v="14"/>
    <x v="10"/>
    <x v="3"/>
  </r>
  <r>
    <x v="830"/>
    <n v="-180.55"/>
    <x v="1845"/>
    <n v="2527.9499999999998"/>
    <s v="Complete Access"/>
    <x v="76"/>
    <x v="2"/>
    <x v="2"/>
    <d v="1899-12-31T00:00:00"/>
    <n v="14"/>
    <x v="10"/>
    <x v="3"/>
  </r>
  <r>
    <x v="831"/>
    <n v="-760"/>
    <x v="656"/>
    <n v="2881.88"/>
    <s v="Complete Access"/>
    <x v="13"/>
    <x v="0"/>
    <x v="0"/>
    <d v="1900-01-30T00:00:00"/>
    <n v="14"/>
    <x v="11"/>
    <x v="3"/>
  </r>
  <r>
    <x v="831"/>
    <n v="-9.24"/>
    <x v="1846"/>
    <n v="2872.64"/>
    <s v="Complete Access"/>
    <x v="285"/>
    <x v="5"/>
    <x v="8"/>
    <d v="1900-01-30T00:00:00"/>
    <n v="14"/>
    <x v="11"/>
    <x v="3"/>
  </r>
  <r>
    <x v="831"/>
    <n v="2912.63"/>
    <x v="1847"/>
    <n v="3641.88"/>
    <s v="Complete Access"/>
    <x v="14"/>
    <x v="6"/>
    <x v="9"/>
    <d v="1900-01-30T00:00:00"/>
    <n v="14"/>
    <x v="11"/>
    <x v="3"/>
  </r>
  <r>
    <x v="831"/>
    <n v="-116.21"/>
    <x v="1848"/>
    <n v="2756.43"/>
    <s v="Complete Access"/>
    <x v="1"/>
    <x v="1"/>
    <x v="1"/>
    <d v="1900-01-30T00:00:00"/>
    <n v="14"/>
    <x v="11"/>
    <x v="3"/>
  </r>
  <r>
    <x v="832"/>
    <n v="-9.24"/>
    <x v="1849"/>
    <n v="792.2"/>
    <s v="Complete Access"/>
    <x v="285"/>
    <x v="5"/>
    <x v="8"/>
    <d v="1900-01-29T00:00:00"/>
    <n v="14"/>
    <x v="11"/>
    <x v="3"/>
  </r>
  <r>
    <x v="832"/>
    <n v="-62.95"/>
    <x v="1850"/>
    <n v="729.25"/>
    <s v="Complete Access"/>
    <x v="493"/>
    <x v="20"/>
    <x v="63"/>
    <d v="1900-01-29T00:00:00"/>
    <n v="14"/>
    <x v="11"/>
    <x v="3"/>
  </r>
  <r>
    <x v="833"/>
    <n v="-734.11"/>
    <x v="1851"/>
    <n v="876.75"/>
    <s v="Complete Access"/>
    <x v="256"/>
    <x v="4"/>
    <x v="47"/>
    <d v="1900-01-28T00:00:00"/>
    <n v="14"/>
    <x v="11"/>
    <x v="3"/>
  </r>
  <r>
    <x v="833"/>
    <n v="-41.29"/>
    <x v="1852"/>
    <n v="813.44"/>
    <s v="Complete Access"/>
    <x v="8"/>
    <x v="1"/>
    <x v="5"/>
    <d v="1900-01-28T00:00:00"/>
    <n v="14"/>
    <x v="11"/>
    <x v="3"/>
  </r>
  <r>
    <x v="833"/>
    <n v="9"/>
    <x v="1767"/>
    <n v="822.44"/>
    <s v="Complete Access"/>
    <x v="36"/>
    <x v="0"/>
    <x v="0"/>
    <d v="1900-01-28T00:00:00"/>
    <n v="14"/>
    <x v="11"/>
    <x v="3"/>
  </r>
  <r>
    <x v="833"/>
    <n v="-21"/>
    <x v="1617"/>
    <n v="801.44"/>
    <s v="Complete Access"/>
    <x v="421"/>
    <x v="20"/>
    <x v="63"/>
    <d v="1900-01-28T00:00:00"/>
    <n v="14"/>
    <x v="11"/>
    <x v="3"/>
  </r>
  <r>
    <x v="833"/>
    <n v="-16"/>
    <x v="1853"/>
    <n v="1651.22"/>
    <s v="Complete Access"/>
    <x v="269"/>
    <x v="1"/>
    <x v="1"/>
    <d v="1900-01-28T00:00:00"/>
    <n v="14"/>
    <x v="11"/>
    <x v="3"/>
  </r>
  <r>
    <x v="833"/>
    <n v="-27.8"/>
    <x v="1853"/>
    <n v="1667.22"/>
    <s v="Complete Access"/>
    <x v="269"/>
    <x v="1"/>
    <x v="1"/>
    <d v="1900-01-28T00:00:00"/>
    <n v="14"/>
    <x v="11"/>
    <x v="3"/>
  </r>
  <r>
    <x v="833"/>
    <n v="-1074.97"/>
    <x v="1854"/>
    <n v="1695.02"/>
    <s v="Complete Access"/>
    <x v="494"/>
    <x v="15"/>
    <x v="56"/>
    <d v="1900-01-28T00:00:00"/>
    <n v="14"/>
    <x v="11"/>
    <x v="3"/>
  </r>
  <r>
    <x v="833"/>
    <n v="-22.02"/>
    <x v="1855"/>
    <n v="854.73"/>
    <s v="Complete Access"/>
    <x v="10"/>
    <x v="0"/>
    <x v="0"/>
    <d v="1900-01-28T00:00:00"/>
    <n v="14"/>
    <x v="11"/>
    <x v="3"/>
  </r>
  <r>
    <x v="833"/>
    <n v="-40.36"/>
    <x v="1856"/>
    <n v="1610.86"/>
    <s v="Complete Access"/>
    <x v="34"/>
    <x v="9"/>
    <x v="12"/>
    <d v="1900-01-28T00:00:00"/>
    <n v="14"/>
    <x v="11"/>
    <x v="3"/>
  </r>
  <r>
    <x v="834"/>
    <n v="9"/>
    <x v="1857"/>
    <n v="2788.59"/>
    <s v="Complete Access"/>
    <x v="36"/>
    <x v="0"/>
    <x v="0"/>
    <d v="1900-01-27T00:00:00"/>
    <n v="14"/>
    <x v="11"/>
    <x v="3"/>
  </r>
  <r>
    <x v="834"/>
    <n v="-17.600000000000001"/>
    <x v="1617"/>
    <n v="2770.99"/>
    <s v="Complete Access"/>
    <x v="421"/>
    <x v="20"/>
    <x v="63"/>
    <d v="1900-01-27T00:00:00"/>
    <n v="14"/>
    <x v="11"/>
    <x v="3"/>
  </r>
  <r>
    <x v="834"/>
    <n v="-1"/>
    <x v="1617"/>
    <n v="2769.99"/>
    <s v="Complete Access"/>
    <x v="421"/>
    <x v="20"/>
    <x v="63"/>
    <d v="1900-01-27T00:00:00"/>
    <n v="14"/>
    <x v="11"/>
    <x v="3"/>
  </r>
  <r>
    <x v="835"/>
    <n v="-652.39"/>
    <x v="1858"/>
    <n v="2779.59"/>
    <s v="Complete Access"/>
    <x v="0"/>
    <x v="0"/>
    <x v="0"/>
    <d v="1900-01-26T00:00:00"/>
    <n v="14"/>
    <x v="11"/>
    <x v="3"/>
  </r>
  <r>
    <x v="836"/>
    <n v="22"/>
    <x v="1859"/>
    <n v="2311.89"/>
    <s v="Complete Access"/>
    <x v="36"/>
    <x v="0"/>
    <x v="0"/>
    <d v="1900-01-25T00:00:00"/>
    <n v="13"/>
    <x v="11"/>
    <x v="3"/>
  </r>
  <r>
    <x v="836"/>
    <n v="1189.8499999999999"/>
    <x v="1860"/>
    <n v="3431.98"/>
    <s v="Complete Access"/>
    <x v="36"/>
    <x v="0"/>
    <x v="0"/>
    <d v="1900-01-25T00:00:00"/>
    <n v="13"/>
    <x v="11"/>
    <x v="3"/>
  </r>
  <r>
    <x v="836"/>
    <n v="-69.760000000000005"/>
    <x v="989"/>
    <n v="2242.13"/>
    <s v="Complete Access"/>
    <x v="332"/>
    <x v="1"/>
    <x v="5"/>
    <d v="1900-01-25T00:00:00"/>
    <n v="13"/>
    <x v="11"/>
    <x v="3"/>
  </r>
  <r>
    <x v="836"/>
    <n v="-45"/>
    <x v="1861"/>
    <n v="2289.89"/>
    <s v="Complete Access"/>
    <x v="495"/>
    <x v="1"/>
    <x v="5"/>
    <d v="1900-01-25T00:00:00"/>
    <n v="13"/>
    <x v="11"/>
    <x v="3"/>
  </r>
  <r>
    <x v="836"/>
    <n v="-310"/>
    <x v="1862"/>
    <n v="2372.87"/>
    <s v="Complete Access"/>
    <x v="496"/>
    <x v="3"/>
    <x v="15"/>
    <d v="1900-01-25T00:00:00"/>
    <n v="13"/>
    <x v="11"/>
    <x v="3"/>
  </r>
  <r>
    <x v="836"/>
    <n v="-37.979999999999997"/>
    <x v="1863"/>
    <n v="2334.89"/>
    <s v="Complete Access"/>
    <x v="497"/>
    <x v="3"/>
    <x v="15"/>
    <d v="1900-01-25T00:00:00"/>
    <n v="13"/>
    <x v="11"/>
    <x v="3"/>
  </r>
  <r>
    <x v="837"/>
    <n v="-9.24"/>
    <x v="1864"/>
    <n v="2752.88"/>
    <s v="Complete Access"/>
    <x v="285"/>
    <x v="5"/>
    <x v="8"/>
    <d v="1900-01-24T00:00:00"/>
    <n v="13"/>
    <x v="11"/>
    <x v="3"/>
  </r>
  <r>
    <x v="837"/>
    <n v="-70.010000000000005"/>
    <x v="1865"/>
    <n v="2682.87"/>
    <s v="Complete Access"/>
    <x v="438"/>
    <x v="12"/>
    <x v="21"/>
    <d v="1900-01-24T00:00:00"/>
    <n v="13"/>
    <x v="11"/>
    <x v="3"/>
  </r>
  <r>
    <x v="838"/>
    <n v="-9.24"/>
    <x v="1866"/>
    <n v="2762.12"/>
    <s v="Complete Access"/>
    <x v="285"/>
    <x v="5"/>
    <x v="8"/>
    <d v="1900-01-23T00:00:00"/>
    <n v="13"/>
    <x v="11"/>
    <x v="3"/>
  </r>
  <r>
    <x v="839"/>
    <n v="-9.24"/>
    <x v="1867"/>
    <n v="2874.9"/>
    <s v="Complete Access"/>
    <x v="285"/>
    <x v="5"/>
    <x v="8"/>
    <d v="1900-01-22T00:00:00"/>
    <n v="13"/>
    <x v="11"/>
    <x v="3"/>
  </r>
  <r>
    <x v="839"/>
    <n v="-17.600000000000001"/>
    <x v="1617"/>
    <n v="2857.3"/>
    <s v="Complete Access"/>
    <x v="421"/>
    <x v="20"/>
    <x v="63"/>
    <d v="1900-01-22T00:00:00"/>
    <n v="13"/>
    <x v="11"/>
    <x v="3"/>
  </r>
  <r>
    <x v="839"/>
    <n v="-85.94"/>
    <x v="989"/>
    <n v="2771.36"/>
    <s v="Complete Access"/>
    <x v="332"/>
    <x v="1"/>
    <x v="5"/>
    <d v="1900-01-22T00:00:00"/>
    <n v="13"/>
    <x v="11"/>
    <x v="3"/>
  </r>
  <r>
    <x v="840"/>
    <n v="30"/>
    <x v="1868"/>
    <n v="3328.91"/>
    <s v="Complete Access"/>
    <x v="36"/>
    <x v="0"/>
    <x v="0"/>
    <d v="1900-01-21T00:00:00"/>
    <n v="13"/>
    <x v="11"/>
    <x v="3"/>
  </r>
  <r>
    <x v="840"/>
    <n v="-69"/>
    <x v="1869"/>
    <n v="3253.92"/>
    <s v="Complete Access"/>
    <x v="207"/>
    <x v="7"/>
    <x v="11"/>
    <d v="1900-01-21T00:00:00"/>
    <n v="13"/>
    <x v="11"/>
    <x v="3"/>
  </r>
  <r>
    <x v="840"/>
    <n v="-5.99"/>
    <x v="1870"/>
    <n v="3322.92"/>
    <s v="Complete Access"/>
    <x v="476"/>
    <x v="4"/>
    <x v="7"/>
    <d v="1900-01-21T00:00:00"/>
    <n v="13"/>
    <x v="11"/>
    <x v="3"/>
  </r>
  <r>
    <x v="840"/>
    <n v="-16.18"/>
    <x v="1871"/>
    <n v="3059.24"/>
    <s v="Complete Access"/>
    <x v="498"/>
    <x v="1"/>
    <x v="5"/>
    <d v="1900-01-21T00:00:00"/>
    <n v="13"/>
    <x v="11"/>
    <x v="3"/>
  </r>
  <r>
    <x v="840"/>
    <n v="-175.1"/>
    <x v="1872"/>
    <n v="2884.14"/>
    <s v="Complete Access"/>
    <x v="438"/>
    <x v="12"/>
    <x v="21"/>
    <d v="1900-01-21T00:00:00"/>
    <n v="13"/>
    <x v="11"/>
    <x v="3"/>
  </r>
  <r>
    <x v="840"/>
    <n v="-178.5"/>
    <x v="1873"/>
    <n v="3075.42"/>
    <s v="Complete Access"/>
    <x v="5"/>
    <x v="3"/>
    <x v="3"/>
    <d v="1900-01-21T00:00:00"/>
    <n v="13"/>
    <x v="11"/>
    <x v="3"/>
  </r>
  <r>
    <x v="841"/>
    <n v="-9.9"/>
    <x v="436"/>
    <n v="3298.91"/>
    <s v="Complete Access"/>
    <x v="186"/>
    <x v="1"/>
    <x v="5"/>
    <d v="1900-01-20T00:00:00"/>
    <n v="13"/>
    <x v="11"/>
    <x v="3"/>
  </r>
  <r>
    <x v="842"/>
    <n v="-5.45"/>
    <x v="1874"/>
    <n v="3308.81"/>
    <s v="Complete Access"/>
    <x v="285"/>
    <x v="5"/>
    <x v="8"/>
    <d v="1900-01-18T00:00:00"/>
    <n v="12"/>
    <x v="11"/>
    <x v="3"/>
  </r>
  <r>
    <x v="843"/>
    <n v="-3.79"/>
    <x v="1874"/>
    <n v="3420.27"/>
    <s v="Complete Access"/>
    <x v="285"/>
    <x v="5"/>
    <x v="8"/>
    <d v="1900-01-17T00:00:00"/>
    <n v="12"/>
    <x v="11"/>
    <x v="3"/>
  </r>
  <r>
    <x v="843"/>
    <n v="-8.5299999999999994"/>
    <x v="1875"/>
    <n v="3411.74"/>
    <s v="Complete Access"/>
    <x v="285"/>
    <x v="5"/>
    <x v="8"/>
    <d v="1900-01-17T00:00:00"/>
    <n v="12"/>
    <x v="11"/>
    <x v="3"/>
  </r>
  <r>
    <x v="843"/>
    <n v="52"/>
    <x v="1876"/>
    <n v="3314.26"/>
    <s v="Complete Access"/>
    <x v="36"/>
    <x v="0"/>
    <x v="0"/>
    <d v="1900-01-17T00:00:00"/>
    <n v="12"/>
    <x v="11"/>
    <x v="3"/>
  </r>
  <r>
    <x v="843"/>
    <n v="-127.48"/>
    <x v="1552"/>
    <n v="3262.26"/>
    <s v="Complete Access"/>
    <x v="419"/>
    <x v="1"/>
    <x v="5"/>
    <d v="1900-01-17T00:00:00"/>
    <n v="12"/>
    <x v="11"/>
    <x v="3"/>
  </r>
  <r>
    <x v="843"/>
    <n v="-22"/>
    <x v="1877"/>
    <n v="3389.74"/>
    <s v="Complete Access"/>
    <x v="267"/>
    <x v="1"/>
    <x v="1"/>
    <d v="1900-01-17T00:00:00"/>
    <n v="12"/>
    <x v="11"/>
    <x v="3"/>
  </r>
  <r>
    <x v="843"/>
    <n v="-7"/>
    <x v="1878"/>
    <n v="3424.06"/>
    <s v="Complete Access"/>
    <x v="373"/>
    <x v="8"/>
    <x v="7"/>
    <d v="1900-01-17T00:00:00"/>
    <n v="12"/>
    <x v="11"/>
    <x v="3"/>
  </r>
  <r>
    <x v="844"/>
    <n v="-760"/>
    <x v="656"/>
    <n v="3494.37"/>
    <s v="Complete Access"/>
    <x v="13"/>
    <x v="0"/>
    <x v="0"/>
    <d v="1900-01-16T00:00:00"/>
    <n v="12"/>
    <x v="11"/>
    <x v="3"/>
  </r>
  <r>
    <x v="844"/>
    <n v="-2.46"/>
    <x v="1879"/>
    <n v="3491.91"/>
    <s v="Complete Access"/>
    <x v="188"/>
    <x v="1"/>
    <x v="1"/>
    <d v="1900-01-16T00:00:00"/>
    <n v="12"/>
    <x v="11"/>
    <x v="3"/>
  </r>
  <r>
    <x v="844"/>
    <n v="2338.9899999999998"/>
    <x v="1880"/>
    <n v="4254.37"/>
    <s v="Complete Access"/>
    <x v="14"/>
    <x v="6"/>
    <x v="9"/>
    <d v="1900-01-16T00:00:00"/>
    <n v="12"/>
    <x v="11"/>
    <x v="3"/>
  </r>
  <r>
    <x v="844"/>
    <n v="-18"/>
    <x v="1881"/>
    <n v="3473.91"/>
    <s v="Complete Access"/>
    <x v="286"/>
    <x v="1"/>
    <x v="5"/>
    <d v="1900-01-16T00:00:00"/>
    <n v="12"/>
    <x v="11"/>
    <x v="3"/>
  </r>
  <r>
    <x v="844"/>
    <n v="-42.85"/>
    <x v="1882"/>
    <n v="3431.06"/>
    <s v="Complete Access"/>
    <x v="1"/>
    <x v="1"/>
    <x v="1"/>
    <d v="1900-01-16T00:00:00"/>
    <n v="12"/>
    <x v="11"/>
    <x v="3"/>
  </r>
  <r>
    <x v="845"/>
    <n v="-12.59"/>
    <x v="1588"/>
    <n v="1970.38"/>
    <s v="Complete Access"/>
    <x v="423"/>
    <x v="1"/>
    <x v="5"/>
    <d v="1900-01-15T00:00:00"/>
    <n v="12"/>
    <x v="11"/>
    <x v="3"/>
  </r>
  <r>
    <x v="845"/>
    <n v="-55"/>
    <x v="1883"/>
    <n v="1915.38"/>
    <s v="Complete Access"/>
    <x v="433"/>
    <x v="7"/>
    <x v="53"/>
    <d v="1900-01-15T00:00:00"/>
    <n v="12"/>
    <x v="11"/>
    <x v="3"/>
  </r>
  <r>
    <x v="846"/>
    <n v="-50.87"/>
    <x v="1884"/>
    <n v="2045.82"/>
    <s v="Complete Access"/>
    <x v="215"/>
    <x v="1"/>
    <x v="1"/>
    <d v="1900-01-14T00:00:00"/>
    <n v="12"/>
    <x v="11"/>
    <x v="3"/>
  </r>
  <r>
    <x v="846"/>
    <n v="-4"/>
    <x v="1885"/>
    <n v="2041.82"/>
    <s v="Complete Access"/>
    <x v="499"/>
    <x v="20"/>
    <x v="63"/>
    <d v="1900-01-14T00:00:00"/>
    <n v="12"/>
    <x v="11"/>
    <x v="3"/>
  </r>
  <r>
    <x v="846"/>
    <n v="-58.57"/>
    <x v="1886"/>
    <n v="2096.69"/>
    <s v="Complete Access"/>
    <x v="500"/>
    <x v="1"/>
    <x v="5"/>
    <d v="1900-01-14T00:00:00"/>
    <n v="12"/>
    <x v="11"/>
    <x v="3"/>
  </r>
  <r>
    <x v="846"/>
    <n v="-58.85"/>
    <x v="1641"/>
    <n v="1982.97"/>
    <s v="Complete Access"/>
    <x v="4"/>
    <x v="1"/>
    <x v="1"/>
    <d v="1900-01-14T00:00:00"/>
    <n v="12"/>
    <x v="11"/>
    <x v="3"/>
  </r>
  <r>
    <x v="847"/>
    <n v="-16.8"/>
    <x v="436"/>
    <n v="2155.2600000000002"/>
    <s v="Complete Access"/>
    <x v="186"/>
    <x v="1"/>
    <x v="5"/>
    <d v="1900-01-13T00:00:00"/>
    <n v="12"/>
    <x v="11"/>
    <x v="3"/>
  </r>
  <r>
    <x v="848"/>
    <n v="36"/>
    <x v="1887"/>
    <n v="2172.06"/>
    <s v="Complete Access"/>
    <x v="36"/>
    <x v="0"/>
    <x v="0"/>
    <d v="1900-01-12T00:00:00"/>
    <n v="12"/>
    <x v="11"/>
    <x v="3"/>
  </r>
  <r>
    <x v="849"/>
    <n v="-44.48"/>
    <x v="1888"/>
    <n v="2160.5100000000002"/>
    <s v="Complete Access"/>
    <x v="8"/>
    <x v="1"/>
    <x v="5"/>
    <d v="1900-01-11T00:00:00"/>
    <n v="11"/>
    <x v="11"/>
    <x v="3"/>
  </r>
  <r>
    <x v="849"/>
    <n v="-8"/>
    <x v="1889"/>
    <n v="2136.06"/>
    <s v="Complete Access"/>
    <x v="367"/>
    <x v="4"/>
    <x v="7"/>
    <d v="1900-01-11T00:00:00"/>
    <n v="11"/>
    <x v="11"/>
    <x v="3"/>
  </r>
  <r>
    <x v="849"/>
    <n v="-16.45"/>
    <x v="1889"/>
    <n v="2144.06"/>
    <s v="Complete Access"/>
    <x v="367"/>
    <x v="4"/>
    <x v="7"/>
    <d v="1900-01-11T00:00:00"/>
    <n v="11"/>
    <x v="11"/>
    <x v="3"/>
  </r>
  <r>
    <x v="850"/>
    <n v="-35.880000000000003"/>
    <x v="1890"/>
    <n v="2204.9899999999998"/>
    <s v="Complete Access"/>
    <x v="104"/>
    <x v="1"/>
    <x v="5"/>
    <d v="1900-01-10T00:00:00"/>
    <n v="11"/>
    <x v="11"/>
    <x v="3"/>
  </r>
  <r>
    <x v="851"/>
    <n v="-75"/>
    <x v="1891"/>
    <n v="2240.87"/>
    <s v="Complete Access"/>
    <x v="298"/>
    <x v="4"/>
    <x v="30"/>
    <d v="1900-01-08T00:00:00"/>
    <n v="11"/>
    <x v="11"/>
    <x v="3"/>
  </r>
  <r>
    <x v="852"/>
    <n v="-149"/>
    <x v="1892"/>
    <n v="2315.87"/>
    <s v="Complete Access"/>
    <x v="298"/>
    <x v="4"/>
    <x v="30"/>
    <d v="1900-01-07T00:00:00"/>
    <n v="11"/>
    <x v="11"/>
    <x v="3"/>
  </r>
  <r>
    <x v="853"/>
    <n v="120"/>
    <x v="1893"/>
    <n v="2464.87"/>
    <s v="Complete Access"/>
    <x v="36"/>
    <x v="0"/>
    <x v="0"/>
    <d v="1900-01-03T00:00:00"/>
    <n v="10"/>
    <x v="11"/>
    <x v="3"/>
  </r>
  <r>
    <x v="853"/>
    <n v="-101.66"/>
    <x v="1894"/>
    <n v="2365.5500000000002"/>
    <s v="Complete Access"/>
    <x v="104"/>
    <x v="1"/>
    <x v="5"/>
    <d v="1900-01-03T00:00:00"/>
    <n v="10"/>
    <x v="11"/>
    <x v="3"/>
  </r>
  <r>
    <x v="853"/>
    <n v="-20.68"/>
    <x v="1895"/>
    <n v="2344.87"/>
    <s v="Complete Access"/>
    <x v="1"/>
    <x v="1"/>
    <x v="1"/>
    <d v="1900-01-03T00:00:00"/>
    <n v="10"/>
    <x v="11"/>
    <x v="3"/>
  </r>
  <r>
    <x v="854"/>
    <n v="-760"/>
    <x v="656"/>
    <n v="2467.21"/>
    <s v="Complete Access"/>
    <x v="13"/>
    <x v="0"/>
    <x v="0"/>
    <d v="1900-01-02T00:00:00"/>
    <n v="10"/>
    <x v="11"/>
    <x v="3"/>
  </r>
  <r>
    <x v="854"/>
    <n v="2361.19"/>
    <x v="1896"/>
    <n v="3227.21"/>
    <s v="Complete Access"/>
    <x v="14"/>
    <x v="6"/>
    <x v="9"/>
    <d v="1900-01-02T00:00:00"/>
    <n v="10"/>
    <x v="11"/>
    <x v="3"/>
  </r>
  <r>
    <x v="855"/>
    <n v="29.9"/>
    <x v="1897"/>
    <n v="866.02"/>
    <s v="Complete Access"/>
    <x v="36"/>
    <x v="0"/>
    <x v="0"/>
    <d v="1900-01-01T00:00:00"/>
    <n v="10"/>
    <x v="11"/>
    <x v="3"/>
  </r>
  <r>
    <x v="855"/>
    <n v="-73.959999999999994"/>
    <x v="1898"/>
    <n v="836.12"/>
    <s v="Complete Access"/>
    <x v="1"/>
    <x v="1"/>
    <x v="1"/>
    <d v="1900-01-01T00:00:00"/>
    <n v="10"/>
    <x v="11"/>
    <x v="3"/>
  </r>
  <r>
    <x v="856"/>
    <n v="-6.15"/>
    <x v="1899"/>
    <n v="1368.32"/>
    <s v="Complete Access"/>
    <x v="501"/>
    <x v="1"/>
    <x v="1"/>
    <d v="1899-12-31T00:00:00"/>
    <n v="10"/>
    <x v="11"/>
    <x v="3"/>
  </r>
  <r>
    <x v="856"/>
    <n v="-207"/>
    <x v="1900"/>
    <n v="1090.6300000000001"/>
    <s v="Complete Access"/>
    <x v="207"/>
    <x v="7"/>
    <x v="11"/>
    <d v="1899-12-31T00:00:00"/>
    <n v="10"/>
    <x v="11"/>
    <x v="3"/>
  </r>
  <r>
    <x v="856"/>
    <n v="-35.880000000000003"/>
    <x v="1901"/>
    <n v="1374.47"/>
    <s v="Complete Access"/>
    <x v="104"/>
    <x v="1"/>
    <x v="5"/>
    <d v="1899-12-31T00:00:00"/>
    <n v="10"/>
    <x v="11"/>
    <x v="3"/>
  </r>
  <r>
    <x v="856"/>
    <n v="-180.55"/>
    <x v="1902"/>
    <n v="910.08"/>
    <s v="Complete Access"/>
    <x v="76"/>
    <x v="2"/>
    <x v="2"/>
    <d v="1899-12-31T00:00:00"/>
    <n v="10"/>
    <x v="11"/>
    <x v="3"/>
  </r>
  <r>
    <x v="856"/>
    <n v="-70.69"/>
    <x v="1903"/>
    <n v="1297.6300000000001"/>
    <s v="Complete Access"/>
    <x v="34"/>
    <x v="9"/>
    <x v="12"/>
    <d v="1899-12-31T00:00:00"/>
    <n v="10"/>
    <x v="11"/>
    <x v="3"/>
  </r>
  <r>
    <x v="857"/>
    <n v="-60.1"/>
    <x v="1904"/>
    <n v="1410.35"/>
    <s v="Complete Access"/>
    <x v="502"/>
    <x v="3"/>
    <x v="60"/>
    <d v="1900-01-25T00:00:00"/>
    <n v="9"/>
    <x v="0"/>
    <x v="3"/>
  </r>
  <r>
    <x v="857"/>
    <n v="-15.5"/>
    <x v="1905"/>
    <n v="1470.45"/>
    <s v="Complete Access"/>
    <x v="220"/>
    <x v="1"/>
    <x v="5"/>
    <d v="1900-01-25T00:00:00"/>
    <n v="9"/>
    <x v="0"/>
    <x v="3"/>
  </r>
  <r>
    <x v="857"/>
    <n v="-14.13"/>
    <x v="1130"/>
    <n v="1485.95"/>
    <s v="Complete Access"/>
    <x v="351"/>
    <x v="1"/>
    <x v="5"/>
    <d v="1900-01-25T00:00:00"/>
    <n v="9"/>
    <x v="0"/>
    <x v="3"/>
  </r>
  <r>
    <x v="858"/>
    <n v="-77.540000000000006"/>
    <x v="1906"/>
    <n v="1500.08"/>
    <s v="Complete Access"/>
    <x v="438"/>
    <x v="12"/>
    <x v="21"/>
    <d v="1900-01-24T00:00:00"/>
    <n v="9"/>
    <x v="0"/>
    <x v="3"/>
  </r>
  <r>
    <x v="859"/>
    <n v="-122.49"/>
    <x v="1907"/>
    <n v="1577.62"/>
    <s v="Complete Access"/>
    <x v="503"/>
    <x v="1"/>
    <x v="5"/>
    <d v="1900-01-23T00:00:00"/>
    <n v="9"/>
    <x v="0"/>
    <x v="3"/>
  </r>
  <r>
    <x v="860"/>
    <n v="-19.98"/>
    <x v="1908"/>
    <n v="1700.11"/>
    <s v="Complete Access"/>
    <x v="222"/>
    <x v="11"/>
    <x v="14"/>
    <d v="1900-01-22T00:00:00"/>
    <n v="9"/>
    <x v="0"/>
    <x v="3"/>
  </r>
  <r>
    <x v="861"/>
    <n v="-1500"/>
    <x v="1909"/>
    <n v="1720.09"/>
    <s v="Complete Access"/>
    <x v="504"/>
    <x v="0"/>
    <x v="72"/>
    <d v="1900-01-21T00:00:00"/>
    <n v="9"/>
    <x v="0"/>
    <x v="3"/>
  </r>
  <r>
    <x v="861"/>
    <n v="-34.44"/>
    <x v="1910"/>
    <n v="3255.97"/>
    <s v="Complete Access"/>
    <x v="8"/>
    <x v="1"/>
    <x v="5"/>
    <d v="1900-01-21T00:00:00"/>
    <n v="9"/>
    <x v="0"/>
    <x v="3"/>
  </r>
  <r>
    <x v="861"/>
    <n v="-35.880000000000003"/>
    <x v="1911"/>
    <n v="3220.09"/>
    <s v="Complete Access"/>
    <x v="104"/>
    <x v="1"/>
    <x v="5"/>
    <d v="1900-01-21T00:00:00"/>
    <n v="9"/>
    <x v="0"/>
    <x v="3"/>
  </r>
  <r>
    <x v="862"/>
    <n v="-145"/>
    <x v="1912"/>
    <n v="3309.97"/>
    <s v="Complete Access"/>
    <x v="352"/>
    <x v="4"/>
    <x v="67"/>
    <d v="1900-01-18T00:00:00"/>
    <n v="8"/>
    <x v="0"/>
    <x v="3"/>
  </r>
  <r>
    <x v="862"/>
    <n v="-19.559999999999999"/>
    <x v="969"/>
    <n v="3290.41"/>
    <s v="Complete Access"/>
    <x v="177"/>
    <x v="1"/>
    <x v="1"/>
    <d v="1900-01-18T00:00:00"/>
    <n v="8"/>
    <x v="0"/>
    <x v="3"/>
  </r>
  <r>
    <x v="863"/>
    <n v="-6"/>
    <x v="1913"/>
    <n v="3454.97"/>
    <s v="Complete Access"/>
    <x v="1"/>
    <x v="1"/>
    <x v="1"/>
    <d v="1900-01-17T00:00:00"/>
    <n v="8"/>
    <x v="0"/>
    <x v="3"/>
  </r>
  <r>
    <x v="864"/>
    <n v="-760"/>
    <x v="656"/>
    <n v="3594.36"/>
    <s v="Complete Access"/>
    <x v="13"/>
    <x v="0"/>
    <x v="0"/>
    <d v="1900-01-16T00:00:00"/>
    <n v="8"/>
    <x v="0"/>
    <x v="3"/>
  </r>
  <r>
    <x v="864"/>
    <n v="-28.83"/>
    <x v="1914"/>
    <n v="3515.97"/>
    <s v="Complete Access"/>
    <x v="8"/>
    <x v="1"/>
    <x v="5"/>
    <d v="1900-01-16T00:00:00"/>
    <n v="8"/>
    <x v="0"/>
    <x v="3"/>
  </r>
  <r>
    <x v="864"/>
    <n v="2826.8"/>
    <x v="1915"/>
    <n v="4354.3599999999997"/>
    <s v="Complete Access"/>
    <x v="14"/>
    <x v="6"/>
    <x v="9"/>
    <d v="1900-01-16T00:00:00"/>
    <n v="8"/>
    <x v="0"/>
    <x v="3"/>
  </r>
  <r>
    <x v="864"/>
    <n v="-49.56"/>
    <x v="1916"/>
    <n v="3544.8"/>
    <s v="Complete Access"/>
    <x v="237"/>
    <x v="15"/>
    <x v="34"/>
    <d v="1900-01-16T00:00:00"/>
    <n v="8"/>
    <x v="0"/>
    <x v="3"/>
  </r>
  <r>
    <x v="864"/>
    <n v="-55"/>
    <x v="1917"/>
    <n v="3460.97"/>
    <s v="Complete Access"/>
    <x v="433"/>
    <x v="7"/>
    <x v="53"/>
    <d v="1900-01-16T00:00:00"/>
    <n v="8"/>
    <x v="0"/>
    <x v="3"/>
  </r>
  <r>
    <x v="865"/>
    <n v="-26.29"/>
    <x v="1918"/>
    <n v="1578.05"/>
    <s v="Complete Access"/>
    <x v="8"/>
    <x v="1"/>
    <x v="5"/>
    <d v="1900-01-15T00:00:00"/>
    <n v="8"/>
    <x v="0"/>
    <x v="3"/>
  </r>
  <r>
    <x v="865"/>
    <n v="-9.99"/>
    <x v="1919"/>
    <n v="1568.06"/>
    <s v="Complete Access"/>
    <x v="222"/>
    <x v="11"/>
    <x v="14"/>
    <d v="1900-01-15T00:00:00"/>
    <n v="8"/>
    <x v="0"/>
    <x v="3"/>
  </r>
  <r>
    <x v="865"/>
    <n v="-40.5"/>
    <x v="1641"/>
    <n v="1527.56"/>
    <s v="Complete Access"/>
    <x v="4"/>
    <x v="1"/>
    <x v="1"/>
    <d v="1900-01-15T00:00:00"/>
    <n v="8"/>
    <x v="0"/>
    <x v="3"/>
  </r>
  <r>
    <x v="866"/>
    <n v="-24"/>
    <x v="1920"/>
    <n v="1654.52"/>
    <s v="Complete Access"/>
    <x v="505"/>
    <x v="20"/>
    <x v="63"/>
    <d v="1900-01-14T00:00:00"/>
    <n v="8"/>
    <x v="0"/>
    <x v="3"/>
  </r>
  <r>
    <x v="866"/>
    <n v="-50.18"/>
    <x v="1921"/>
    <n v="1604.34"/>
    <s v="Complete Access"/>
    <x v="304"/>
    <x v="1"/>
    <x v="5"/>
    <d v="1900-01-14T00:00:00"/>
    <n v="8"/>
    <x v="0"/>
    <x v="3"/>
  </r>
  <r>
    <x v="867"/>
    <n v="-408"/>
    <x v="1922"/>
    <n v="1678.52"/>
    <s v="Complete Access"/>
    <x v="506"/>
    <x v="1"/>
    <x v="5"/>
    <d v="1900-01-13T00:00:00"/>
    <n v="8"/>
    <x v="0"/>
    <x v="3"/>
  </r>
  <r>
    <x v="867"/>
    <n v="-51.56"/>
    <x v="966"/>
    <n v="2086.52"/>
    <s v="Complete Access"/>
    <x v="215"/>
    <x v="1"/>
    <x v="1"/>
    <d v="1900-01-13T00:00:00"/>
    <n v="8"/>
    <x v="0"/>
    <x v="3"/>
  </r>
  <r>
    <x v="868"/>
    <n v="-9.7899999999999991"/>
    <x v="966"/>
    <n v="2154.5300000000002"/>
    <s v="Complete Access"/>
    <x v="215"/>
    <x v="1"/>
    <x v="1"/>
    <d v="1900-01-11T00:00:00"/>
    <n v="7"/>
    <x v="0"/>
    <x v="3"/>
  </r>
  <r>
    <x v="868"/>
    <n v="-16.45"/>
    <x v="1923"/>
    <n v="2138.08"/>
    <s v="Complete Access"/>
    <x v="367"/>
    <x v="4"/>
    <x v="7"/>
    <d v="1900-01-11T00:00:00"/>
    <n v="7"/>
    <x v="0"/>
    <x v="3"/>
  </r>
  <r>
    <x v="869"/>
    <n v="24"/>
    <x v="1831"/>
    <n v="2164.3200000000002"/>
    <s v="Complete Access"/>
    <x v="36"/>
    <x v="0"/>
    <x v="0"/>
    <d v="1900-01-10T00:00:00"/>
    <n v="7"/>
    <x v="0"/>
    <x v="3"/>
  </r>
  <r>
    <x v="869"/>
    <n v="-11.57"/>
    <x v="966"/>
    <n v="2140.3200000000002"/>
    <s v="Complete Access"/>
    <x v="215"/>
    <x v="1"/>
    <x v="1"/>
    <d v="1900-01-10T00:00:00"/>
    <n v="7"/>
    <x v="0"/>
    <x v="3"/>
  </r>
  <r>
    <x v="870"/>
    <n v="-17.649999999999999"/>
    <x v="1924"/>
    <n v="2151.89"/>
    <s v="Complete Access"/>
    <x v="507"/>
    <x v="1"/>
    <x v="1"/>
    <d v="1900-01-07T00:00:00"/>
    <n v="7"/>
    <x v="0"/>
    <x v="3"/>
  </r>
  <r>
    <x v="870"/>
    <n v="-43.69"/>
    <x v="1925"/>
    <n v="2169.54"/>
    <s v="Complete Access"/>
    <x v="1"/>
    <x v="1"/>
    <x v="1"/>
    <d v="1900-01-07T00:00:00"/>
    <n v="7"/>
    <x v="0"/>
    <x v="3"/>
  </r>
  <r>
    <x v="871"/>
    <n v="51"/>
    <x v="1840"/>
    <n v="2230.23"/>
    <s v="Complete Access"/>
    <x v="36"/>
    <x v="0"/>
    <x v="0"/>
    <d v="1900-01-05T00:00:00"/>
    <n v="7"/>
    <x v="0"/>
    <x v="3"/>
  </r>
  <r>
    <x v="871"/>
    <n v="-17"/>
    <x v="1877"/>
    <n v="2213.23"/>
    <s v="Complete Access"/>
    <x v="267"/>
    <x v="1"/>
    <x v="1"/>
    <d v="1900-01-05T00:00:00"/>
    <n v="7"/>
    <x v="0"/>
    <x v="3"/>
  </r>
  <r>
    <x v="871"/>
    <n v="-109.42"/>
    <x v="1926"/>
    <n v="2179.23"/>
    <s v="Complete Access"/>
    <x v="419"/>
    <x v="1"/>
    <x v="5"/>
    <d v="1900-01-05T00:00:00"/>
    <n v="7"/>
    <x v="0"/>
    <x v="3"/>
  </r>
  <r>
    <x v="872"/>
    <n v="-25.99"/>
    <x v="1927"/>
    <n v="2414.0500000000002"/>
    <s v="Complete Access"/>
    <x v="8"/>
    <x v="1"/>
    <x v="5"/>
    <d v="1900-01-04T00:00:00"/>
    <n v="6"/>
    <x v="0"/>
    <x v="3"/>
  </r>
  <r>
    <x v="872"/>
    <n v="-21"/>
    <x v="1781"/>
    <n v="2288.65"/>
    <s v="Complete Access"/>
    <x v="466"/>
    <x v="1"/>
    <x v="1"/>
    <d v="1900-01-04T00:00:00"/>
    <n v="6"/>
    <x v="0"/>
    <x v="3"/>
  </r>
  <r>
    <x v="872"/>
    <n v="-101.36"/>
    <x v="1928"/>
    <n v="2312.69"/>
    <s v="Complete Access"/>
    <x v="508"/>
    <x v="4"/>
    <x v="10"/>
    <d v="1900-01-04T00:00:00"/>
    <n v="6"/>
    <x v="0"/>
    <x v="3"/>
  </r>
  <r>
    <x v="872"/>
    <n v="-3.04"/>
    <x v="1929"/>
    <n v="2309.65"/>
    <s v="Complete Access"/>
    <x v="10"/>
    <x v="0"/>
    <x v="0"/>
    <d v="1900-01-04T00:00:00"/>
    <n v="6"/>
    <x v="0"/>
    <x v="3"/>
  </r>
  <r>
    <x v="872"/>
    <n v="-23.95"/>
    <x v="1930"/>
    <n v="2440.04"/>
    <s v="Complete Access"/>
    <x v="509"/>
    <x v="4"/>
    <x v="73"/>
    <d v="1900-01-04T00:00:00"/>
    <n v="6"/>
    <x v="0"/>
    <x v="3"/>
  </r>
  <r>
    <x v="873"/>
    <n v="-5.89"/>
    <x v="1931"/>
    <n v="2513.4899999999998"/>
    <s v="Complete Access"/>
    <x v="510"/>
    <x v="11"/>
    <x v="14"/>
    <d v="1900-01-03T00:00:00"/>
    <n v="6"/>
    <x v="0"/>
    <x v="3"/>
  </r>
  <r>
    <x v="873"/>
    <n v="-9.5"/>
    <x v="1932"/>
    <n v="2463.9899999999998"/>
    <s v="Complete Access"/>
    <x v="365"/>
    <x v="1"/>
    <x v="5"/>
    <d v="1900-01-03T00:00:00"/>
    <n v="6"/>
    <x v="0"/>
    <x v="3"/>
  </r>
  <r>
    <x v="873"/>
    <n v="-35.880000000000003"/>
    <x v="1933"/>
    <n v="2519.38"/>
    <s v="Complete Access"/>
    <x v="104"/>
    <x v="1"/>
    <x v="5"/>
    <d v="1900-01-03T00:00:00"/>
    <n v="6"/>
    <x v="0"/>
    <x v="3"/>
  </r>
  <r>
    <x v="873"/>
    <n v="-40"/>
    <x v="1641"/>
    <n v="2473.4899999999998"/>
    <s v="Complete Access"/>
    <x v="4"/>
    <x v="1"/>
    <x v="1"/>
    <d v="1900-01-03T00:00:00"/>
    <n v="6"/>
    <x v="0"/>
    <x v="3"/>
  </r>
  <r>
    <x v="874"/>
    <n v="-760"/>
    <x v="656"/>
    <n v="2697.43"/>
    <s v="Complete Access"/>
    <x v="13"/>
    <x v="0"/>
    <x v="0"/>
    <d v="1900-01-02T00:00:00"/>
    <n v="6"/>
    <x v="0"/>
    <x v="3"/>
  </r>
  <r>
    <x v="874"/>
    <n v="2867.12"/>
    <x v="1934"/>
    <n v="3457.43"/>
    <s v="Complete Access"/>
    <x v="14"/>
    <x v="6"/>
    <x v="9"/>
    <d v="1900-01-02T00:00:00"/>
    <n v="6"/>
    <x v="0"/>
    <x v="3"/>
  </r>
  <r>
    <x v="874"/>
    <n v="-142.16999999999999"/>
    <x v="1935"/>
    <n v="2555.2600000000002"/>
    <s v="Complete Access"/>
    <x v="509"/>
    <x v="4"/>
    <x v="73"/>
    <d v="1900-01-02T00:00:00"/>
    <n v="6"/>
    <x v="0"/>
    <x v="3"/>
  </r>
  <r>
    <x v="875"/>
    <n v="-2000"/>
    <x v="1936"/>
    <n v="770.86"/>
    <s v="Complete Access"/>
    <x v="504"/>
    <x v="0"/>
    <x v="72"/>
    <d v="1899-12-31T00:00:00"/>
    <n v="6"/>
    <x v="0"/>
    <x v="3"/>
  </r>
  <r>
    <x v="875"/>
    <n v="-21.34"/>
    <x v="1937"/>
    <n v="2170.86"/>
    <s v="Complete Access"/>
    <x v="8"/>
    <x v="1"/>
    <x v="5"/>
    <d v="1899-12-31T00:00:00"/>
    <n v="6"/>
    <x v="0"/>
    <x v="3"/>
  </r>
  <r>
    <x v="875"/>
    <n v="600"/>
    <x v="370"/>
    <n v="2770.86"/>
    <s v="Complete Access"/>
    <x v="36"/>
    <x v="0"/>
    <x v="0"/>
    <d v="1899-12-31T00:00:00"/>
    <n v="6"/>
    <x v="0"/>
    <x v="3"/>
  </r>
  <r>
    <x v="875"/>
    <n v="-27.72"/>
    <x v="1938"/>
    <n v="2586.48"/>
    <s v="Complete Access"/>
    <x v="215"/>
    <x v="1"/>
    <x v="1"/>
    <d v="1899-12-31T00:00:00"/>
    <n v="6"/>
    <x v="0"/>
    <x v="3"/>
  </r>
  <r>
    <x v="875"/>
    <n v="-180.55"/>
    <x v="1939"/>
    <n v="590.30999999999995"/>
    <s v="Complete Access"/>
    <x v="76"/>
    <x v="2"/>
    <x v="2"/>
    <d v="1899-12-31T00:00:00"/>
    <n v="6"/>
    <x v="0"/>
    <x v="3"/>
  </r>
  <r>
    <x v="875"/>
    <n v="-20.170000000000002"/>
    <x v="1940"/>
    <n v="2614.1999999999998"/>
    <s v="Complete Access"/>
    <x v="34"/>
    <x v="9"/>
    <x v="12"/>
    <d v="1899-12-31T00:00:00"/>
    <n v="6"/>
    <x v="0"/>
    <x v="3"/>
  </r>
  <r>
    <x v="875"/>
    <n v="-394.28"/>
    <x v="1941"/>
    <n v="2192.1999999999998"/>
    <s v="Complete Access"/>
    <x v="511"/>
    <x v="4"/>
    <x v="47"/>
    <d v="1899-12-31T00:00:00"/>
    <n v="6"/>
    <x v="0"/>
    <x v="3"/>
  </r>
  <r>
    <x v="876"/>
    <n v="-44.59"/>
    <x v="1942"/>
    <n v="2634.37"/>
    <s v="Complete Access"/>
    <x v="1"/>
    <x v="1"/>
    <x v="1"/>
    <d v="1900-01-27T00:00:00"/>
    <n v="5"/>
    <x v="1"/>
    <x v="3"/>
  </r>
  <r>
    <x v="877"/>
    <n v="-19.64"/>
    <x v="1943"/>
    <n v="2906.63"/>
    <s v="Complete Access"/>
    <x v="507"/>
    <x v="1"/>
    <x v="1"/>
    <d v="1900-01-24T00:00:00"/>
    <n v="5"/>
    <x v="1"/>
    <x v="3"/>
  </r>
  <r>
    <x v="877"/>
    <n v="-34.700000000000003"/>
    <x v="1944"/>
    <n v="2817.67"/>
    <s v="Complete Access"/>
    <x v="512"/>
    <x v="1"/>
    <x v="5"/>
    <d v="1900-01-24T00:00:00"/>
    <n v="5"/>
    <x v="1"/>
    <x v="3"/>
  </r>
  <r>
    <x v="877"/>
    <n v="-4.5"/>
    <x v="1945"/>
    <n v="2852.37"/>
    <s v="Complete Access"/>
    <x v="513"/>
    <x v="1"/>
    <x v="5"/>
    <d v="1900-01-24T00:00:00"/>
    <n v="5"/>
    <x v="1"/>
    <x v="3"/>
  </r>
  <r>
    <x v="877"/>
    <n v="-13.4"/>
    <x v="1945"/>
    <n v="2856.87"/>
    <s v="Complete Access"/>
    <x v="513"/>
    <x v="1"/>
    <x v="5"/>
    <d v="1900-01-24T00:00:00"/>
    <n v="5"/>
    <x v="1"/>
    <x v="3"/>
  </r>
  <r>
    <x v="877"/>
    <n v="-15.87"/>
    <x v="966"/>
    <n v="2761.13"/>
    <s v="Complete Access"/>
    <x v="215"/>
    <x v="1"/>
    <x v="1"/>
    <d v="1900-01-24T00:00:00"/>
    <n v="5"/>
    <x v="1"/>
    <x v="3"/>
  </r>
  <r>
    <x v="877"/>
    <n v="-82.17"/>
    <x v="1946"/>
    <n v="2678.96"/>
    <s v="Complete Access"/>
    <x v="438"/>
    <x v="12"/>
    <x v="21"/>
    <d v="1900-01-24T00:00:00"/>
    <n v="5"/>
    <x v="1"/>
    <x v="3"/>
  </r>
  <r>
    <x v="877"/>
    <n v="-36.36"/>
    <x v="1947"/>
    <n v="2870.27"/>
    <s v="Complete Access"/>
    <x v="190"/>
    <x v="8"/>
    <x v="29"/>
    <d v="1900-01-24T00:00:00"/>
    <n v="5"/>
    <x v="1"/>
    <x v="3"/>
  </r>
  <r>
    <x v="877"/>
    <n v="-40.67"/>
    <x v="1948"/>
    <n v="2777"/>
    <s v="Complete Access"/>
    <x v="1"/>
    <x v="1"/>
    <x v="1"/>
    <d v="1900-01-24T00:00:00"/>
    <n v="5"/>
    <x v="1"/>
    <x v="3"/>
  </r>
  <r>
    <x v="877"/>
    <n v="-37.86"/>
    <x v="1949"/>
    <n v="2926.27"/>
    <s v="Complete Access"/>
    <x v="1"/>
    <x v="1"/>
    <x v="1"/>
    <d v="1900-01-24T00:00:00"/>
    <n v="5"/>
    <x v="1"/>
    <x v="3"/>
  </r>
  <r>
    <x v="878"/>
    <n v="-15"/>
    <x v="1423"/>
    <n v="2964.13"/>
    <s v="Complete Access"/>
    <x v="0"/>
    <x v="0"/>
    <x v="0"/>
    <d v="1900-01-22T00:00:00"/>
    <n v="5"/>
    <x v="1"/>
    <x v="3"/>
  </r>
  <r>
    <x v="879"/>
    <n v="-50"/>
    <x v="1390"/>
    <n v="2999.13"/>
    <s v="Complete Access"/>
    <x v="390"/>
    <x v="1"/>
    <x v="5"/>
    <d v="1900-01-21T00:00:00"/>
    <n v="4"/>
    <x v="1"/>
    <x v="3"/>
  </r>
  <r>
    <x v="879"/>
    <n v="-20"/>
    <x v="1950"/>
    <n v="2979.13"/>
    <s v="Complete Access"/>
    <x v="0"/>
    <x v="0"/>
    <x v="0"/>
    <d v="1900-01-21T00:00:00"/>
    <n v="4"/>
    <x v="1"/>
    <x v="3"/>
  </r>
  <r>
    <x v="880"/>
    <n v="-55"/>
    <x v="1951"/>
    <n v="3049.13"/>
    <s v="Complete Access"/>
    <x v="433"/>
    <x v="7"/>
    <x v="53"/>
    <d v="1900-01-20T00:00:00"/>
    <n v="4"/>
    <x v="1"/>
    <x v="3"/>
  </r>
  <r>
    <x v="881"/>
    <n v="-760"/>
    <x v="656"/>
    <n v="3551.58"/>
    <s v="Complete Access"/>
    <x v="13"/>
    <x v="0"/>
    <x v="0"/>
    <d v="1900-01-19T00:00:00"/>
    <n v="4"/>
    <x v="1"/>
    <x v="3"/>
  </r>
  <r>
    <x v="881"/>
    <n v="2248.56"/>
    <x v="1952"/>
    <n v="4311.58"/>
    <s v="Complete Access"/>
    <x v="14"/>
    <x v="6"/>
    <x v="9"/>
    <d v="1900-01-19T00:00:00"/>
    <n v="4"/>
    <x v="1"/>
    <x v="3"/>
  </r>
  <r>
    <x v="881"/>
    <n v="-30.45"/>
    <x v="1953"/>
    <n v="3521.13"/>
    <s v="Complete Access"/>
    <x v="29"/>
    <x v="4"/>
    <x v="19"/>
    <d v="1900-01-19T00:00:00"/>
    <n v="4"/>
    <x v="1"/>
    <x v="3"/>
  </r>
  <r>
    <x v="881"/>
    <n v="-29"/>
    <x v="1954"/>
    <n v="3104.13"/>
    <s v="Complete Access"/>
    <x v="29"/>
    <x v="4"/>
    <x v="19"/>
    <d v="1900-01-19T00:00:00"/>
    <n v="4"/>
    <x v="1"/>
    <x v="3"/>
  </r>
  <r>
    <x v="881"/>
    <n v="-388"/>
    <x v="1955"/>
    <n v="3133.13"/>
    <s v="Complete Access"/>
    <x v="321"/>
    <x v="4"/>
    <x v="47"/>
    <d v="1900-01-19T00:00:00"/>
    <n v="4"/>
    <x v="1"/>
    <x v="3"/>
  </r>
  <r>
    <x v="882"/>
    <n v="-478.73"/>
    <x v="1956"/>
    <n v="2114.36"/>
    <s v="Complete Access"/>
    <x v="192"/>
    <x v="4"/>
    <x v="20"/>
    <d v="1900-01-18T00:00:00"/>
    <n v="4"/>
    <x v="1"/>
    <x v="3"/>
  </r>
  <r>
    <x v="882"/>
    <n v="-1.5"/>
    <x v="1957"/>
    <n v="2063.02"/>
    <s v="Complete Access"/>
    <x v="10"/>
    <x v="0"/>
    <x v="0"/>
    <d v="1900-01-18T00:00:00"/>
    <n v="4"/>
    <x v="1"/>
    <x v="3"/>
  </r>
  <r>
    <x v="882"/>
    <n v="-49.84"/>
    <x v="1958"/>
    <n v="2064.52"/>
    <s v="Complete Access"/>
    <x v="363"/>
    <x v="4"/>
    <x v="25"/>
    <d v="1900-01-18T00:00:00"/>
    <n v="4"/>
    <x v="1"/>
    <x v="3"/>
  </r>
  <r>
    <x v="883"/>
    <n v="-37.9"/>
    <x v="1959"/>
    <n v="2593.09"/>
    <s v="Complete Access"/>
    <x v="267"/>
    <x v="1"/>
    <x v="1"/>
    <d v="1900-01-17T00:00:00"/>
    <n v="4"/>
    <x v="1"/>
    <x v="3"/>
  </r>
  <r>
    <x v="884"/>
    <n v="47"/>
    <x v="1960"/>
    <n v="2630.99"/>
    <s v="Complete Access"/>
    <x v="36"/>
    <x v="0"/>
    <x v="0"/>
    <d v="1900-01-14T00:00:00"/>
    <n v="3"/>
    <x v="1"/>
    <x v="3"/>
  </r>
  <r>
    <x v="885"/>
    <n v="-97.06"/>
    <x v="989"/>
    <n v="2583.9899999999998"/>
    <s v="Complete Access"/>
    <x v="332"/>
    <x v="1"/>
    <x v="5"/>
    <d v="1900-01-13T00:00:00"/>
    <n v="3"/>
    <x v="1"/>
    <x v="3"/>
  </r>
  <r>
    <x v="885"/>
    <n v="-185.64"/>
    <x v="1961"/>
    <n v="2681.05"/>
    <s v="Complete Access"/>
    <x v="1"/>
    <x v="1"/>
    <x v="1"/>
    <d v="1900-01-13T00:00:00"/>
    <n v="3"/>
    <x v="1"/>
    <x v="3"/>
  </r>
  <r>
    <x v="886"/>
    <n v="-8"/>
    <x v="1962"/>
    <n v="2876.68"/>
    <s v="Complete Access"/>
    <x v="514"/>
    <x v="1"/>
    <x v="5"/>
    <d v="1900-01-11T00:00:00"/>
    <n v="3"/>
    <x v="1"/>
    <x v="3"/>
  </r>
  <r>
    <x v="886"/>
    <n v="-9.99"/>
    <x v="1963"/>
    <n v="2866.69"/>
    <s v="Complete Access"/>
    <x v="222"/>
    <x v="11"/>
    <x v="14"/>
    <d v="1900-01-11T00:00:00"/>
    <n v="3"/>
    <x v="1"/>
    <x v="3"/>
  </r>
  <r>
    <x v="887"/>
    <n v="-10.59"/>
    <x v="966"/>
    <n v="2884.68"/>
    <s v="Complete Access"/>
    <x v="215"/>
    <x v="1"/>
    <x v="1"/>
    <d v="1900-01-09T00:00:00"/>
    <n v="3"/>
    <x v="1"/>
    <x v="3"/>
  </r>
  <r>
    <x v="888"/>
    <n v="15.39"/>
    <x v="1964"/>
    <n v="2900.02"/>
    <s v="Complete Access"/>
    <x v="36"/>
    <x v="0"/>
    <x v="0"/>
    <d v="1900-01-08T00:00:00"/>
    <n v="3"/>
    <x v="1"/>
    <x v="3"/>
  </r>
  <r>
    <x v="888"/>
    <n v="-4.75"/>
    <x v="96"/>
    <n v="2895.27"/>
    <s v="Complete Access"/>
    <x v="47"/>
    <x v="1"/>
    <x v="5"/>
    <d v="1900-01-08T00:00:00"/>
    <n v="3"/>
    <x v="1"/>
    <x v="3"/>
  </r>
  <r>
    <x v="888"/>
    <n v="-53.39"/>
    <x v="1965"/>
    <n v="2884.63"/>
    <s v="Complete Access"/>
    <x v="304"/>
    <x v="1"/>
    <x v="5"/>
    <d v="1900-01-08T00:00:00"/>
    <n v="3"/>
    <x v="1"/>
    <x v="3"/>
  </r>
  <r>
    <x v="889"/>
    <n v="25"/>
    <x v="1831"/>
    <n v="2938.02"/>
    <s v="Complete Access"/>
    <x v="36"/>
    <x v="0"/>
    <x v="0"/>
    <d v="1900-01-06T00:00:00"/>
    <n v="2"/>
    <x v="1"/>
    <x v="3"/>
  </r>
  <r>
    <x v="889"/>
    <n v="-69.5"/>
    <x v="1390"/>
    <n v="2913.02"/>
    <s v="Complete Access"/>
    <x v="390"/>
    <x v="1"/>
    <x v="5"/>
    <d v="1900-01-06T00:00:00"/>
    <n v="2"/>
    <x v="1"/>
    <x v="3"/>
  </r>
  <r>
    <x v="890"/>
    <n v="-760"/>
    <x v="656"/>
    <n v="3022.97"/>
    <s v="Complete Access"/>
    <x v="13"/>
    <x v="0"/>
    <x v="0"/>
    <d v="1900-01-05T00:00:00"/>
    <n v="2"/>
    <x v="1"/>
    <x v="3"/>
  </r>
  <r>
    <x v="890"/>
    <n v="2248.5500000000002"/>
    <x v="1966"/>
    <n v="3782.97"/>
    <s v="Complete Access"/>
    <x v="14"/>
    <x v="6"/>
    <x v="9"/>
    <d v="1900-01-05T00:00:00"/>
    <n v="2"/>
    <x v="1"/>
    <x v="3"/>
  </r>
  <r>
    <x v="890"/>
    <n v="-40.450000000000003"/>
    <x v="1967"/>
    <n v="2982.52"/>
    <s v="Complete Access"/>
    <x v="1"/>
    <x v="1"/>
    <x v="1"/>
    <d v="1900-01-05T00:00:00"/>
    <n v="2"/>
    <x v="1"/>
    <x v="3"/>
  </r>
  <r>
    <x v="891"/>
    <n v="11.46"/>
    <x v="1968"/>
    <n v="1562.47"/>
    <s v="Complete Access"/>
    <x v="36"/>
    <x v="0"/>
    <x v="0"/>
    <d v="1900-01-04T00:00:00"/>
    <n v="2"/>
    <x v="1"/>
    <x v="3"/>
  </r>
  <r>
    <x v="891"/>
    <n v="-28.05"/>
    <x v="1969"/>
    <n v="1534.42"/>
    <s v="Complete Access"/>
    <x v="47"/>
    <x v="1"/>
    <x v="5"/>
    <d v="1900-01-04T00:00:00"/>
    <n v="2"/>
    <x v="1"/>
    <x v="3"/>
  </r>
  <r>
    <x v="891"/>
    <n v="-55"/>
    <x v="1970"/>
    <n v="1551.01"/>
    <s v="Complete Access"/>
    <x v="35"/>
    <x v="1"/>
    <x v="23"/>
    <d v="1900-01-04T00:00:00"/>
    <n v="2"/>
    <x v="1"/>
    <x v="3"/>
  </r>
  <r>
    <x v="891"/>
    <n v="-0.15"/>
    <x v="1971"/>
    <n v="1606.01"/>
    <s v="Complete Access"/>
    <x v="1"/>
    <x v="1"/>
    <x v="1"/>
    <d v="1900-01-04T00:00:00"/>
    <n v="2"/>
    <x v="1"/>
    <x v="3"/>
  </r>
  <r>
    <x v="891"/>
    <n v="-60.43"/>
    <x v="1971"/>
    <n v="1606.16"/>
    <s v="Complete Access"/>
    <x v="1"/>
    <x v="1"/>
    <x v="1"/>
    <d v="1900-01-04T00:00:00"/>
    <n v="2"/>
    <x v="1"/>
    <x v="3"/>
  </r>
  <r>
    <x v="892"/>
    <n v="-2500"/>
    <x v="1972"/>
    <n v="1871.14"/>
    <s v="Complete Access"/>
    <x v="504"/>
    <x v="0"/>
    <x v="72"/>
    <d v="1900-01-03T00:00:00"/>
    <n v="2"/>
    <x v="1"/>
    <x v="3"/>
  </r>
  <r>
    <x v="892"/>
    <n v="2500"/>
    <x v="1973"/>
    <n v="4371.1400000000003"/>
    <s v="Complete Access"/>
    <x v="36"/>
    <x v="0"/>
    <x v="0"/>
    <d v="1900-01-03T00:00:00"/>
    <n v="2"/>
    <x v="1"/>
    <x v="3"/>
  </r>
  <r>
    <x v="892"/>
    <n v="-180.55"/>
    <x v="1974"/>
    <n v="1666.59"/>
    <s v="Complete Access"/>
    <x v="76"/>
    <x v="2"/>
    <x v="2"/>
    <d v="1900-01-03T00:00:00"/>
    <n v="2"/>
    <x v="1"/>
    <x v="3"/>
  </r>
  <r>
    <x v="892"/>
    <n v="-24"/>
    <x v="1975"/>
    <n v="1847.14"/>
    <s v="Complete Access"/>
    <x v="504"/>
    <x v="0"/>
    <x v="72"/>
    <d v="1900-01-03T00:00:00"/>
    <n v="2"/>
    <x v="1"/>
    <x v="3"/>
  </r>
  <r>
    <x v="893"/>
    <n v="53.1"/>
    <x v="1976"/>
    <n v="1871.14"/>
    <s v="Complete Access"/>
    <x v="515"/>
    <x v="1"/>
    <x v="5"/>
    <d v="1899-12-31T00:00:00"/>
    <n v="1"/>
    <x v="1"/>
    <x v="3"/>
  </r>
  <r>
    <x v="894"/>
    <n v="-23.67"/>
    <x v="1931"/>
    <n v="1883.39"/>
    <s v="Complete Access"/>
    <x v="510"/>
    <x v="11"/>
    <x v="14"/>
    <d v="1900-01-30T00:00:00"/>
    <n v="53"/>
    <x v="2"/>
    <x v="4"/>
  </r>
  <r>
    <x v="894"/>
    <n v="-35.950000000000003"/>
    <x v="1977"/>
    <n v="1907.06"/>
    <s v="Complete Access"/>
    <x v="516"/>
    <x v="10"/>
    <x v="13"/>
    <d v="1900-01-30T00:00:00"/>
    <n v="53"/>
    <x v="2"/>
    <x v="4"/>
  </r>
  <r>
    <x v="894"/>
    <n v="-65.349999999999994"/>
    <x v="1641"/>
    <n v="1818.04"/>
    <s v="Complete Access"/>
    <x v="4"/>
    <x v="1"/>
    <x v="1"/>
    <d v="1900-01-30T00:00:00"/>
    <n v="53"/>
    <x v="2"/>
    <x v="4"/>
  </r>
  <r>
    <x v="895"/>
    <n v="219"/>
    <x v="1978"/>
    <n v="2145.98"/>
    <s v="Complete Access"/>
    <x v="321"/>
    <x v="4"/>
    <x v="47"/>
    <d v="1900-01-29T00:00:00"/>
    <n v="53"/>
    <x v="2"/>
    <x v="4"/>
  </r>
  <r>
    <x v="895"/>
    <n v="-53.1"/>
    <x v="1979"/>
    <n v="1943.01"/>
    <s v="Complete Access"/>
    <x v="515"/>
    <x v="1"/>
    <x v="5"/>
    <d v="1900-01-29T00:00:00"/>
    <n v="53"/>
    <x v="2"/>
    <x v="4"/>
  </r>
  <r>
    <x v="895"/>
    <n v="-53.1"/>
    <x v="1979"/>
    <n v="1996.11"/>
    <s v="Complete Access"/>
    <x v="515"/>
    <x v="1"/>
    <x v="5"/>
    <d v="1900-01-29T00:00:00"/>
    <n v="53"/>
    <x v="2"/>
    <x v="4"/>
  </r>
  <r>
    <x v="895"/>
    <n v="-44.59"/>
    <x v="1980"/>
    <n v="2049.21"/>
    <s v="Complete Access"/>
    <x v="104"/>
    <x v="1"/>
    <x v="5"/>
    <d v="1900-01-29T00:00:00"/>
    <n v="53"/>
    <x v="2"/>
    <x v="4"/>
  </r>
  <r>
    <x v="895"/>
    <n v="-16.489999999999998"/>
    <x v="1981"/>
    <n v="2129.4899999999998"/>
    <s v="Complete Access"/>
    <x v="222"/>
    <x v="11"/>
    <x v="14"/>
    <d v="1900-01-29T00:00:00"/>
    <n v="53"/>
    <x v="2"/>
    <x v="4"/>
  </r>
  <r>
    <x v="895"/>
    <n v="-26.49"/>
    <x v="1982"/>
    <n v="2093.8000000000002"/>
    <s v="Complete Access"/>
    <x v="34"/>
    <x v="9"/>
    <x v="12"/>
    <d v="1900-01-29T00:00:00"/>
    <n v="53"/>
    <x v="2"/>
    <x v="4"/>
  </r>
  <r>
    <x v="895"/>
    <n v="-9.1999999999999993"/>
    <x v="1982"/>
    <n v="2120.29"/>
    <s v="Complete Access"/>
    <x v="34"/>
    <x v="9"/>
    <x v="12"/>
    <d v="1900-01-29T00:00:00"/>
    <n v="53"/>
    <x v="2"/>
    <x v="4"/>
  </r>
  <r>
    <x v="896"/>
    <n v="-48.65"/>
    <x v="1983"/>
    <n v="1926.98"/>
    <s v="Complete Access"/>
    <x v="517"/>
    <x v="1"/>
    <x v="5"/>
    <d v="1900-01-26T00:00:00"/>
    <n v="53"/>
    <x v="2"/>
    <x v="4"/>
  </r>
  <r>
    <x v="897"/>
    <n v="-14"/>
    <x v="1984"/>
    <n v="1975.63"/>
    <s v="Complete Access"/>
    <x v="0"/>
    <x v="0"/>
    <x v="0"/>
    <d v="1900-01-25T00:00:00"/>
    <n v="53"/>
    <x v="2"/>
    <x v="4"/>
  </r>
  <r>
    <x v="898"/>
    <n v="-299"/>
    <x v="1985"/>
    <n v="1989.63"/>
    <s v="Complete Access"/>
    <x v="321"/>
    <x v="4"/>
    <x v="47"/>
    <d v="1900-01-24T00:00:00"/>
    <n v="52"/>
    <x v="2"/>
    <x v="4"/>
  </r>
  <r>
    <x v="898"/>
    <n v="-299"/>
    <x v="1985"/>
    <n v="2288.63"/>
    <s v="Complete Access"/>
    <x v="321"/>
    <x v="4"/>
    <x v="47"/>
    <d v="1900-01-24T00:00:00"/>
    <n v="52"/>
    <x v="2"/>
    <x v="4"/>
  </r>
  <r>
    <x v="898"/>
    <n v="-60"/>
    <x v="1986"/>
    <n v="2587.63"/>
    <s v="Complete Access"/>
    <x v="248"/>
    <x v="3"/>
    <x v="58"/>
    <d v="1900-01-24T00:00:00"/>
    <n v="52"/>
    <x v="2"/>
    <x v="4"/>
  </r>
  <r>
    <x v="899"/>
    <n v="150"/>
    <x v="1987"/>
    <n v="2664.33"/>
    <s v="Complete Access"/>
    <x v="36"/>
    <x v="0"/>
    <x v="0"/>
    <d v="1900-01-23T00:00:00"/>
    <n v="52"/>
    <x v="2"/>
    <x v="4"/>
  </r>
  <r>
    <x v="899"/>
    <n v="-16.7"/>
    <x v="1988"/>
    <n v="2647.63"/>
    <s v="Complete Access"/>
    <x v="518"/>
    <x v="12"/>
    <x v="21"/>
    <d v="1900-01-23T00:00:00"/>
    <n v="52"/>
    <x v="2"/>
    <x v="4"/>
  </r>
  <r>
    <x v="900"/>
    <n v="-760"/>
    <x v="656"/>
    <n v="2734.84"/>
    <s v="Complete Access"/>
    <x v="13"/>
    <x v="0"/>
    <x v="0"/>
    <d v="1900-01-22T00:00:00"/>
    <n v="52"/>
    <x v="2"/>
    <x v="4"/>
  </r>
  <r>
    <x v="900"/>
    <n v="2248.56"/>
    <x v="1989"/>
    <n v="3494.84"/>
    <s v="Complete Access"/>
    <x v="14"/>
    <x v="6"/>
    <x v="9"/>
    <d v="1900-01-22T00:00:00"/>
    <n v="52"/>
    <x v="2"/>
    <x v="4"/>
  </r>
  <r>
    <x v="900"/>
    <n v="-59"/>
    <x v="1990"/>
    <n v="2648.73"/>
    <s v="Complete Access"/>
    <x v="519"/>
    <x v="1"/>
    <x v="5"/>
    <d v="1900-01-22T00:00:00"/>
    <n v="52"/>
    <x v="2"/>
    <x v="4"/>
  </r>
  <r>
    <x v="900"/>
    <n v="-10.85"/>
    <x v="96"/>
    <n v="2707.73"/>
    <s v="Complete Access"/>
    <x v="47"/>
    <x v="1"/>
    <x v="5"/>
    <d v="1900-01-22T00:00:00"/>
    <n v="52"/>
    <x v="2"/>
    <x v="4"/>
  </r>
  <r>
    <x v="900"/>
    <n v="-3.05"/>
    <x v="1991"/>
    <n v="2718.58"/>
    <s v="Complete Access"/>
    <x v="462"/>
    <x v="1"/>
    <x v="5"/>
    <d v="1900-01-22T00:00:00"/>
    <n v="52"/>
    <x v="2"/>
    <x v="4"/>
  </r>
  <r>
    <x v="900"/>
    <n v="-13.21"/>
    <x v="1991"/>
    <n v="2721.63"/>
    <s v="Complete Access"/>
    <x v="462"/>
    <x v="1"/>
    <x v="5"/>
    <d v="1900-01-22T00:00:00"/>
    <n v="52"/>
    <x v="2"/>
    <x v="4"/>
  </r>
  <r>
    <x v="900"/>
    <n v="-134.4"/>
    <x v="1992"/>
    <n v="2514.33"/>
    <s v="Complete Access"/>
    <x v="438"/>
    <x v="12"/>
    <x v="21"/>
    <d v="1900-01-22T00:00:00"/>
    <n v="52"/>
    <x v="2"/>
    <x v="4"/>
  </r>
  <r>
    <x v="901"/>
    <n v="-5.4"/>
    <x v="1993"/>
    <n v="1246.28"/>
    <s v="Complete Access"/>
    <x v="520"/>
    <x v="9"/>
    <x v="32"/>
    <d v="1900-01-21T00:00:00"/>
    <n v="52"/>
    <x v="2"/>
    <x v="4"/>
  </r>
  <r>
    <x v="901"/>
    <n v="-14.98"/>
    <x v="1994"/>
    <n v="1251.68"/>
    <s v="Complete Access"/>
    <x v="222"/>
    <x v="11"/>
    <x v="14"/>
    <d v="1900-01-21T00:00:00"/>
    <n v="52"/>
    <x v="2"/>
    <x v="4"/>
  </r>
  <r>
    <x v="901"/>
    <n v="-32.5"/>
    <x v="1994"/>
    <n v="1266.6600000000001"/>
    <s v="Complete Access"/>
    <x v="222"/>
    <x v="11"/>
    <x v="14"/>
    <d v="1900-01-21T00:00:00"/>
    <n v="52"/>
    <x v="2"/>
    <x v="4"/>
  </r>
  <r>
    <x v="901"/>
    <n v="-14.99"/>
    <x v="1995"/>
    <n v="1299.1600000000001"/>
    <s v="Complete Access"/>
    <x v="428"/>
    <x v="11"/>
    <x v="14"/>
    <d v="1900-01-21T00:00:00"/>
    <n v="52"/>
    <x v="2"/>
    <x v="4"/>
  </r>
  <r>
    <x v="902"/>
    <n v="-10.119999999999999"/>
    <x v="1996"/>
    <n v="2639.16"/>
    <s v="Complete Access"/>
    <x v="521"/>
    <x v="8"/>
    <x v="29"/>
    <d v="1900-01-20T00:00:00"/>
    <n v="52"/>
    <x v="2"/>
    <x v="4"/>
  </r>
  <r>
    <x v="902"/>
    <n v="-23.28"/>
    <x v="1996"/>
    <n v="2649.28"/>
    <s v="Complete Access"/>
    <x v="521"/>
    <x v="8"/>
    <x v="29"/>
    <d v="1900-01-20T00:00:00"/>
    <n v="52"/>
    <x v="2"/>
    <x v="4"/>
  </r>
  <r>
    <x v="902"/>
    <n v="-9.41"/>
    <x v="1996"/>
    <n v="2672.56"/>
    <s v="Complete Access"/>
    <x v="521"/>
    <x v="8"/>
    <x v="29"/>
    <d v="1900-01-20T00:00:00"/>
    <n v="52"/>
    <x v="2"/>
    <x v="4"/>
  </r>
  <r>
    <x v="902"/>
    <n v="-893.25"/>
    <x v="1997"/>
    <n v="1314.15"/>
    <s v="Complete Access"/>
    <x v="321"/>
    <x v="4"/>
    <x v="47"/>
    <d v="1900-01-20T00:00:00"/>
    <n v="52"/>
    <x v="2"/>
    <x v="4"/>
  </r>
  <r>
    <x v="902"/>
    <n v="-149"/>
    <x v="1998"/>
    <n v="2488.7600000000002"/>
    <s v="Complete Access"/>
    <x v="321"/>
    <x v="4"/>
    <x v="47"/>
    <d v="1900-01-20T00:00:00"/>
    <n v="52"/>
    <x v="2"/>
    <x v="4"/>
  </r>
  <r>
    <x v="902"/>
    <n v="-33.39"/>
    <x v="1999"/>
    <n v="2207.4"/>
    <s v="Complete Access"/>
    <x v="104"/>
    <x v="1"/>
    <x v="5"/>
    <d v="1900-01-20T00:00:00"/>
    <n v="52"/>
    <x v="2"/>
    <x v="4"/>
  </r>
  <r>
    <x v="902"/>
    <n v="-1.4"/>
    <x v="2000"/>
    <n v="2637.76"/>
    <s v="Complete Access"/>
    <x v="1"/>
    <x v="1"/>
    <x v="1"/>
    <d v="1900-01-20T00:00:00"/>
    <n v="52"/>
    <x v="2"/>
    <x v="4"/>
  </r>
  <r>
    <x v="902"/>
    <n v="-165.98"/>
    <x v="2001"/>
    <n v="2240.79"/>
    <s v="Complete Access"/>
    <x v="5"/>
    <x v="3"/>
    <x v="3"/>
    <d v="1900-01-20T00:00:00"/>
    <n v="52"/>
    <x v="2"/>
    <x v="4"/>
  </r>
  <r>
    <x v="902"/>
    <n v="-40.99"/>
    <x v="2001"/>
    <n v="2406.77"/>
    <s v="Complete Access"/>
    <x v="5"/>
    <x v="3"/>
    <x v="3"/>
    <d v="1900-01-20T00:00:00"/>
    <n v="52"/>
    <x v="2"/>
    <x v="4"/>
  </r>
  <r>
    <x v="902"/>
    <n v="-41"/>
    <x v="2001"/>
    <n v="2447.7600000000002"/>
    <s v="Complete Access"/>
    <x v="5"/>
    <x v="3"/>
    <x v="3"/>
    <d v="1900-01-20T00:00:00"/>
    <n v="52"/>
    <x v="2"/>
    <x v="4"/>
  </r>
  <r>
    <x v="903"/>
    <n v="-65"/>
    <x v="2002"/>
    <n v="2681.97"/>
    <s v="Complete Access"/>
    <x v="433"/>
    <x v="7"/>
    <x v="53"/>
    <d v="1900-01-19T00:00:00"/>
    <n v="52"/>
    <x v="2"/>
    <x v="4"/>
  </r>
  <r>
    <x v="904"/>
    <n v="-7.34"/>
    <x v="966"/>
    <n v="2746.97"/>
    <s v="Complete Access"/>
    <x v="215"/>
    <x v="1"/>
    <x v="1"/>
    <d v="1900-01-18T00:00:00"/>
    <n v="52"/>
    <x v="2"/>
    <x v="4"/>
  </r>
  <r>
    <x v="905"/>
    <n v="-100"/>
    <x v="2003"/>
    <n v="2754.31"/>
    <s v="Complete Access"/>
    <x v="0"/>
    <x v="0"/>
    <x v="0"/>
    <d v="1900-01-17T00:00:00"/>
    <n v="51"/>
    <x v="2"/>
    <x v="4"/>
  </r>
  <r>
    <x v="905"/>
    <n v="12.01"/>
    <x v="2004"/>
    <n v="2854.31"/>
    <s v="Complete Access"/>
    <x v="192"/>
    <x v="4"/>
    <x v="20"/>
    <d v="1900-01-17T00:00:00"/>
    <n v="51"/>
    <x v="2"/>
    <x v="4"/>
  </r>
  <r>
    <x v="906"/>
    <n v="-12.61"/>
    <x v="2005"/>
    <n v="3105.2"/>
    <s v="Complete Access"/>
    <x v="192"/>
    <x v="4"/>
    <x v="20"/>
    <d v="1900-01-16T00:00:00"/>
    <n v="51"/>
    <x v="2"/>
    <x v="4"/>
  </r>
  <r>
    <x v="906"/>
    <n v="-33.39"/>
    <x v="2006"/>
    <n v="3071.81"/>
    <s v="Complete Access"/>
    <x v="104"/>
    <x v="1"/>
    <x v="5"/>
    <d v="1900-01-16T00:00:00"/>
    <n v="51"/>
    <x v="2"/>
    <x v="4"/>
  </r>
  <r>
    <x v="906"/>
    <n v="-204.51"/>
    <x v="2007"/>
    <n v="2842.3"/>
    <s v="Complete Access"/>
    <x v="438"/>
    <x v="12"/>
    <x v="21"/>
    <d v="1900-01-16T00:00:00"/>
    <n v="51"/>
    <x v="2"/>
    <x v="4"/>
  </r>
  <r>
    <x v="906"/>
    <n v="-25"/>
    <x v="2008"/>
    <n v="3046.81"/>
    <s v="Complete Access"/>
    <x v="0"/>
    <x v="0"/>
    <x v="0"/>
    <d v="1900-01-16T00:00:00"/>
    <n v="51"/>
    <x v="2"/>
    <x v="4"/>
  </r>
  <r>
    <x v="906"/>
    <n v="-25"/>
    <x v="2009"/>
    <n v="3046.81"/>
    <s v="Complete Access"/>
    <x v="0"/>
    <x v="0"/>
    <x v="0"/>
    <d v="1900-01-16T00:00:00"/>
    <n v="51"/>
    <x v="2"/>
    <x v="4"/>
  </r>
  <r>
    <x v="906"/>
    <n v="25"/>
    <x v="2010"/>
    <n v="3071.81"/>
    <s v="Complete Access"/>
    <x v="13"/>
    <x v="0"/>
    <x v="0"/>
    <d v="1900-01-16T00:00:00"/>
    <n v="51"/>
    <x v="2"/>
    <x v="4"/>
  </r>
  <r>
    <x v="907"/>
    <n v="24"/>
    <x v="2011"/>
    <n v="3219.96"/>
    <s v="Complete Access"/>
    <x v="36"/>
    <x v="0"/>
    <x v="0"/>
    <d v="1900-01-15T00:00:00"/>
    <n v="51"/>
    <x v="2"/>
    <x v="4"/>
  </r>
  <r>
    <x v="907"/>
    <n v="50"/>
    <x v="1680"/>
    <n v="3129.92"/>
    <s v="Complete Access"/>
    <x v="36"/>
    <x v="0"/>
    <x v="0"/>
    <d v="1900-01-15T00:00:00"/>
    <n v="51"/>
    <x v="2"/>
    <x v="4"/>
  </r>
  <r>
    <x v="907"/>
    <n v="-12.11"/>
    <x v="2012"/>
    <n v="3117.81"/>
    <s v="Complete Access"/>
    <x v="192"/>
    <x v="4"/>
    <x v="20"/>
    <d v="1900-01-15T00:00:00"/>
    <n v="51"/>
    <x v="2"/>
    <x v="4"/>
  </r>
  <r>
    <x v="907"/>
    <n v="-45.3"/>
    <x v="1965"/>
    <n v="3079.92"/>
    <s v="Complete Access"/>
    <x v="304"/>
    <x v="1"/>
    <x v="5"/>
    <d v="1900-01-15T00:00:00"/>
    <n v="51"/>
    <x v="2"/>
    <x v="4"/>
  </r>
  <r>
    <x v="907"/>
    <n v="-94.74"/>
    <x v="1641"/>
    <n v="3125.22"/>
    <s v="Complete Access"/>
    <x v="4"/>
    <x v="1"/>
    <x v="1"/>
    <d v="1900-01-15T00:00:00"/>
    <n v="51"/>
    <x v="2"/>
    <x v="4"/>
  </r>
  <r>
    <x v="908"/>
    <n v="-15.64"/>
    <x v="2013"/>
    <n v="3195.96"/>
    <s v="Complete Access"/>
    <x v="8"/>
    <x v="1"/>
    <x v="5"/>
    <d v="1900-01-14T00:00:00"/>
    <n v="51"/>
    <x v="2"/>
    <x v="4"/>
  </r>
  <r>
    <x v="909"/>
    <n v="-19.23"/>
    <x v="2014"/>
    <n v="3243.1"/>
    <s v="Complete Access"/>
    <x v="8"/>
    <x v="1"/>
    <x v="5"/>
    <d v="1900-01-13T00:00:00"/>
    <n v="51"/>
    <x v="2"/>
    <x v="4"/>
  </r>
  <r>
    <x v="909"/>
    <n v="-7.5"/>
    <x v="2015"/>
    <n v="3211.6"/>
    <s v="Complete Access"/>
    <x v="218"/>
    <x v="8"/>
    <x v="29"/>
    <d v="1900-01-13T00:00:00"/>
    <n v="51"/>
    <x v="2"/>
    <x v="4"/>
  </r>
  <r>
    <x v="909"/>
    <n v="-24"/>
    <x v="2015"/>
    <n v="3219.1"/>
    <s v="Complete Access"/>
    <x v="218"/>
    <x v="8"/>
    <x v="29"/>
    <d v="1900-01-13T00:00:00"/>
    <n v="51"/>
    <x v="2"/>
    <x v="4"/>
  </r>
  <r>
    <x v="910"/>
    <n v="-26"/>
    <x v="96"/>
    <n v="3262.33"/>
    <s v="Complete Access"/>
    <x v="47"/>
    <x v="1"/>
    <x v="5"/>
    <d v="1900-01-09T00:00:00"/>
    <n v="50"/>
    <x v="2"/>
    <x v="4"/>
  </r>
  <r>
    <x v="911"/>
    <n v="-760"/>
    <x v="656"/>
    <n v="3288.33"/>
    <s v="Complete Access"/>
    <x v="13"/>
    <x v="0"/>
    <x v="0"/>
    <d v="1900-01-08T00:00:00"/>
    <n v="50"/>
    <x v="2"/>
    <x v="4"/>
  </r>
  <r>
    <x v="911"/>
    <n v="2248.5700000000002"/>
    <x v="2016"/>
    <n v="4048.33"/>
    <s v="Complete Access"/>
    <x v="14"/>
    <x v="6"/>
    <x v="9"/>
    <d v="1900-01-08T00:00:00"/>
    <n v="50"/>
    <x v="2"/>
    <x v="4"/>
  </r>
  <r>
    <x v="912"/>
    <n v="300"/>
    <x v="2017"/>
    <n v="1799.76"/>
    <s v="Complete Access"/>
    <x v="36"/>
    <x v="0"/>
    <x v="0"/>
    <d v="1900-01-07T00:00:00"/>
    <n v="50"/>
    <x v="2"/>
    <x v="4"/>
  </r>
  <r>
    <x v="913"/>
    <n v="-28.39"/>
    <x v="2018"/>
    <n v="1538.86"/>
    <s v="Complete Access"/>
    <x v="8"/>
    <x v="1"/>
    <x v="5"/>
    <d v="1900-01-06T00:00:00"/>
    <n v="50"/>
    <x v="2"/>
    <x v="4"/>
  </r>
  <r>
    <x v="913"/>
    <n v="-7.7"/>
    <x v="2019"/>
    <n v="1499.76"/>
    <s v="Complete Access"/>
    <x v="522"/>
    <x v="1"/>
    <x v="5"/>
    <d v="1900-01-06T00:00:00"/>
    <n v="50"/>
    <x v="2"/>
    <x v="4"/>
  </r>
  <r>
    <x v="913"/>
    <n v="-31.4"/>
    <x v="2020"/>
    <n v="1507.46"/>
    <s v="Complete Access"/>
    <x v="104"/>
    <x v="1"/>
    <x v="5"/>
    <d v="1900-01-06T00:00:00"/>
    <n v="50"/>
    <x v="2"/>
    <x v="4"/>
  </r>
  <r>
    <x v="914"/>
    <n v="-2500"/>
    <x v="2021"/>
    <n v="1567.25"/>
    <s v="Complete Access"/>
    <x v="504"/>
    <x v="0"/>
    <x v="72"/>
    <d v="1900-01-03T00:00:00"/>
    <n v="49"/>
    <x v="2"/>
    <x v="4"/>
  </r>
  <r>
    <x v="915"/>
    <n v="-6.85"/>
    <x v="96"/>
    <n v="4067.25"/>
    <s v="Complete Access"/>
    <x v="47"/>
    <x v="1"/>
    <x v="5"/>
    <d v="1900-01-02T00:00:00"/>
    <n v="49"/>
    <x v="2"/>
    <x v="4"/>
  </r>
  <r>
    <x v="916"/>
    <n v="-29.69"/>
    <x v="2022"/>
    <n v="4074.1"/>
    <s v="Complete Access"/>
    <x v="8"/>
    <x v="1"/>
    <x v="5"/>
    <d v="1900-01-01T00:00:00"/>
    <n v="49"/>
    <x v="2"/>
    <x v="4"/>
  </r>
  <r>
    <x v="917"/>
    <n v="-244"/>
    <x v="69"/>
    <n v="4103.79"/>
    <s v="Complete Access"/>
    <x v="0"/>
    <x v="0"/>
    <x v="0"/>
    <d v="1899-12-31T00:00:00"/>
    <n v="49"/>
    <x v="2"/>
    <x v="4"/>
  </r>
  <r>
    <x v="917"/>
    <n v="-29.04"/>
    <x v="2023"/>
    <n v="4528.34"/>
    <s v="Complete Access"/>
    <x v="8"/>
    <x v="1"/>
    <x v="5"/>
    <d v="1899-12-31T00:00:00"/>
    <n v="49"/>
    <x v="2"/>
    <x v="4"/>
  </r>
  <r>
    <x v="917"/>
    <n v="-180.55"/>
    <x v="2024"/>
    <n v="4347.79"/>
    <s v="Complete Access"/>
    <x v="76"/>
    <x v="2"/>
    <x v="2"/>
    <d v="1899-12-31T00:00:00"/>
    <n v="49"/>
    <x v="2"/>
    <x v="4"/>
  </r>
  <r>
    <x v="918"/>
    <n v="-65.39"/>
    <x v="2025"/>
    <n v="4557.38"/>
    <s v="Complete Access"/>
    <x v="433"/>
    <x v="7"/>
    <x v="53"/>
    <d v="1900-01-29T00:00:00"/>
    <n v="49"/>
    <x v="3"/>
    <x v="4"/>
  </r>
  <r>
    <x v="918"/>
    <n v="-44.1"/>
    <x v="2026"/>
    <n v="4622.7700000000004"/>
    <s v="Complete Access"/>
    <x v="1"/>
    <x v="1"/>
    <x v="1"/>
    <d v="1900-01-29T00:00:00"/>
    <n v="49"/>
    <x v="3"/>
    <x v="4"/>
  </r>
  <r>
    <x v="918"/>
    <n v="-21.9"/>
    <x v="2027"/>
    <n v="4666.87"/>
    <s v="Complete Access"/>
    <x v="5"/>
    <x v="3"/>
    <x v="3"/>
    <d v="1900-01-29T00:00:00"/>
    <n v="49"/>
    <x v="3"/>
    <x v="4"/>
  </r>
  <r>
    <x v="919"/>
    <n v="-22.85"/>
    <x v="96"/>
    <n v="4688.7700000000004"/>
    <s v="Complete Access"/>
    <x v="47"/>
    <x v="1"/>
    <x v="5"/>
    <d v="1900-01-26T00:00:00"/>
    <n v="48"/>
    <x v="3"/>
    <x v="4"/>
  </r>
  <r>
    <x v="919"/>
    <n v="-3.5"/>
    <x v="2028"/>
    <n v="4711.62"/>
    <s v="Complete Access"/>
    <x v="34"/>
    <x v="9"/>
    <x v="12"/>
    <d v="1900-01-26T00:00:00"/>
    <n v="48"/>
    <x v="3"/>
    <x v="4"/>
  </r>
  <r>
    <x v="920"/>
    <n v="-760"/>
    <x v="656"/>
    <n v="4825.12"/>
    <s v="Complete Access"/>
    <x v="13"/>
    <x v="0"/>
    <x v="0"/>
    <d v="1900-01-24T00:00:00"/>
    <n v="48"/>
    <x v="3"/>
    <x v="4"/>
  </r>
  <r>
    <x v="920"/>
    <n v="-110"/>
    <x v="2029"/>
    <n v="4715.12"/>
    <s v="Complete Access"/>
    <x v="0"/>
    <x v="0"/>
    <x v="0"/>
    <d v="1900-01-24T00:00:00"/>
    <n v="48"/>
    <x v="3"/>
    <x v="4"/>
  </r>
  <r>
    <x v="920"/>
    <n v="2248.5500000000002"/>
    <x v="2030"/>
    <n v="5585.12"/>
    <s v="Complete Access"/>
    <x v="14"/>
    <x v="6"/>
    <x v="9"/>
    <d v="1900-01-24T00:00:00"/>
    <n v="48"/>
    <x v="3"/>
    <x v="4"/>
  </r>
  <r>
    <x v="921"/>
    <n v="-33.89"/>
    <x v="2031"/>
    <n v="3350.07"/>
    <s v="Complete Access"/>
    <x v="8"/>
    <x v="1"/>
    <x v="5"/>
    <d v="1900-01-23T00:00:00"/>
    <n v="48"/>
    <x v="3"/>
    <x v="4"/>
  </r>
  <r>
    <x v="921"/>
    <n v="-13.5"/>
    <x v="2032"/>
    <n v="3336.57"/>
    <s v="Complete Access"/>
    <x v="523"/>
    <x v="8"/>
    <x v="29"/>
    <d v="1900-01-23T00:00:00"/>
    <n v="48"/>
    <x v="3"/>
    <x v="4"/>
  </r>
  <r>
    <x v="922"/>
    <n v="-20.27"/>
    <x v="969"/>
    <n v="3383.96"/>
    <s v="Complete Access"/>
    <x v="177"/>
    <x v="1"/>
    <x v="1"/>
    <d v="1900-01-22T00:00:00"/>
    <n v="48"/>
    <x v="3"/>
    <x v="4"/>
  </r>
  <r>
    <x v="922"/>
    <n v="-41"/>
    <x v="2033"/>
    <n v="3404.23"/>
    <s v="Complete Access"/>
    <x v="34"/>
    <x v="9"/>
    <x v="12"/>
    <d v="1900-01-22T00:00:00"/>
    <n v="48"/>
    <x v="3"/>
    <x v="4"/>
  </r>
  <r>
    <x v="923"/>
    <n v="1800"/>
    <x v="2034"/>
    <n v="3445.23"/>
    <s v="Complete Access"/>
    <x v="36"/>
    <x v="0"/>
    <x v="0"/>
    <d v="1900-01-21T00:00:00"/>
    <n v="48"/>
    <x v="3"/>
    <x v="4"/>
  </r>
  <r>
    <x v="924"/>
    <n v="-19.149999999999999"/>
    <x v="2035"/>
    <n v="1645.23"/>
    <s v="Complete Access"/>
    <x v="47"/>
    <x v="1"/>
    <x v="5"/>
    <d v="1900-01-20T00:00:00"/>
    <n v="48"/>
    <x v="3"/>
    <x v="4"/>
  </r>
  <r>
    <x v="925"/>
    <n v="-89.9"/>
    <x v="2036"/>
    <n v="1672.08"/>
    <s v="Complete Access"/>
    <x v="524"/>
    <x v="3"/>
    <x v="15"/>
    <d v="1900-01-19T00:00:00"/>
    <n v="47"/>
    <x v="3"/>
    <x v="4"/>
  </r>
  <r>
    <x v="925"/>
    <n v="-7.7"/>
    <x v="2037"/>
    <n v="1664.38"/>
    <s v="Complete Access"/>
    <x v="1"/>
    <x v="1"/>
    <x v="1"/>
    <d v="1900-01-19T00:00:00"/>
    <n v="47"/>
    <x v="3"/>
    <x v="4"/>
  </r>
  <r>
    <x v="926"/>
    <n v="-57.14"/>
    <x v="2038"/>
    <n v="1761.98"/>
    <s v="Complete Access"/>
    <x v="1"/>
    <x v="1"/>
    <x v="1"/>
    <d v="1900-01-17T00:00:00"/>
    <n v="47"/>
    <x v="3"/>
    <x v="4"/>
  </r>
  <r>
    <x v="927"/>
    <n v="-21.25"/>
    <x v="96"/>
    <n v="1819.12"/>
    <s v="Complete Access"/>
    <x v="47"/>
    <x v="1"/>
    <x v="5"/>
    <d v="1900-01-16T00:00:00"/>
    <n v="47"/>
    <x v="3"/>
    <x v="4"/>
  </r>
  <r>
    <x v="928"/>
    <n v="-118"/>
    <x v="2039"/>
    <n v="1968.53"/>
    <s v="Complete Access"/>
    <x v="91"/>
    <x v="9"/>
    <x v="12"/>
    <d v="1900-01-15T00:00:00"/>
    <n v="47"/>
    <x v="3"/>
    <x v="4"/>
  </r>
  <r>
    <x v="928"/>
    <n v="-21.82"/>
    <x v="2040"/>
    <n v="2093.7800000000002"/>
    <s v="Complete Access"/>
    <x v="467"/>
    <x v="1"/>
    <x v="5"/>
    <d v="1900-01-15T00:00:00"/>
    <n v="47"/>
    <x v="3"/>
    <x v="4"/>
  </r>
  <r>
    <x v="928"/>
    <n v="-128.16"/>
    <x v="2041"/>
    <n v="1840.37"/>
    <s v="Complete Access"/>
    <x v="438"/>
    <x v="12"/>
    <x v="21"/>
    <d v="1900-01-15T00:00:00"/>
    <n v="47"/>
    <x v="3"/>
    <x v="4"/>
  </r>
  <r>
    <x v="928"/>
    <n v="-7.25"/>
    <x v="2042"/>
    <n v="2086.5300000000002"/>
    <s v="Complete Access"/>
    <x v="1"/>
    <x v="1"/>
    <x v="1"/>
    <d v="1900-01-15T00:00:00"/>
    <n v="47"/>
    <x v="3"/>
    <x v="4"/>
  </r>
  <r>
    <x v="928"/>
    <n v="-48.9"/>
    <x v="2043"/>
    <n v="2115.6"/>
    <s v="Complete Access"/>
    <x v="4"/>
    <x v="1"/>
    <x v="1"/>
    <d v="1900-01-15T00:00:00"/>
    <n v="47"/>
    <x v="3"/>
    <x v="4"/>
  </r>
  <r>
    <x v="929"/>
    <n v="-760"/>
    <x v="656"/>
    <n v="2164.5"/>
    <s v="Complete Access"/>
    <x v="13"/>
    <x v="0"/>
    <x v="0"/>
    <d v="1900-01-10T00:00:00"/>
    <n v="46"/>
    <x v="3"/>
    <x v="4"/>
  </r>
  <r>
    <x v="929"/>
    <n v="2465.41"/>
    <x v="2044"/>
    <n v="2924.5"/>
    <s v="Complete Access"/>
    <x v="14"/>
    <x v="6"/>
    <x v="9"/>
    <d v="1900-01-10T00:00:00"/>
    <n v="46"/>
    <x v="3"/>
    <x v="4"/>
  </r>
  <r>
    <x v="930"/>
    <n v="-20.399999999999999"/>
    <x v="2045"/>
    <n v="1054.03"/>
    <s v="Complete Access"/>
    <x v="525"/>
    <x v="8"/>
    <x v="29"/>
    <d v="1900-01-09T00:00:00"/>
    <n v="46"/>
    <x v="3"/>
    <x v="4"/>
  </r>
  <r>
    <x v="930"/>
    <n v="-12.9"/>
    <x v="2046"/>
    <n v="1041.1300000000001"/>
    <s v="Complete Access"/>
    <x v="47"/>
    <x v="1"/>
    <x v="5"/>
    <d v="1900-01-09T00:00:00"/>
    <n v="46"/>
    <x v="3"/>
    <x v="4"/>
  </r>
  <r>
    <x v="930"/>
    <n v="-33.81"/>
    <x v="2047"/>
    <n v="1007.32"/>
    <s v="Complete Access"/>
    <x v="237"/>
    <x v="15"/>
    <x v="34"/>
    <d v="1900-01-09T00:00:00"/>
    <n v="46"/>
    <x v="3"/>
    <x v="4"/>
  </r>
  <r>
    <x v="930"/>
    <n v="-548.23"/>
    <x v="2048"/>
    <n v="459.09"/>
    <s v="Complete Access"/>
    <x v="526"/>
    <x v="1"/>
    <x v="5"/>
    <d v="1900-01-09T00:00:00"/>
    <n v="46"/>
    <x v="3"/>
    <x v="4"/>
  </r>
  <r>
    <x v="930"/>
    <n v="-89.5"/>
    <x v="2049"/>
    <n v="1074.43"/>
    <s v="Complete Access"/>
    <x v="527"/>
    <x v="1"/>
    <x v="5"/>
    <d v="1900-01-09T00:00:00"/>
    <n v="46"/>
    <x v="3"/>
    <x v="4"/>
  </r>
  <r>
    <x v="931"/>
    <n v="-41.88"/>
    <x v="2050"/>
    <n v="1276.57"/>
    <s v="Complete Access"/>
    <x v="8"/>
    <x v="1"/>
    <x v="5"/>
    <d v="1900-01-08T00:00:00"/>
    <n v="46"/>
    <x v="3"/>
    <x v="4"/>
  </r>
  <r>
    <x v="931"/>
    <n v="-33.26"/>
    <x v="2050"/>
    <n v="1323.45"/>
    <s v="Complete Access"/>
    <x v="8"/>
    <x v="1"/>
    <x v="5"/>
    <d v="1900-01-08T00:00:00"/>
    <n v="46"/>
    <x v="3"/>
    <x v="4"/>
  </r>
  <r>
    <x v="931"/>
    <n v="-45.44"/>
    <x v="2051"/>
    <n v="1231.1300000000001"/>
    <s v="Complete Access"/>
    <x v="8"/>
    <x v="1"/>
    <x v="5"/>
    <d v="1900-01-08T00:00:00"/>
    <n v="46"/>
    <x v="3"/>
    <x v="4"/>
  </r>
  <r>
    <x v="931"/>
    <n v="-10.119999999999999"/>
    <x v="2052"/>
    <n v="1203.4000000000001"/>
    <s v="Complete Access"/>
    <x v="521"/>
    <x v="8"/>
    <x v="29"/>
    <d v="1900-01-08T00:00:00"/>
    <n v="46"/>
    <x v="3"/>
    <x v="4"/>
  </r>
  <r>
    <x v="931"/>
    <n v="-17.61"/>
    <x v="2052"/>
    <n v="1213.52"/>
    <s v="Complete Access"/>
    <x v="521"/>
    <x v="8"/>
    <x v="29"/>
    <d v="1900-01-08T00:00:00"/>
    <n v="46"/>
    <x v="3"/>
    <x v="4"/>
  </r>
  <r>
    <x v="931"/>
    <n v="-20.239999999999998"/>
    <x v="2053"/>
    <n v="1163.93"/>
    <s v="Complete Access"/>
    <x v="521"/>
    <x v="8"/>
    <x v="29"/>
    <d v="1900-01-08T00:00:00"/>
    <n v="46"/>
    <x v="3"/>
    <x v="4"/>
  </r>
  <r>
    <x v="931"/>
    <n v="-19.23"/>
    <x v="2053"/>
    <n v="1184.17"/>
    <s v="Complete Access"/>
    <x v="521"/>
    <x v="8"/>
    <x v="29"/>
    <d v="1900-01-08T00:00:00"/>
    <n v="46"/>
    <x v="3"/>
    <x v="4"/>
  </r>
  <r>
    <x v="931"/>
    <n v="-5"/>
    <x v="2054"/>
    <n v="1318.45"/>
    <s v="Complete Access"/>
    <x v="1"/>
    <x v="1"/>
    <x v="1"/>
    <d v="1900-01-08T00:00:00"/>
    <n v="46"/>
    <x v="3"/>
    <x v="4"/>
  </r>
  <r>
    <x v="932"/>
    <n v="63"/>
    <x v="2055"/>
    <n v="1293.71"/>
    <s v="Complete Access"/>
    <x v="36"/>
    <x v="0"/>
    <x v="0"/>
    <d v="1900-01-05T00:00:00"/>
    <n v="45"/>
    <x v="3"/>
    <x v="4"/>
  </r>
  <r>
    <x v="932"/>
    <n v="95"/>
    <x v="2056"/>
    <n v="1160.71"/>
    <s v="Complete Access"/>
    <x v="36"/>
    <x v="0"/>
    <x v="0"/>
    <d v="1900-01-05T00:00:00"/>
    <n v="45"/>
    <x v="3"/>
    <x v="4"/>
  </r>
  <r>
    <x v="932"/>
    <n v="63"/>
    <x v="2057"/>
    <n v="1356.71"/>
    <s v="Complete Access"/>
    <x v="36"/>
    <x v="0"/>
    <x v="0"/>
    <d v="1900-01-05T00:00:00"/>
    <n v="45"/>
    <x v="3"/>
    <x v="4"/>
  </r>
  <r>
    <x v="932"/>
    <n v="70"/>
    <x v="2058"/>
    <n v="1230.71"/>
    <s v="Complete Access"/>
    <x v="36"/>
    <x v="0"/>
    <x v="0"/>
    <d v="1900-01-05T00:00:00"/>
    <n v="45"/>
    <x v="3"/>
    <x v="4"/>
  </r>
  <r>
    <x v="933"/>
    <n v="-38.380000000000003"/>
    <x v="2059"/>
    <n v="1065.71"/>
    <s v="Complete Access"/>
    <x v="528"/>
    <x v="8"/>
    <x v="29"/>
    <d v="1900-01-02T00:00:00"/>
    <n v="45"/>
    <x v="3"/>
    <x v="4"/>
  </r>
  <r>
    <x v="933"/>
    <n v="-26.99"/>
    <x v="2060"/>
    <n v="1104.0899999999999"/>
    <s v="Complete Access"/>
    <x v="237"/>
    <x v="15"/>
    <x v="34"/>
    <d v="1900-01-02T00:00:00"/>
    <n v="45"/>
    <x v="3"/>
    <x v="4"/>
  </r>
  <r>
    <x v="934"/>
    <n v="-20"/>
    <x v="2061"/>
    <n v="1133.58"/>
    <s v="Complete Access"/>
    <x v="130"/>
    <x v="0"/>
    <x v="0"/>
    <d v="1900-01-01T00:00:00"/>
    <n v="45"/>
    <x v="3"/>
    <x v="4"/>
  </r>
  <r>
    <x v="934"/>
    <n v="-27.08"/>
    <x v="2062"/>
    <n v="1311.83"/>
    <s v="Complete Access"/>
    <x v="8"/>
    <x v="1"/>
    <x v="5"/>
    <d v="1900-01-01T00:00:00"/>
    <n v="45"/>
    <x v="3"/>
    <x v="4"/>
  </r>
  <r>
    <x v="934"/>
    <n v="-2.5"/>
    <x v="72"/>
    <n v="1131.08"/>
    <s v="Complete Access"/>
    <x v="37"/>
    <x v="0"/>
    <x v="0"/>
    <d v="1900-01-01T00:00:00"/>
    <n v="45"/>
    <x v="3"/>
    <x v="4"/>
  </r>
  <r>
    <x v="934"/>
    <n v="-74"/>
    <x v="2063"/>
    <n v="1153.58"/>
    <s v="Complete Access"/>
    <x v="35"/>
    <x v="1"/>
    <x v="23"/>
    <d v="1900-01-01T00:00:00"/>
    <n v="45"/>
    <x v="3"/>
    <x v="4"/>
  </r>
  <r>
    <x v="934"/>
    <n v="-18.989999999999998"/>
    <x v="2064"/>
    <n v="1292.8399999999999"/>
    <s v="Complete Access"/>
    <x v="190"/>
    <x v="8"/>
    <x v="29"/>
    <d v="1900-01-01T00:00:00"/>
    <n v="45"/>
    <x v="3"/>
    <x v="4"/>
  </r>
  <r>
    <x v="934"/>
    <n v="-65.260000000000005"/>
    <x v="2065"/>
    <n v="1227.58"/>
    <s v="Complete Access"/>
    <x v="1"/>
    <x v="1"/>
    <x v="1"/>
    <d v="1900-01-01T00:00:00"/>
    <n v="45"/>
    <x v="3"/>
    <x v="4"/>
  </r>
  <r>
    <x v="935"/>
    <n v="-2500"/>
    <x v="2066"/>
    <n v="1519.46"/>
    <s v="Complete Access"/>
    <x v="504"/>
    <x v="0"/>
    <x v="72"/>
    <d v="1899-12-31T00:00:00"/>
    <n v="45"/>
    <x v="3"/>
    <x v="4"/>
  </r>
  <r>
    <x v="935"/>
    <n v="-180.55"/>
    <x v="2067"/>
    <n v="1338.91"/>
    <s v="Complete Access"/>
    <x v="76"/>
    <x v="2"/>
    <x v="2"/>
    <d v="1899-12-31T00:00:00"/>
    <n v="45"/>
    <x v="3"/>
    <x v="4"/>
  </r>
  <r>
    <x v="936"/>
    <n v="-22"/>
    <x v="2068"/>
    <n v="4019.46"/>
    <s v="Complete Access"/>
    <x v="529"/>
    <x v="1"/>
    <x v="5"/>
    <d v="1900-01-30T00:00:00"/>
    <n v="45"/>
    <x v="4"/>
    <x v="4"/>
  </r>
  <r>
    <x v="936"/>
    <n v="-19"/>
    <x v="2069"/>
    <n v="4041.46"/>
    <s v="Complete Access"/>
    <x v="529"/>
    <x v="1"/>
    <x v="5"/>
    <d v="1900-01-30T00:00:00"/>
    <n v="45"/>
    <x v="4"/>
    <x v="4"/>
  </r>
  <r>
    <x v="937"/>
    <n v="-36"/>
    <x v="2070"/>
    <n v="4060.46"/>
    <s v="Complete Access"/>
    <x v="530"/>
    <x v="20"/>
    <x v="63"/>
    <d v="1900-01-29T00:00:00"/>
    <n v="44"/>
    <x v="4"/>
    <x v="4"/>
  </r>
  <r>
    <x v="938"/>
    <n v="-760"/>
    <x v="656"/>
    <n v="4096.46"/>
    <s v="Complete Access"/>
    <x v="13"/>
    <x v="0"/>
    <x v="0"/>
    <d v="1900-01-27T00:00:00"/>
    <n v="44"/>
    <x v="4"/>
    <x v="4"/>
  </r>
  <r>
    <x v="938"/>
    <n v="2213.48"/>
    <x v="2071"/>
    <n v="4856.46"/>
    <s v="Complete Access"/>
    <x v="14"/>
    <x v="6"/>
    <x v="9"/>
    <d v="1900-01-27T00:00:00"/>
    <n v="44"/>
    <x v="4"/>
    <x v="4"/>
  </r>
  <r>
    <x v="939"/>
    <n v="-19"/>
    <x v="2072"/>
    <n v="2642.98"/>
    <s v="Complete Access"/>
    <x v="531"/>
    <x v="1"/>
    <x v="5"/>
    <d v="1900-01-26T00:00:00"/>
    <n v="44"/>
    <x v="4"/>
    <x v="4"/>
  </r>
  <r>
    <x v="940"/>
    <n v="-350"/>
    <x v="2073"/>
    <n v="2661.98"/>
    <s v="Complete Access"/>
    <x v="532"/>
    <x v="17"/>
    <x v="43"/>
    <d v="1900-01-25T00:00:00"/>
    <n v="44"/>
    <x v="4"/>
    <x v="4"/>
  </r>
  <r>
    <x v="940"/>
    <n v="-22.77"/>
    <x v="2074"/>
    <n v="3043.18"/>
    <s v="Complete Access"/>
    <x v="533"/>
    <x v="1"/>
    <x v="5"/>
    <d v="1900-01-25T00:00:00"/>
    <n v="44"/>
    <x v="4"/>
    <x v="4"/>
  </r>
  <r>
    <x v="940"/>
    <n v="-31.2"/>
    <x v="2075"/>
    <n v="3011.98"/>
    <s v="Complete Access"/>
    <x v="215"/>
    <x v="1"/>
    <x v="1"/>
    <d v="1900-01-25T00:00:00"/>
    <n v="44"/>
    <x v="4"/>
    <x v="4"/>
  </r>
  <r>
    <x v="941"/>
    <n v="-89.61"/>
    <x v="1641"/>
    <n v="3065.95"/>
    <s v="Complete Access"/>
    <x v="4"/>
    <x v="1"/>
    <x v="1"/>
    <d v="1900-01-24T00:00:00"/>
    <n v="44"/>
    <x v="4"/>
    <x v="4"/>
  </r>
  <r>
    <x v="942"/>
    <n v="-29.11"/>
    <x v="2076"/>
    <n v="3201.76"/>
    <s v="Complete Access"/>
    <x v="534"/>
    <x v="8"/>
    <x v="29"/>
    <d v="1900-01-22T00:00:00"/>
    <n v="43"/>
    <x v="4"/>
    <x v="4"/>
  </r>
  <r>
    <x v="942"/>
    <n v="-39.6"/>
    <x v="2077"/>
    <n v="3162.16"/>
    <s v="Complete Access"/>
    <x v="535"/>
    <x v="1"/>
    <x v="23"/>
    <d v="1900-01-22T00:00:00"/>
    <n v="43"/>
    <x v="4"/>
    <x v="4"/>
  </r>
  <r>
    <x v="942"/>
    <n v="-6.6"/>
    <x v="2077"/>
    <n v="3155.56"/>
    <s v="Complete Access"/>
    <x v="535"/>
    <x v="1"/>
    <x v="23"/>
    <d v="1900-01-22T00:00:00"/>
    <n v="43"/>
    <x v="4"/>
    <x v="4"/>
  </r>
  <r>
    <x v="942"/>
    <n v="-35.68"/>
    <x v="2078"/>
    <n v="3230.87"/>
    <s v="Complete Access"/>
    <x v="34"/>
    <x v="9"/>
    <x v="12"/>
    <d v="1900-01-22T00:00:00"/>
    <n v="43"/>
    <x v="4"/>
    <x v="4"/>
  </r>
  <r>
    <x v="943"/>
    <n v="-55.39"/>
    <x v="2079"/>
    <n v="3286.54"/>
    <s v="Complete Access"/>
    <x v="433"/>
    <x v="7"/>
    <x v="53"/>
    <d v="1900-01-21T00:00:00"/>
    <n v="43"/>
    <x v="4"/>
    <x v="4"/>
  </r>
  <r>
    <x v="943"/>
    <n v="-19.989999999999998"/>
    <x v="2080"/>
    <n v="3266.55"/>
    <s v="Complete Access"/>
    <x v="536"/>
    <x v="1"/>
    <x v="23"/>
    <d v="1900-01-21T00:00:00"/>
    <n v="43"/>
    <x v="4"/>
    <x v="4"/>
  </r>
  <r>
    <x v="944"/>
    <n v="-243.67"/>
    <x v="2081"/>
    <n v="3341.93"/>
    <s v="Complete Access"/>
    <x v="438"/>
    <x v="12"/>
    <x v="21"/>
    <d v="1900-01-20T00:00:00"/>
    <n v="43"/>
    <x v="4"/>
    <x v="4"/>
  </r>
  <r>
    <x v="945"/>
    <n v="-51.44"/>
    <x v="405"/>
    <n v="3585.6"/>
    <s v="Complete Access"/>
    <x v="177"/>
    <x v="1"/>
    <x v="1"/>
    <d v="1900-01-19T00:00:00"/>
    <n v="43"/>
    <x v="4"/>
    <x v="4"/>
  </r>
  <r>
    <x v="946"/>
    <n v="-23.73"/>
    <x v="2082"/>
    <n v="3737.04"/>
    <s v="Complete Access"/>
    <x v="8"/>
    <x v="1"/>
    <x v="5"/>
    <d v="1900-01-18T00:00:00"/>
    <n v="43"/>
    <x v="4"/>
    <x v="4"/>
  </r>
  <r>
    <x v="946"/>
    <n v="-25.49"/>
    <x v="2082"/>
    <n v="3760.77"/>
    <s v="Complete Access"/>
    <x v="8"/>
    <x v="1"/>
    <x v="5"/>
    <d v="1900-01-18T00:00:00"/>
    <n v="43"/>
    <x v="4"/>
    <x v="4"/>
  </r>
  <r>
    <x v="946"/>
    <n v="-7.76"/>
    <x v="2083"/>
    <n v="3786.26"/>
    <s v="Complete Access"/>
    <x v="285"/>
    <x v="5"/>
    <x v="8"/>
    <d v="1900-01-18T00:00:00"/>
    <n v="43"/>
    <x v="4"/>
    <x v="4"/>
  </r>
  <r>
    <x v="946"/>
    <n v="-100"/>
    <x v="2084"/>
    <n v="3637.04"/>
    <s v="Complete Access"/>
    <x v="35"/>
    <x v="1"/>
    <x v="23"/>
    <d v="1900-01-18T00:00:00"/>
    <n v="43"/>
    <x v="4"/>
    <x v="4"/>
  </r>
  <r>
    <x v="947"/>
    <n v="250"/>
    <x v="2085"/>
    <n v="3769.02"/>
    <s v="Complete Access"/>
    <x v="36"/>
    <x v="0"/>
    <x v="0"/>
    <d v="1900-01-16T00:00:00"/>
    <n v="43"/>
    <x v="4"/>
    <x v="4"/>
  </r>
  <r>
    <x v="947"/>
    <n v="25"/>
    <x v="2086"/>
    <n v="3794.02"/>
    <s v="Complete Access"/>
    <x v="0"/>
    <x v="0"/>
    <x v="0"/>
    <d v="1900-01-16T00:00:00"/>
    <n v="43"/>
    <x v="4"/>
    <x v="4"/>
  </r>
  <r>
    <x v="948"/>
    <n v="-40"/>
    <x v="2087"/>
    <n v="3563.83"/>
    <s v="Complete Access"/>
    <x v="130"/>
    <x v="0"/>
    <x v="0"/>
    <d v="1900-01-15T00:00:00"/>
    <n v="42"/>
    <x v="4"/>
    <x v="4"/>
  </r>
  <r>
    <x v="948"/>
    <n v="-44.81"/>
    <x v="1641"/>
    <n v="3519.02"/>
    <s v="Complete Access"/>
    <x v="4"/>
    <x v="1"/>
    <x v="1"/>
    <d v="1900-01-15T00:00:00"/>
    <n v="42"/>
    <x v="4"/>
    <x v="4"/>
  </r>
  <r>
    <x v="949"/>
    <n v="-66.7"/>
    <x v="2088"/>
    <n v="3605.69"/>
    <s v="Complete Access"/>
    <x v="1"/>
    <x v="1"/>
    <x v="1"/>
    <d v="1900-01-14T00:00:00"/>
    <n v="42"/>
    <x v="4"/>
    <x v="4"/>
  </r>
  <r>
    <x v="949"/>
    <n v="-1.86"/>
    <x v="2089"/>
    <n v="3603.83"/>
    <s v="Complete Access"/>
    <x v="44"/>
    <x v="4"/>
    <x v="27"/>
    <d v="1900-01-14T00:00:00"/>
    <n v="42"/>
    <x v="4"/>
    <x v="4"/>
  </r>
  <r>
    <x v="950"/>
    <n v="-760"/>
    <x v="656"/>
    <n v="3672.39"/>
    <s v="Complete Access"/>
    <x v="13"/>
    <x v="0"/>
    <x v="0"/>
    <d v="1900-01-13T00:00:00"/>
    <n v="42"/>
    <x v="4"/>
    <x v="4"/>
  </r>
  <r>
    <x v="950"/>
    <n v="2213.48"/>
    <x v="2090"/>
    <n v="4432.3900000000003"/>
    <s v="Complete Access"/>
    <x v="14"/>
    <x v="6"/>
    <x v="9"/>
    <d v="1900-01-13T00:00:00"/>
    <n v="42"/>
    <x v="4"/>
    <x v="4"/>
  </r>
  <r>
    <x v="951"/>
    <n v="-34.799999999999997"/>
    <x v="1965"/>
    <n v="2218.91"/>
    <s v="Complete Access"/>
    <x v="304"/>
    <x v="1"/>
    <x v="5"/>
    <d v="1900-01-12T00:00:00"/>
    <n v="42"/>
    <x v="4"/>
    <x v="4"/>
  </r>
  <r>
    <x v="952"/>
    <n v="-18.34"/>
    <x v="2091"/>
    <n v="2293.73"/>
    <s v="Complete Access"/>
    <x v="8"/>
    <x v="1"/>
    <x v="5"/>
    <d v="1900-01-11T00:00:00"/>
    <n v="42"/>
    <x v="4"/>
    <x v="4"/>
  </r>
  <r>
    <x v="952"/>
    <n v="-22"/>
    <x v="2091"/>
    <n v="2312.0700000000002"/>
    <s v="Complete Access"/>
    <x v="8"/>
    <x v="1"/>
    <x v="5"/>
    <d v="1900-01-11T00:00:00"/>
    <n v="42"/>
    <x v="4"/>
    <x v="4"/>
  </r>
  <r>
    <x v="952"/>
    <n v="-40.020000000000003"/>
    <x v="2092"/>
    <n v="2253.71"/>
    <s v="Complete Access"/>
    <x v="34"/>
    <x v="9"/>
    <x v="12"/>
    <d v="1900-01-11T00:00:00"/>
    <n v="42"/>
    <x v="4"/>
    <x v="4"/>
  </r>
  <r>
    <x v="953"/>
    <n v="-18.399999999999999"/>
    <x v="96"/>
    <n v="2334.0700000000002"/>
    <s v="Complete Access"/>
    <x v="47"/>
    <x v="1"/>
    <x v="5"/>
    <d v="1900-01-10T00:00:00"/>
    <n v="42"/>
    <x v="4"/>
    <x v="4"/>
  </r>
  <r>
    <x v="954"/>
    <n v="-24.84"/>
    <x v="969"/>
    <n v="2352.4699999999998"/>
    <s v="Complete Access"/>
    <x v="177"/>
    <x v="1"/>
    <x v="1"/>
    <d v="1900-01-07T00:00:00"/>
    <n v="41"/>
    <x v="4"/>
    <x v="4"/>
  </r>
  <r>
    <x v="955"/>
    <n v="-40"/>
    <x v="2093"/>
    <n v="2377.31"/>
    <s v="Complete Access"/>
    <x v="0"/>
    <x v="0"/>
    <x v="0"/>
    <d v="1900-01-05T00:00:00"/>
    <n v="41"/>
    <x v="4"/>
    <x v="4"/>
  </r>
  <r>
    <x v="956"/>
    <n v="-42.95"/>
    <x v="2094"/>
    <n v="2421.31"/>
    <s v="Complete Access"/>
    <x v="165"/>
    <x v="8"/>
    <x v="22"/>
    <d v="1900-01-04T00:00:00"/>
    <n v="41"/>
    <x v="4"/>
    <x v="4"/>
  </r>
  <r>
    <x v="956"/>
    <n v="-4"/>
    <x v="2095"/>
    <n v="2417.31"/>
    <s v="Complete Access"/>
    <x v="0"/>
    <x v="0"/>
    <x v="0"/>
    <d v="1900-01-04T00:00:00"/>
    <n v="41"/>
    <x v="4"/>
    <x v="4"/>
  </r>
  <r>
    <x v="957"/>
    <n v="50"/>
    <x v="2096"/>
    <n v="2464.2600000000002"/>
    <s v="Complete Access"/>
    <x v="537"/>
    <x v="0"/>
    <x v="42"/>
    <d v="1900-01-03T00:00:00"/>
    <n v="41"/>
    <x v="4"/>
    <x v="4"/>
  </r>
  <r>
    <x v="957"/>
    <n v="-50"/>
    <x v="2097"/>
    <n v="2414.2600000000002"/>
    <s v="Complete Access"/>
    <x v="538"/>
    <x v="0"/>
    <x v="42"/>
    <d v="1900-01-03T00:00:00"/>
    <n v="41"/>
    <x v="4"/>
    <x v="4"/>
  </r>
  <r>
    <x v="958"/>
    <n v="-150"/>
    <x v="2098"/>
    <n v="2464.2600000000002"/>
    <s v="Complete Access"/>
    <x v="539"/>
    <x v="0"/>
    <x v="0"/>
    <d v="1900-01-02T00:00:00"/>
    <n v="41"/>
    <x v="4"/>
    <x v="4"/>
  </r>
  <r>
    <x v="959"/>
    <n v="-180.55"/>
    <x v="2099"/>
    <n v="2614.2600000000002"/>
    <s v="Complete Access"/>
    <x v="76"/>
    <x v="2"/>
    <x v="2"/>
    <d v="1899-12-31T00:00:00"/>
    <n v="40"/>
    <x v="4"/>
    <x v="4"/>
  </r>
  <r>
    <x v="960"/>
    <n v="-760"/>
    <x v="656"/>
    <n v="2265.21"/>
    <s v="Complete Access"/>
    <x v="13"/>
    <x v="0"/>
    <x v="0"/>
    <d v="1900-01-29T00:00:00"/>
    <n v="40"/>
    <x v="5"/>
    <x v="4"/>
  </r>
  <r>
    <x v="960"/>
    <n v="2213.48"/>
    <x v="745"/>
    <n v="3025.21"/>
    <s v="Complete Access"/>
    <x v="14"/>
    <x v="6"/>
    <x v="9"/>
    <d v="1900-01-29T00:00:00"/>
    <n v="40"/>
    <x v="5"/>
    <x v="4"/>
  </r>
  <r>
    <x v="960"/>
    <n v="529.6"/>
    <x v="2100"/>
    <n v="2794.81"/>
    <s v="Complete Access"/>
    <x v="67"/>
    <x v="0"/>
    <x v="0"/>
    <d v="1900-01-29T00:00:00"/>
    <n v="40"/>
    <x v="5"/>
    <x v="4"/>
  </r>
  <r>
    <x v="961"/>
    <n v="-41.17"/>
    <x v="2101"/>
    <n v="811.73"/>
    <s v="Complete Access"/>
    <x v="8"/>
    <x v="1"/>
    <x v="5"/>
    <d v="1900-01-28T00:00:00"/>
    <n v="40"/>
    <x v="5"/>
    <x v="4"/>
  </r>
  <r>
    <x v="962"/>
    <n v="-47.99"/>
    <x v="2102"/>
    <n v="852.9"/>
    <s v="Complete Access"/>
    <x v="8"/>
    <x v="1"/>
    <x v="5"/>
    <d v="1900-01-27T00:00:00"/>
    <n v="40"/>
    <x v="5"/>
    <x v="4"/>
  </r>
  <r>
    <x v="963"/>
    <n v="-250"/>
    <x v="2103"/>
    <n v="900.89"/>
    <s v="Complete Access"/>
    <x v="504"/>
    <x v="0"/>
    <x v="72"/>
    <d v="1900-01-21T00:00:00"/>
    <n v="39"/>
    <x v="5"/>
    <x v="4"/>
  </r>
  <r>
    <x v="964"/>
    <n v="-4"/>
    <x v="2104"/>
    <n v="1150.8900000000001"/>
    <s v="Complete Access"/>
    <x v="1"/>
    <x v="1"/>
    <x v="1"/>
    <d v="1900-01-20T00:00:00"/>
    <n v="39"/>
    <x v="5"/>
    <x v="4"/>
  </r>
  <r>
    <x v="965"/>
    <n v="-54.13"/>
    <x v="2105"/>
    <n v="1154.8900000000001"/>
    <s v="Complete Access"/>
    <x v="4"/>
    <x v="1"/>
    <x v="1"/>
    <d v="1900-01-18T00:00:00"/>
    <n v="39"/>
    <x v="5"/>
    <x v="4"/>
  </r>
  <r>
    <x v="966"/>
    <n v="-1000"/>
    <x v="2003"/>
    <n v="1209.02"/>
    <s v="Complete Access"/>
    <x v="0"/>
    <x v="0"/>
    <x v="0"/>
    <d v="1900-01-17T00:00:00"/>
    <n v="38"/>
    <x v="5"/>
    <x v="4"/>
  </r>
  <r>
    <x v="966"/>
    <n v="-55.39"/>
    <x v="2106"/>
    <n v="2209.02"/>
    <s v="Complete Access"/>
    <x v="433"/>
    <x v="7"/>
    <x v="53"/>
    <d v="1900-01-17T00:00:00"/>
    <n v="38"/>
    <x v="5"/>
    <x v="4"/>
  </r>
  <r>
    <x v="966"/>
    <n v="-41.16"/>
    <x v="2107"/>
    <n v="2264.41"/>
    <s v="Complete Access"/>
    <x v="1"/>
    <x v="1"/>
    <x v="1"/>
    <d v="1900-01-17T00:00:00"/>
    <n v="38"/>
    <x v="5"/>
    <x v="4"/>
  </r>
  <r>
    <x v="967"/>
    <n v="-760"/>
    <x v="656"/>
    <n v="2835.17"/>
    <s v="Complete Access"/>
    <x v="13"/>
    <x v="0"/>
    <x v="0"/>
    <d v="1900-01-15T00:00:00"/>
    <n v="38"/>
    <x v="5"/>
    <x v="4"/>
  </r>
  <r>
    <x v="967"/>
    <n v="-59"/>
    <x v="2108"/>
    <n v="3595.17"/>
    <s v="Complete Access"/>
    <x v="207"/>
    <x v="7"/>
    <x v="11"/>
    <d v="1900-01-15T00:00:00"/>
    <n v="38"/>
    <x v="5"/>
    <x v="4"/>
  </r>
  <r>
    <x v="967"/>
    <n v="2213.48"/>
    <x v="2109"/>
    <n v="3654.17"/>
    <s v="Complete Access"/>
    <x v="14"/>
    <x v="6"/>
    <x v="9"/>
    <d v="1900-01-15T00:00:00"/>
    <n v="38"/>
    <x v="5"/>
    <x v="4"/>
  </r>
  <r>
    <x v="967"/>
    <n v="-529.6"/>
    <x v="2110"/>
    <n v="2305.5700000000002"/>
    <s v="Complete Access"/>
    <x v="540"/>
    <x v="12"/>
    <x v="21"/>
    <d v="1900-01-15T00:00:00"/>
    <n v="38"/>
    <x v="5"/>
    <x v="4"/>
  </r>
  <r>
    <x v="968"/>
    <n v="-4"/>
    <x v="2111"/>
    <n v="1440.69"/>
    <s v="Complete Access"/>
    <x v="541"/>
    <x v="8"/>
    <x v="29"/>
    <d v="1900-01-14T00:00:00"/>
    <n v="38"/>
    <x v="5"/>
    <x v="4"/>
  </r>
  <r>
    <x v="969"/>
    <n v="-22.24"/>
    <x v="2112"/>
    <n v="1580.72"/>
    <s v="Complete Access"/>
    <x v="8"/>
    <x v="1"/>
    <x v="5"/>
    <d v="1900-01-13T00:00:00"/>
    <n v="38"/>
    <x v="5"/>
    <x v="4"/>
  </r>
  <r>
    <x v="969"/>
    <n v="-94"/>
    <x v="2113"/>
    <n v="1444.69"/>
    <s v="Complete Access"/>
    <x v="35"/>
    <x v="1"/>
    <x v="23"/>
    <d v="1900-01-13T00:00:00"/>
    <n v="38"/>
    <x v="5"/>
    <x v="4"/>
  </r>
  <r>
    <x v="969"/>
    <n v="-42.03"/>
    <x v="2114"/>
    <n v="1538.69"/>
    <s v="Complete Access"/>
    <x v="1"/>
    <x v="1"/>
    <x v="1"/>
    <d v="1900-01-13T00:00:00"/>
    <n v="38"/>
    <x v="5"/>
    <x v="4"/>
  </r>
  <r>
    <x v="970"/>
    <n v="-44.9"/>
    <x v="2105"/>
    <n v="1602.96"/>
    <s v="Complete Access"/>
    <x v="4"/>
    <x v="1"/>
    <x v="1"/>
    <d v="1900-01-12T00:00:00"/>
    <n v="38"/>
    <x v="5"/>
    <x v="4"/>
  </r>
  <r>
    <x v="971"/>
    <n v="-1000"/>
    <x v="2115"/>
    <n v="1647.86"/>
    <s v="Complete Access"/>
    <x v="504"/>
    <x v="0"/>
    <x v="72"/>
    <d v="1900-01-08T00:00:00"/>
    <n v="37"/>
    <x v="5"/>
    <x v="4"/>
  </r>
  <r>
    <x v="971"/>
    <n v="-45.7"/>
    <x v="2116"/>
    <n v="2647.86"/>
    <s v="Complete Access"/>
    <x v="5"/>
    <x v="3"/>
    <x v="3"/>
    <d v="1900-01-08T00:00:00"/>
    <n v="37"/>
    <x v="5"/>
    <x v="4"/>
  </r>
  <r>
    <x v="972"/>
    <n v="-20.3"/>
    <x v="2117"/>
    <n v="2715.05"/>
    <s v="Complete Access"/>
    <x v="8"/>
    <x v="1"/>
    <x v="5"/>
    <d v="1900-01-06T00:00:00"/>
    <n v="37"/>
    <x v="5"/>
    <x v="4"/>
  </r>
  <r>
    <x v="972"/>
    <n v="-32.729999999999997"/>
    <x v="2118"/>
    <n v="2735.35"/>
    <s v="Complete Access"/>
    <x v="8"/>
    <x v="1"/>
    <x v="5"/>
    <d v="1900-01-06T00:00:00"/>
    <n v="37"/>
    <x v="5"/>
    <x v="4"/>
  </r>
  <r>
    <x v="972"/>
    <n v="-21.49"/>
    <x v="2119"/>
    <n v="2693.56"/>
    <s v="Complete Access"/>
    <x v="8"/>
    <x v="1"/>
    <x v="5"/>
    <d v="1900-01-06T00:00:00"/>
    <n v="37"/>
    <x v="5"/>
    <x v="4"/>
  </r>
  <r>
    <x v="972"/>
    <n v="-100.58"/>
    <x v="2120"/>
    <n v="2768.08"/>
    <s v="Complete Access"/>
    <x v="1"/>
    <x v="1"/>
    <x v="1"/>
    <d v="1900-01-06T00:00:00"/>
    <n v="37"/>
    <x v="5"/>
    <x v="4"/>
  </r>
  <r>
    <x v="973"/>
    <n v="-43.17"/>
    <x v="2105"/>
    <n v="2868.66"/>
    <s v="Complete Access"/>
    <x v="4"/>
    <x v="1"/>
    <x v="1"/>
    <d v="1900-01-04T00:00:00"/>
    <n v="37"/>
    <x v="5"/>
    <x v="4"/>
  </r>
  <r>
    <x v="974"/>
    <n v="-112.25"/>
    <x v="2121"/>
    <n v="2911.83"/>
    <s v="Complete Access"/>
    <x v="438"/>
    <x v="12"/>
    <x v="21"/>
    <d v="1900-01-03T00:00:00"/>
    <n v="36"/>
    <x v="5"/>
    <x v="4"/>
  </r>
  <r>
    <x v="975"/>
    <n v="-760"/>
    <x v="656"/>
    <n v="3024.08"/>
    <s v="Complete Access"/>
    <x v="13"/>
    <x v="0"/>
    <x v="0"/>
    <d v="1900-01-01T00:00:00"/>
    <n v="36"/>
    <x v="5"/>
    <x v="4"/>
  </r>
  <r>
    <x v="975"/>
    <n v="2248.81"/>
    <x v="2122"/>
    <n v="3784.08"/>
    <s v="Complete Access"/>
    <x v="14"/>
    <x v="6"/>
    <x v="9"/>
    <d v="1900-01-01T00:00:00"/>
    <n v="36"/>
    <x v="5"/>
    <x v="4"/>
  </r>
  <r>
    <x v="976"/>
    <n v="-180.55"/>
    <x v="2123"/>
    <n v="1535.27"/>
    <s v="Complete Access"/>
    <x v="76"/>
    <x v="2"/>
    <x v="2"/>
    <d v="1899-12-31T00:00:00"/>
    <n v="36"/>
    <x v="5"/>
    <x v="4"/>
  </r>
  <r>
    <x v="977"/>
    <n v="-3.6"/>
    <x v="2124"/>
    <n v="1715.82"/>
    <s v="Complete Access"/>
    <x v="34"/>
    <x v="9"/>
    <x v="12"/>
    <d v="1900-01-30T00:00:00"/>
    <n v="36"/>
    <x v="6"/>
    <x v="4"/>
  </r>
  <r>
    <x v="978"/>
    <n v="-7.0000000000000007E-2"/>
    <x v="2125"/>
    <n v="1719.42"/>
    <s v="Complete Access"/>
    <x v="10"/>
    <x v="0"/>
    <x v="0"/>
    <d v="1900-01-25T00:00:00"/>
    <n v="35"/>
    <x v="6"/>
    <x v="4"/>
  </r>
  <r>
    <x v="978"/>
    <n v="-2.35"/>
    <x v="2126"/>
    <n v="1719.49"/>
    <s v="Complete Access"/>
    <x v="327"/>
    <x v="4"/>
    <x v="27"/>
    <d v="1900-01-25T00:00:00"/>
    <n v="35"/>
    <x v="6"/>
    <x v="4"/>
  </r>
  <r>
    <x v="979"/>
    <n v="-34.39"/>
    <x v="2105"/>
    <n v="1721.84"/>
    <s v="Complete Access"/>
    <x v="4"/>
    <x v="1"/>
    <x v="1"/>
    <d v="1900-01-24T00:00:00"/>
    <n v="35"/>
    <x v="6"/>
    <x v="4"/>
  </r>
  <r>
    <x v="980"/>
    <n v="-250"/>
    <x v="2127"/>
    <n v="1756.23"/>
    <s v="Complete Access"/>
    <x v="504"/>
    <x v="0"/>
    <x v="72"/>
    <d v="1900-01-23T00:00:00"/>
    <n v="35"/>
    <x v="6"/>
    <x v="4"/>
  </r>
  <r>
    <x v="980"/>
    <n v="-195.64"/>
    <x v="2128"/>
    <n v="2012.1"/>
    <s v="Complete Access"/>
    <x v="542"/>
    <x v="4"/>
    <x v="47"/>
    <d v="1900-01-23T00:00:00"/>
    <n v="35"/>
    <x v="6"/>
    <x v="4"/>
  </r>
  <r>
    <x v="980"/>
    <n v="-5.87"/>
    <x v="2125"/>
    <n v="2006.23"/>
    <s v="Complete Access"/>
    <x v="10"/>
    <x v="0"/>
    <x v="0"/>
    <d v="1900-01-23T00:00:00"/>
    <n v="35"/>
    <x v="6"/>
    <x v="4"/>
  </r>
  <r>
    <x v="981"/>
    <n v="250"/>
    <x v="2129"/>
    <n v="2207.7399999999998"/>
    <s v="Complete Access"/>
    <x v="36"/>
    <x v="0"/>
    <x v="0"/>
    <d v="1900-01-22T00:00:00"/>
    <n v="35"/>
    <x v="6"/>
    <x v="4"/>
  </r>
  <r>
    <x v="982"/>
    <n v="-500"/>
    <x v="2130"/>
    <n v="1957.74"/>
    <s v="Complete Access"/>
    <x v="504"/>
    <x v="0"/>
    <x v="72"/>
    <d v="1900-01-20T00:00:00"/>
    <n v="34"/>
    <x v="6"/>
    <x v="4"/>
  </r>
  <r>
    <x v="982"/>
    <n v="-5.99"/>
    <x v="2131"/>
    <n v="2457.7399999999998"/>
    <s v="Complete Access"/>
    <x v="177"/>
    <x v="1"/>
    <x v="1"/>
    <d v="1900-01-20T00:00:00"/>
    <n v="34"/>
    <x v="6"/>
    <x v="4"/>
  </r>
  <r>
    <x v="982"/>
    <n v="-51.03"/>
    <x v="2105"/>
    <n v="2463.73"/>
    <s v="Complete Access"/>
    <x v="4"/>
    <x v="1"/>
    <x v="1"/>
    <d v="1900-01-20T00:00:00"/>
    <n v="34"/>
    <x v="6"/>
    <x v="4"/>
  </r>
  <r>
    <x v="983"/>
    <n v="-760"/>
    <x v="656"/>
    <n v="2514.7600000000002"/>
    <s v="Complete Access"/>
    <x v="13"/>
    <x v="0"/>
    <x v="0"/>
    <d v="1900-01-18T00:00:00"/>
    <n v="34"/>
    <x v="6"/>
    <x v="4"/>
  </r>
  <r>
    <x v="983"/>
    <n v="2692.81"/>
    <x v="2132"/>
    <n v="3274.76"/>
    <s v="Complete Access"/>
    <x v="14"/>
    <x v="6"/>
    <x v="9"/>
    <d v="1900-01-18T00:00:00"/>
    <n v="34"/>
    <x v="6"/>
    <x v="4"/>
  </r>
  <r>
    <x v="984"/>
    <n v="-59"/>
    <x v="2133"/>
    <n v="637.46"/>
    <s v="Complete Access"/>
    <x v="207"/>
    <x v="7"/>
    <x v="11"/>
    <d v="1900-01-17T00:00:00"/>
    <n v="34"/>
    <x v="6"/>
    <x v="4"/>
  </r>
  <r>
    <x v="984"/>
    <n v="-55.51"/>
    <x v="2134"/>
    <n v="581.95000000000005"/>
    <s v="Complete Access"/>
    <x v="433"/>
    <x v="7"/>
    <x v="53"/>
    <d v="1900-01-17T00:00:00"/>
    <n v="34"/>
    <x v="6"/>
    <x v="4"/>
  </r>
  <r>
    <x v="985"/>
    <n v="-34.58"/>
    <x v="2131"/>
    <n v="696.46"/>
    <s v="Complete Access"/>
    <x v="177"/>
    <x v="1"/>
    <x v="1"/>
    <d v="1900-01-15T00:00:00"/>
    <n v="34"/>
    <x v="6"/>
    <x v="4"/>
  </r>
  <r>
    <x v="986"/>
    <n v="-44.83"/>
    <x v="2105"/>
    <n v="731.04"/>
    <s v="Complete Access"/>
    <x v="4"/>
    <x v="1"/>
    <x v="1"/>
    <d v="1900-01-13T00:00:00"/>
    <n v="33"/>
    <x v="6"/>
    <x v="4"/>
  </r>
  <r>
    <x v="987"/>
    <n v="-4.49"/>
    <x v="2135"/>
    <n v="775.87"/>
    <s v="Complete Access"/>
    <x v="215"/>
    <x v="1"/>
    <x v="1"/>
    <d v="1900-01-11T00:00:00"/>
    <n v="33"/>
    <x v="6"/>
    <x v="4"/>
  </r>
  <r>
    <x v="987"/>
    <n v="-3.99"/>
    <x v="2136"/>
    <n v="780.36"/>
    <s v="Complete Access"/>
    <x v="543"/>
    <x v="3"/>
    <x v="15"/>
    <d v="1900-01-11T00:00:00"/>
    <n v="33"/>
    <x v="6"/>
    <x v="4"/>
  </r>
  <r>
    <x v="987"/>
    <n v="-1"/>
    <x v="2137"/>
    <n v="784.35"/>
    <s v="Complete Access"/>
    <x v="98"/>
    <x v="9"/>
    <x v="32"/>
    <d v="1900-01-11T00:00:00"/>
    <n v="33"/>
    <x v="6"/>
    <x v="4"/>
  </r>
  <r>
    <x v="988"/>
    <n v="-21"/>
    <x v="2138"/>
    <n v="785.35"/>
    <s v="Complete Access"/>
    <x v="35"/>
    <x v="1"/>
    <x v="23"/>
    <d v="1900-01-10T00:00:00"/>
    <n v="33"/>
    <x v="6"/>
    <x v="4"/>
  </r>
  <r>
    <x v="988"/>
    <n v="-72"/>
    <x v="2138"/>
    <n v="806.35"/>
    <s v="Complete Access"/>
    <x v="35"/>
    <x v="1"/>
    <x v="23"/>
    <d v="1900-01-10T00:00:00"/>
    <n v="33"/>
    <x v="6"/>
    <x v="4"/>
  </r>
  <r>
    <x v="988"/>
    <n v="-57.87"/>
    <x v="2139"/>
    <n v="878.35"/>
    <s v="Complete Access"/>
    <x v="1"/>
    <x v="1"/>
    <x v="1"/>
    <d v="1900-01-10T00:00:00"/>
    <n v="33"/>
    <x v="6"/>
    <x v="4"/>
  </r>
  <r>
    <x v="989"/>
    <n v="-1200"/>
    <x v="2140"/>
    <n v="1452.81"/>
    <s v="Complete Access"/>
    <x v="504"/>
    <x v="0"/>
    <x v="72"/>
    <d v="1900-01-09T00:00:00"/>
    <n v="33"/>
    <x v="6"/>
    <x v="4"/>
  </r>
  <r>
    <x v="989"/>
    <n v="-400"/>
    <x v="2141"/>
    <n v="1052.81"/>
    <s v="Complete Access"/>
    <x v="504"/>
    <x v="0"/>
    <x v="72"/>
    <d v="1900-01-09T00:00:00"/>
    <n v="33"/>
    <x v="6"/>
    <x v="4"/>
  </r>
  <r>
    <x v="989"/>
    <n v="-99.79"/>
    <x v="2142"/>
    <n v="953.02"/>
    <s v="Complete Access"/>
    <x v="544"/>
    <x v="3"/>
    <x v="60"/>
    <d v="1900-01-09T00:00:00"/>
    <n v="33"/>
    <x v="6"/>
    <x v="4"/>
  </r>
  <r>
    <x v="989"/>
    <n v="-16.8"/>
    <x v="96"/>
    <n v="936.22"/>
    <s v="Complete Access"/>
    <x v="47"/>
    <x v="1"/>
    <x v="5"/>
    <d v="1900-01-09T00:00:00"/>
    <n v="33"/>
    <x v="6"/>
    <x v="4"/>
  </r>
  <r>
    <x v="990"/>
    <n v="-64.78"/>
    <x v="2105"/>
    <n v="2652.81"/>
    <s v="Complete Access"/>
    <x v="4"/>
    <x v="1"/>
    <x v="1"/>
    <d v="1900-01-08T00:00:00"/>
    <n v="33"/>
    <x v="6"/>
    <x v="4"/>
  </r>
  <r>
    <x v="991"/>
    <n v="-760"/>
    <x v="656"/>
    <n v="2741.99"/>
    <s v="Complete Access"/>
    <x v="13"/>
    <x v="0"/>
    <x v="0"/>
    <d v="1900-01-04T00:00:00"/>
    <n v="32"/>
    <x v="6"/>
    <x v="4"/>
  </r>
  <r>
    <x v="991"/>
    <n v="-86.6"/>
    <x v="2143"/>
    <n v="3501.99"/>
    <s v="Complete Access"/>
    <x v="438"/>
    <x v="12"/>
    <x v="21"/>
    <d v="1900-01-04T00:00:00"/>
    <n v="32"/>
    <x v="6"/>
    <x v="4"/>
  </r>
  <r>
    <x v="991"/>
    <n v="2260.63"/>
    <x v="2144"/>
    <n v="3588.59"/>
    <s v="Complete Access"/>
    <x v="14"/>
    <x v="6"/>
    <x v="9"/>
    <d v="1900-01-04T00:00:00"/>
    <n v="32"/>
    <x v="6"/>
    <x v="4"/>
  </r>
  <r>
    <x v="991"/>
    <n v="-24.4"/>
    <x v="1965"/>
    <n v="2717.59"/>
    <s v="Complete Access"/>
    <x v="304"/>
    <x v="1"/>
    <x v="5"/>
    <d v="1900-01-04T00:00:00"/>
    <n v="32"/>
    <x v="6"/>
    <x v="4"/>
  </r>
  <r>
    <x v="992"/>
    <n v="-239"/>
    <x v="2145"/>
    <n v="1327.96"/>
    <s v="Complete Access"/>
    <x v="545"/>
    <x v="4"/>
    <x v="30"/>
    <d v="1900-01-03T00:00:00"/>
    <n v="32"/>
    <x v="6"/>
    <x v="4"/>
  </r>
  <r>
    <x v="992"/>
    <n v="-12.99"/>
    <x v="2146"/>
    <n v="1566.96"/>
    <s v="Complete Access"/>
    <x v="222"/>
    <x v="11"/>
    <x v="14"/>
    <d v="1900-01-03T00:00:00"/>
    <n v="32"/>
    <x v="6"/>
    <x v="4"/>
  </r>
  <r>
    <x v="993"/>
    <n v="-10.15"/>
    <x v="2147"/>
    <n v="1656.81"/>
    <s v="Complete Access"/>
    <x v="546"/>
    <x v="3"/>
    <x v="60"/>
    <d v="1900-01-02T00:00:00"/>
    <n v="32"/>
    <x v="6"/>
    <x v="4"/>
  </r>
  <r>
    <x v="993"/>
    <n v="-34.590000000000003"/>
    <x v="2135"/>
    <n v="1579.95"/>
    <s v="Complete Access"/>
    <x v="215"/>
    <x v="1"/>
    <x v="1"/>
    <d v="1900-01-02T00:00:00"/>
    <n v="32"/>
    <x v="6"/>
    <x v="4"/>
  </r>
  <r>
    <x v="993"/>
    <n v="-42.27"/>
    <x v="2148"/>
    <n v="1614.54"/>
    <s v="Complete Access"/>
    <x v="1"/>
    <x v="1"/>
    <x v="1"/>
    <d v="1900-01-02T00:00:00"/>
    <n v="32"/>
    <x v="6"/>
    <x v="4"/>
  </r>
  <r>
    <x v="994"/>
    <n v="-179.45"/>
    <x v="2149"/>
    <n v="1666.96"/>
    <s v="Complete Access"/>
    <x v="76"/>
    <x v="2"/>
    <x v="2"/>
    <d v="1900-01-01T00:00:00"/>
    <n v="32"/>
    <x v="6"/>
    <x v="4"/>
  </r>
  <r>
    <x v="995"/>
    <n v="-25"/>
    <x v="2150"/>
    <n v="1567.51"/>
    <s v="Complete Access"/>
    <x v="0"/>
    <x v="0"/>
    <x v="0"/>
    <d v="1900-01-29T00:00:00"/>
    <n v="31"/>
    <x v="7"/>
    <x v="4"/>
  </r>
  <r>
    <x v="995"/>
    <n v="28.9"/>
    <x v="2151"/>
    <n v="1846.41"/>
    <s v="Complete Access"/>
    <x v="36"/>
    <x v="0"/>
    <x v="0"/>
    <d v="1900-01-29T00:00:00"/>
    <n v="31"/>
    <x v="7"/>
    <x v="4"/>
  </r>
  <r>
    <x v="995"/>
    <n v="250"/>
    <x v="2152"/>
    <n v="1817.51"/>
    <s v="Complete Access"/>
    <x v="36"/>
    <x v="0"/>
    <x v="0"/>
    <d v="1900-01-29T00:00:00"/>
    <n v="31"/>
    <x v="7"/>
    <x v="4"/>
  </r>
  <r>
    <x v="996"/>
    <n v="-3.8"/>
    <x v="2153"/>
    <n v="1592.51"/>
    <s v="Complete Access"/>
    <x v="547"/>
    <x v="20"/>
    <x v="63"/>
    <d v="1900-01-27T00:00:00"/>
    <n v="31"/>
    <x v="7"/>
    <x v="4"/>
  </r>
  <r>
    <x v="997"/>
    <n v="-30.46"/>
    <x v="2154"/>
    <n v="1599.41"/>
    <s v="Complete Access"/>
    <x v="1"/>
    <x v="1"/>
    <x v="1"/>
    <d v="1900-01-26T00:00:00"/>
    <n v="31"/>
    <x v="7"/>
    <x v="4"/>
  </r>
  <r>
    <x v="997"/>
    <n v="-3.1"/>
    <x v="2155"/>
    <n v="1596.31"/>
    <s v="Complete Access"/>
    <x v="21"/>
    <x v="10"/>
    <x v="13"/>
    <d v="1900-01-26T00:00:00"/>
    <n v="31"/>
    <x v="7"/>
    <x v="4"/>
  </r>
  <r>
    <x v="998"/>
    <n v="-50.67"/>
    <x v="2105"/>
    <n v="1629.87"/>
    <s v="Complete Access"/>
    <x v="4"/>
    <x v="1"/>
    <x v="1"/>
    <d v="1900-01-23T00:00:00"/>
    <n v="30"/>
    <x v="7"/>
    <x v="4"/>
  </r>
  <r>
    <x v="999"/>
    <n v="-760"/>
    <x v="656"/>
    <n v="1680.54"/>
    <s v="Complete Access"/>
    <x v="13"/>
    <x v="0"/>
    <x v="0"/>
    <d v="1900-01-21T00:00:00"/>
    <n v="30"/>
    <x v="7"/>
    <x v="4"/>
  </r>
  <r>
    <x v="999"/>
    <n v="2326.5300000000002"/>
    <x v="2156"/>
    <n v="2473.0700000000002"/>
    <s v="Complete Access"/>
    <x v="14"/>
    <x v="6"/>
    <x v="9"/>
    <d v="1900-01-21T00:00:00"/>
    <n v="30"/>
    <x v="7"/>
    <x v="4"/>
  </r>
  <r>
    <x v="999"/>
    <n v="-32.53"/>
    <x v="2157"/>
    <n v="2440.54"/>
    <s v="Complete Access"/>
    <x v="34"/>
    <x v="9"/>
    <x v="12"/>
    <d v="1900-01-21T00:00:00"/>
    <n v="30"/>
    <x v="7"/>
    <x v="4"/>
  </r>
  <r>
    <x v="1000"/>
    <n v="-66.989999999999995"/>
    <x v="2158"/>
    <n v="205.1"/>
    <s v="Complete Access"/>
    <x v="8"/>
    <x v="1"/>
    <x v="5"/>
    <d v="1900-01-19T00:00:00"/>
    <n v="30"/>
    <x v="7"/>
    <x v="4"/>
  </r>
  <r>
    <x v="1000"/>
    <n v="-73.400000000000006"/>
    <x v="2159"/>
    <n v="272.08999999999997"/>
    <s v="Complete Access"/>
    <x v="433"/>
    <x v="7"/>
    <x v="53"/>
    <d v="1900-01-19T00:00:00"/>
    <n v="30"/>
    <x v="7"/>
    <x v="4"/>
  </r>
  <r>
    <x v="1000"/>
    <n v="-58.56"/>
    <x v="2105"/>
    <n v="146.54"/>
    <s v="Complete Access"/>
    <x v="4"/>
    <x v="1"/>
    <x v="1"/>
    <d v="1900-01-19T00:00:00"/>
    <n v="30"/>
    <x v="7"/>
    <x v="4"/>
  </r>
  <r>
    <x v="1001"/>
    <n v="-60"/>
    <x v="2160"/>
    <n v="347.99"/>
    <s v="Complete Access"/>
    <x v="130"/>
    <x v="0"/>
    <x v="0"/>
    <d v="1900-01-18T00:00:00"/>
    <n v="30"/>
    <x v="7"/>
    <x v="4"/>
  </r>
  <r>
    <x v="1001"/>
    <n v="-2.5"/>
    <x v="72"/>
    <n v="345.49"/>
    <s v="Complete Access"/>
    <x v="37"/>
    <x v="0"/>
    <x v="0"/>
    <d v="1900-01-18T00:00:00"/>
    <n v="30"/>
    <x v="7"/>
    <x v="4"/>
  </r>
  <r>
    <x v="1002"/>
    <n v="-21.25"/>
    <x v="2135"/>
    <n v="407.99"/>
    <s v="Complete Access"/>
    <x v="215"/>
    <x v="1"/>
    <x v="1"/>
    <d v="1900-01-17T00:00:00"/>
    <n v="30"/>
    <x v="7"/>
    <x v="4"/>
  </r>
  <r>
    <x v="1003"/>
    <n v="-59"/>
    <x v="2161"/>
    <n v="429.24"/>
    <s v="Complete Access"/>
    <x v="207"/>
    <x v="7"/>
    <x v="11"/>
    <d v="1900-01-16T00:00:00"/>
    <n v="29"/>
    <x v="7"/>
    <x v="4"/>
  </r>
  <r>
    <x v="1004"/>
    <n v="-15.99"/>
    <x v="2162"/>
    <n v="488.24"/>
    <s v="Complete Access"/>
    <x v="548"/>
    <x v="4"/>
    <x v="20"/>
    <d v="1900-01-15T00:00:00"/>
    <n v="29"/>
    <x v="7"/>
    <x v="4"/>
  </r>
  <r>
    <x v="1005"/>
    <n v="-14.47"/>
    <x v="2135"/>
    <n v="504.23"/>
    <s v="Complete Access"/>
    <x v="215"/>
    <x v="1"/>
    <x v="1"/>
    <d v="1900-01-14T00:00:00"/>
    <n v="29"/>
    <x v="7"/>
    <x v="4"/>
  </r>
  <r>
    <x v="1006"/>
    <n v="-7.65"/>
    <x v="2163"/>
    <n v="518.70000000000005"/>
    <s v="Complete Access"/>
    <x v="1"/>
    <x v="1"/>
    <x v="1"/>
    <d v="1900-01-13T00:00:00"/>
    <n v="29"/>
    <x v="7"/>
    <x v="4"/>
  </r>
  <r>
    <x v="1007"/>
    <n v="-42.24"/>
    <x v="2164"/>
    <n v="1135.3"/>
    <s v="Complete Access"/>
    <x v="8"/>
    <x v="1"/>
    <x v="5"/>
    <d v="1900-01-12T00:00:00"/>
    <n v="29"/>
    <x v="7"/>
    <x v="4"/>
  </r>
  <r>
    <x v="1007"/>
    <n v="-576.96"/>
    <x v="2165"/>
    <n v="526.35"/>
    <s v="Complete Access"/>
    <x v="549"/>
    <x v="4"/>
    <x v="20"/>
    <d v="1900-01-12T00:00:00"/>
    <n v="29"/>
    <x v="7"/>
    <x v="4"/>
  </r>
  <r>
    <x v="1007"/>
    <n v="-31.99"/>
    <x v="2166"/>
    <n v="1103.31"/>
    <s v="Complete Access"/>
    <x v="34"/>
    <x v="9"/>
    <x v="12"/>
    <d v="1900-01-12T00:00:00"/>
    <n v="29"/>
    <x v="7"/>
    <x v="4"/>
  </r>
  <r>
    <x v="1008"/>
    <n v="-61.85"/>
    <x v="2167"/>
    <n v="1177.54"/>
    <s v="Complete Access"/>
    <x v="438"/>
    <x v="12"/>
    <x v="21"/>
    <d v="1900-01-11T00:00:00"/>
    <n v="29"/>
    <x v="7"/>
    <x v="4"/>
  </r>
  <r>
    <x v="1008"/>
    <n v="-94.28"/>
    <x v="2105"/>
    <n v="1239.3900000000001"/>
    <s v="Complete Access"/>
    <x v="4"/>
    <x v="1"/>
    <x v="1"/>
    <d v="1900-01-11T00:00:00"/>
    <n v="29"/>
    <x v="7"/>
    <x v="4"/>
  </r>
  <r>
    <x v="1009"/>
    <n v="-17"/>
    <x v="1428"/>
    <n v="1333.67"/>
    <s v="Complete Access"/>
    <x v="0"/>
    <x v="0"/>
    <x v="0"/>
    <d v="1900-01-10T00:00:00"/>
    <n v="29"/>
    <x v="7"/>
    <x v="4"/>
  </r>
  <r>
    <x v="1010"/>
    <n v="-21.4"/>
    <x v="96"/>
    <n v="1350.67"/>
    <s v="Complete Access"/>
    <x v="47"/>
    <x v="1"/>
    <x v="5"/>
    <d v="1900-01-08T00:00:00"/>
    <n v="28"/>
    <x v="7"/>
    <x v="4"/>
  </r>
  <r>
    <x v="1011"/>
    <n v="2163.73"/>
    <x v="2168"/>
    <n v="2382.0700000000002"/>
    <s v="Complete Access"/>
    <x v="14"/>
    <x v="6"/>
    <x v="9"/>
    <d v="1900-01-07T00:00:00"/>
    <n v="28"/>
    <x v="7"/>
    <x v="4"/>
  </r>
  <r>
    <x v="1012"/>
    <n v="326.43"/>
    <x v="2169"/>
    <n v="791.77"/>
    <s v="Complete Access"/>
    <x v="95"/>
    <x v="14"/>
    <x v="38"/>
    <d v="1900-01-06T00:00:00"/>
    <n v="28"/>
    <x v="7"/>
    <x v="4"/>
  </r>
  <r>
    <x v="1012"/>
    <n v="-573.42999999999995"/>
    <x v="2170"/>
    <n v="218.34"/>
    <s v="Complete Access"/>
    <x v="93"/>
    <x v="9"/>
    <x v="36"/>
    <d v="1900-01-06T00:00:00"/>
    <n v="28"/>
    <x v="7"/>
    <x v="4"/>
  </r>
  <r>
    <x v="1013"/>
    <n v="25.67"/>
    <x v="2171"/>
    <n v="1118.2"/>
    <s v="Complete Access"/>
    <x v="8"/>
    <x v="1"/>
    <x v="5"/>
    <d v="1900-01-05T00:00:00"/>
    <n v="28"/>
    <x v="7"/>
    <x v="4"/>
  </r>
  <r>
    <x v="1013"/>
    <n v="33.19"/>
    <x v="2172"/>
    <n v="1143.8699999999999"/>
    <s v="Complete Access"/>
    <x v="550"/>
    <x v="4"/>
    <x v="25"/>
    <d v="1900-01-05T00:00:00"/>
    <n v="28"/>
    <x v="7"/>
    <x v="4"/>
  </r>
  <r>
    <x v="1014"/>
    <n v="-6.19"/>
    <x v="2173"/>
    <n v="1177.06"/>
    <s v="Complete Access"/>
    <x v="215"/>
    <x v="1"/>
    <x v="1"/>
    <d v="1900-01-04T00:00:00"/>
    <n v="28"/>
    <x v="7"/>
    <x v="4"/>
  </r>
  <r>
    <x v="1015"/>
    <n v="30"/>
    <x v="2174"/>
    <n v="1183.25"/>
    <s v="Complete Access"/>
    <x v="36"/>
    <x v="0"/>
    <x v="0"/>
    <d v="1900-01-03T00:00:00"/>
    <n v="28"/>
    <x v="7"/>
    <x v="4"/>
  </r>
  <r>
    <x v="1015"/>
    <n v="-15.98"/>
    <x v="2175"/>
    <n v="1153.25"/>
    <s v="Complete Access"/>
    <x v="215"/>
    <x v="1"/>
    <x v="1"/>
    <d v="1900-01-03T00:00:00"/>
    <n v="28"/>
    <x v="7"/>
    <x v="4"/>
  </r>
  <r>
    <x v="1016"/>
    <n v="-31.22"/>
    <x v="2176"/>
    <n v="1169.23"/>
    <s v="Complete Access"/>
    <x v="551"/>
    <x v="1"/>
    <x v="5"/>
    <d v="1900-01-01T00:00:00"/>
    <n v="27"/>
    <x v="7"/>
    <x v="4"/>
  </r>
  <r>
    <x v="1017"/>
    <n v="-33.270000000000003"/>
    <x v="2177"/>
    <n v="1391.4"/>
    <s v="Complete Access"/>
    <x v="8"/>
    <x v="1"/>
    <x v="5"/>
    <d v="1899-12-31T00:00:00"/>
    <n v="27"/>
    <x v="7"/>
    <x v="4"/>
  </r>
  <r>
    <x v="1017"/>
    <n v="-179.45"/>
    <x v="2178"/>
    <n v="1200.45"/>
    <s v="Complete Access"/>
    <x v="76"/>
    <x v="2"/>
    <x v="2"/>
    <d v="1899-12-31T00:00:00"/>
    <n v="27"/>
    <x v="7"/>
    <x v="4"/>
  </r>
  <r>
    <x v="1017"/>
    <n v="-11.5"/>
    <x v="2179"/>
    <n v="1379.9"/>
    <s v="Complete Access"/>
    <x v="34"/>
    <x v="9"/>
    <x v="12"/>
    <d v="1899-12-31T00:00:00"/>
    <n v="27"/>
    <x v="7"/>
    <x v="4"/>
  </r>
  <r>
    <x v="1018"/>
    <n v="1000"/>
    <x v="2180"/>
    <n v="1424.67"/>
    <s v="Complete Access"/>
    <x v="36"/>
    <x v="0"/>
    <x v="0"/>
    <d v="1900-01-29T00:00:00"/>
    <n v="27"/>
    <x v="8"/>
    <x v="4"/>
  </r>
  <r>
    <x v="1019"/>
    <n v="-351.85"/>
    <x v="2181"/>
    <n v="424.67"/>
    <s v="Complete Access"/>
    <x v="13"/>
    <x v="0"/>
    <x v="0"/>
    <d v="1900-01-26T00:00:00"/>
    <n v="27"/>
    <x v="8"/>
    <x v="4"/>
  </r>
  <r>
    <x v="1019"/>
    <n v="-44.26"/>
    <x v="2135"/>
    <n v="476.52"/>
    <s v="Complete Access"/>
    <x v="215"/>
    <x v="1"/>
    <x v="1"/>
    <d v="1900-01-26T00:00:00"/>
    <n v="27"/>
    <x v="8"/>
    <x v="4"/>
  </r>
  <r>
    <x v="1019"/>
    <n v="300"/>
    <x v="2182"/>
    <n v="776.52"/>
    <s v="Complete Access"/>
    <x v="36"/>
    <x v="0"/>
    <x v="0"/>
    <d v="1900-01-26T00:00:00"/>
    <n v="27"/>
    <x v="8"/>
    <x v="4"/>
  </r>
  <r>
    <x v="1020"/>
    <n v="-600"/>
    <x v="2087"/>
    <n v="520.78"/>
    <s v="Complete Access"/>
    <x v="130"/>
    <x v="0"/>
    <x v="0"/>
    <d v="1900-01-25T00:00:00"/>
    <n v="26"/>
    <x v="8"/>
    <x v="4"/>
  </r>
  <r>
    <x v="1021"/>
    <n v="-380"/>
    <x v="2183"/>
    <n v="1120.78"/>
    <s v="Complete Access"/>
    <x v="0"/>
    <x v="0"/>
    <x v="0"/>
    <d v="1900-01-24T00:00:00"/>
    <n v="26"/>
    <x v="8"/>
    <x v="4"/>
  </r>
  <r>
    <x v="1022"/>
    <n v="-760"/>
    <x v="656"/>
    <n v="1500.78"/>
    <s v="Complete Access"/>
    <x v="13"/>
    <x v="0"/>
    <x v="0"/>
    <d v="1900-01-23T00:00:00"/>
    <n v="26"/>
    <x v="8"/>
    <x v="4"/>
  </r>
  <r>
    <x v="1022"/>
    <n v="2163.7399999999998"/>
    <x v="2184"/>
    <n v="2260.7800000000002"/>
    <s v="Complete Access"/>
    <x v="14"/>
    <x v="6"/>
    <x v="9"/>
    <d v="1900-01-23T00:00:00"/>
    <n v="26"/>
    <x v="8"/>
    <x v="4"/>
  </r>
  <r>
    <x v="1023"/>
    <n v="-15.29"/>
    <x v="2185"/>
    <n v="97.04"/>
    <s v="Complete Access"/>
    <x v="8"/>
    <x v="1"/>
    <x v="5"/>
    <d v="1900-01-22T00:00:00"/>
    <n v="26"/>
    <x v="8"/>
    <x v="4"/>
  </r>
  <r>
    <x v="1024"/>
    <n v="-38.979999999999997"/>
    <x v="2186"/>
    <n v="211.59"/>
    <s v="Complete Access"/>
    <x v="8"/>
    <x v="1"/>
    <x v="5"/>
    <d v="1900-01-21T00:00:00"/>
    <n v="26"/>
    <x v="8"/>
    <x v="4"/>
  </r>
  <r>
    <x v="1024"/>
    <n v="-36.869999999999997"/>
    <x v="2187"/>
    <n v="174.72"/>
    <s v="Complete Access"/>
    <x v="8"/>
    <x v="1"/>
    <x v="5"/>
    <d v="1900-01-21T00:00:00"/>
    <n v="26"/>
    <x v="8"/>
    <x v="4"/>
  </r>
  <r>
    <x v="1024"/>
    <n v="-62.39"/>
    <x v="2188"/>
    <n v="112.33"/>
    <s v="Complete Access"/>
    <x v="8"/>
    <x v="1"/>
    <x v="5"/>
    <d v="1900-01-21T00:00:00"/>
    <n v="26"/>
    <x v="8"/>
    <x v="4"/>
  </r>
  <r>
    <x v="1025"/>
    <n v="-59.78"/>
    <x v="2105"/>
    <n v="250.57"/>
    <s v="Complete Access"/>
    <x v="4"/>
    <x v="1"/>
    <x v="1"/>
    <d v="1900-01-20T00:00:00"/>
    <n v="26"/>
    <x v="8"/>
    <x v="4"/>
  </r>
  <r>
    <x v="1026"/>
    <n v="-100"/>
    <x v="2189"/>
    <n v="340.35"/>
    <s v="Complete Access"/>
    <x v="552"/>
    <x v="0"/>
    <x v="74"/>
    <d v="1900-01-18T00:00:00"/>
    <n v="25"/>
    <x v="8"/>
    <x v="4"/>
  </r>
  <r>
    <x v="1026"/>
    <n v="-8.9"/>
    <x v="2190"/>
    <n v="440.35"/>
    <s v="Complete Access"/>
    <x v="277"/>
    <x v="8"/>
    <x v="29"/>
    <d v="1900-01-18T00:00:00"/>
    <n v="25"/>
    <x v="8"/>
    <x v="4"/>
  </r>
  <r>
    <x v="1026"/>
    <n v="-30"/>
    <x v="2191"/>
    <n v="310.35000000000002"/>
    <s v="Complete Access"/>
    <x v="374"/>
    <x v="8"/>
    <x v="29"/>
    <d v="1900-01-18T00:00:00"/>
    <n v="25"/>
    <x v="8"/>
    <x v="4"/>
  </r>
  <r>
    <x v="1027"/>
    <n v="-315"/>
    <x v="69"/>
    <n v="449.25"/>
    <s v="Complete Access"/>
    <x v="0"/>
    <x v="0"/>
    <x v="0"/>
    <d v="1900-01-17T00:00:00"/>
    <n v="25"/>
    <x v="8"/>
    <x v="4"/>
  </r>
  <r>
    <x v="1027"/>
    <n v="-578"/>
    <x v="2192"/>
    <n v="749.75"/>
    <s v="Complete Access"/>
    <x v="216"/>
    <x v="9"/>
    <x v="36"/>
    <d v="1900-01-17T00:00:00"/>
    <n v="25"/>
    <x v="8"/>
    <x v="4"/>
  </r>
  <r>
    <x v="1027"/>
    <n v="-26.18"/>
    <x v="2193"/>
    <n v="1327.75"/>
    <s v="Complete Access"/>
    <x v="8"/>
    <x v="1"/>
    <x v="5"/>
    <d v="1900-01-17T00:00:00"/>
    <n v="25"/>
    <x v="8"/>
    <x v="4"/>
  </r>
  <r>
    <x v="1027"/>
    <n v="14.5"/>
    <x v="2194"/>
    <n v="764.25"/>
    <s v="Complete Access"/>
    <x v="36"/>
    <x v="0"/>
    <x v="0"/>
    <d v="1900-01-17T00:00:00"/>
    <n v="25"/>
    <x v="8"/>
    <x v="4"/>
  </r>
  <r>
    <x v="1027"/>
    <n v="-59"/>
    <x v="2195"/>
    <n v="1376.42"/>
    <s v="Complete Access"/>
    <x v="207"/>
    <x v="7"/>
    <x v="11"/>
    <d v="1900-01-17T00:00:00"/>
    <n v="25"/>
    <x v="8"/>
    <x v="4"/>
  </r>
  <r>
    <x v="1027"/>
    <n v="-22.49"/>
    <x v="2196"/>
    <n v="1353.93"/>
    <s v="Complete Access"/>
    <x v="343"/>
    <x v="1"/>
    <x v="5"/>
    <d v="1900-01-17T00:00:00"/>
    <n v="25"/>
    <x v="8"/>
    <x v="4"/>
  </r>
  <r>
    <x v="1028"/>
    <n v="-23.99"/>
    <x v="2197"/>
    <n v="1368.23"/>
    <s v="Complete Access"/>
    <x v="8"/>
    <x v="1"/>
    <x v="5"/>
    <d v="1900-01-16T00:00:00"/>
    <n v="25"/>
    <x v="8"/>
    <x v="4"/>
  </r>
  <r>
    <x v="1028"/>
    <n v="67.19"/>
    <x v="2198"/>
    <n v="1435.42"/>
    <s v="Complete Access"/>
    <x v="36"/>
    <x v="0"/>
    <x v="0"/>
    <d v="1900-01-16T00:00:00"/>
    <n v="25"/>
    <x v="8"/>
    <x v="4"/>
  </r>
  <r>
    <x v="1029"/>
    <n v="-29.58"/>
    <x v="2199"/>
    <n v="1423.83"/>
    <s v="Complete Access"/>
    <x v="8"/>
    <x v="1"/>
    <x v="5"/>
    <d v="1900-01-15T00:00:00"/>
    <n v="25"/>
    <x v="8"/>
    <x v="4"/>
  </r>
  <r>
    <x v="1029"/>
    <n v="-21.61"/>
    <x v="2200"/>
    <n v="1402.22"/>
    <s v="Complete Access"/>
    <x v="8"/>
    <x v="1"/>
    <x v="5"/>
    <d v="1900-01-15T00:00:00"/>
    <n v="25"/>
    <x v="8"/>
    <x v="4"/>
  </r>
  <r>
    <x v="1029"/>
    <n v="-10"/>
    <x v="2201"/>
    <n v="1392.22"/>
    <s v="Complete Access"/>
    <x v="34"/>
    <x v="9"/>
    <x v="12"/>
    <d v="1900-01-15T00:00:00"/>
    <n v="25"/>
    <x v="8"/>
    <x v="4"/>
  </r>
  <r>
    <x v="1030"/>
    <n v="-58.25"/>
    <x v="2202"/>
    <n v="1569.49"/>
    <s v="Complete Access"/>
    <x v="61"/>
    <x v="1"/>
    <x v="1"/>
    <d v="1900-01-14T00:00:00"/>
    <n v="25"/>
    <x v="8"/>
    <x v="4"/>
  </r>
  <r>
    <x v="1030"/>
    <n v="-60.1"/>
    <x v="2203"/>
    <n v="1509.39"/>
    <s v="Complete Access"/>
    <x v="553"/>
    <x v="1"/>
    <x v="5"/>
    <d v="1900-01-14T00:00:00"/>
    <n v="25"/>
    <x v="8"/>
    <x v="4"/>
  </r>
  <r>
    <x v="1030"/>
    <n v="-31.79"/>
    <x v="2204"/>
    <n v="1627.74"/>
    <s v="Complete Access"/>
    <x v="8"/>
    <x v="1"/>
    <x v="5"/>
    <d v="1900-01-14T00:00:00"/>
    <n v="25"/>
    <x v="8"/>
    <x v="4"/>
  </r>
  <r>
    <x v="1030"/>
    <n v="-20.68"/>
    <x v="2205"/>
    <n v="1453.41"/>
    <s v="Complete Access"/>
    <x v="8"/>
    <x v="1"/>
    <x v="5"/>
    <d v="1900-01-14T00:00:00"/>
    <n v="25"/>
    <x v="8"/>
    <x v="4"/>
  </r>
  <r>
    <x v="1030"/>
    <n v="-35.299999999999997"/>
    <x v="2206"/>
    <n v="1474.09"/>
    <s v="Complete Access"/>
    <x v="343"/>
    <x v="1"/>
    <x v="5"/>
    <d v="1900-01-14T00:00:00"/>
    <n v="25"/>
    <x v="8"/>
    <x v="4"/>
  </r>
  <r>
    <x v="1030"/>
    <n v="-36.03"/>
    <x v="2207"/>
    <n v="1659.53"/>
    <s v="Complete Access"/>
    <x v="554"/>
    <x v="8"/>
    <x v="29"/>
    <d v="1900-01-14T00:00:00"/>
    <n v="25"/>
    <x v="8"/>
    <x v="4"/>
  </r>
  <r>
    <x v="1030"/>
    <n v="-12.5"/>
    <x v="2201"/>
    <n v="1695.56"/>
    <s v="Complete Access"/>
    <x v="34"/>
    <x v="9"/>
    <x v="12"/>
    <d v="1900-01-14T00:00:00"/>
    <n v="25"/>
    <x v="8"/>
    <x v="4"/>
  </r>
  <r>
    <x v="1031"/>
    <n v="-100"/>
    <x v="2189"/>
    <n v="1787.79"/>
    <s v="Complete Access"/>
    <x v="552"/>
    <x v="0"/>
    <x v="74"/>
    <d v="1900-01-11T00:00:00"/>
    <n v="24"/>
    <x v="8"/>
    <x v="4"/>
  </r>
  <r>
    <x v="1031"/>
    <n v="-26.73"/>
    <x v="2208"/>
    <n v="1761.06"/>
    <s v="Complete Access"/>
    <x v="8"/>
    <x v="1"/>
    <x v="5"/>
    <d v="1900-01-11T00:00:00"/>
    <n v="24"/>
    <x v="8"/>
    <x v="4"/>
  </r>
  <r>
    <x v="1031"/>
    <n v="-53"/>
    <x v="2209"/>
    <n v="1708.06"/>
    <s v="Complete Access"/>
    <x v="0"/>
    <x v="0"/>
    <x v="0"/>
    <d v="1900-01-11T00:00:00"/>
    <n v="24"/>
    <x v="8"/>
    <x v="4"/>
  </r>
  <r>
    <x v="1032"/>
    <n v="-201.58"/>
    <x v="2210"/>
    <n v="1887.79"/>
    <s v="Complete Access"/>
    <x v="438"/>
    <x v="12"/>
    <x v="21"/>
    <d v="1900-01-10T00:00:00"/>
    <n v="24"/>
    <x v="8"/>
    <x v="4"/>
  </r>
  <r>
    <x v="1033"/>
    <n v="-500"/>
    <x v="656"/>
    <n v="1589.37"/>
    <s v="Complete Access"/>
    <x v="13"/>
    <x v="0"/>
    <x v="0"/>
    <d v="1900-01-09T00:00:00"/>
    <n v="24"/>
    <x v="8"/>
    <x v="4"/>
  </r>
  <r>
    <x v="1033"/>
    <n v="-100"/>
    <x v="2189"/>
    <n v="2089.37"/>
    <s v="Complete Access"/>
    <x v="552"/>
    <x v="0"/>
    <x v="74"/>
    <d v="1900-01-09T00:00:00"/>
    <n v="24"/>
    <x v="8"/>
    <x v="4"/>
  </r>
  <r>
    <x v="1033"/>
    <n v="500"/>
    <x v="2211"/>
    <n v="2089.37"/>
    <s v="Complete Access"/>
    <x v="36"/>
    <x v="0"/>
    <x v="0"/>
    <d v="1900-01-09T00:00:00"/>
    <n v="24"/>
    <x v="8"/>
    <x v="4"/>
  </r>
  <r>
    <x v="1033"/>
    <n v="-10"/>
    <x v="2212"/>
    <n v="2189.37"/>
    <s v="Complete Access"/>
    <x v="433"/>
    <x v="7"/>
    <x v="53"/>
    <d v="1900-01-09T00:00:00"/>
    <n v="24"/>
    <x v="8"/>
    <x v="4"/>
  </r>
  <r>
    <x v="1033"/>
    <n v="2163.7399999999998"/>
    <x v="2213"/>
    <n v="2199.37"/>
    <s v="Complete Access"/>
    <x v="14"/>
    <x v="6"/>
    <x v="9"/>
    <d v="1900-01-09T00:00:00"/>
    <n v="24"/>
    <x v="8"/>
    <x v="4"/>
  </r>
  <r>
    <x v="1034"/>
    <n v="-25"/>
    <x v="2214"/>
    <n v="35.630000000000003"/>
    <s v="Complete Access"/>
    <x v="0"/>
    <x v="0"/>
    <x v="0"/>
    <d v="1900-01-08T00:00:00"/>
    <n v="24"/>
    <x v="8"/>
    <x v="4"/>
  </r>
  <r>
    <x v="1034"/>
    <n v="-24"/>
    <x v="1720"/>
    <n v="60.63"/>
    <s v="Complete Access"/>
    <x v="0"/>
    <x v="0"/>
    <x v="0"/>
    <d v="1900-01-08T00:00:00"/>
    <n v="24"/>
    <x v="8"/>
    <x v="4"/>
  </r>
  <r>
    <x v="1034"/>
    <n v="67"/>
    <x v="2215"/>
    <n v="84.63"/>
    <s v="Complete Access"/>
    <x v="36"/>
    <x v="0"/>
    <x v="0"/>
    <d v="1900-01-08T00:00:00"/>
    <n v="24"/>
    <x v="8"/>
    <x v="4"/>
  </r>
  <r>
    <x v="1034"/>
    <n v="-15.93"/>
    <x v="2216"/>
    <n v="45.81"/>
    <s v="Complete Access"/>
    <x v="56"/>
    <x v="9"/>
    <x v="31"/>
    <d v="1900-01-08T00:00:00"/>
    <n v="24"/>
    <x v="8"/>
    <x v="4"/>
  </r>
  <r>
    <x v="1034"/>
    <n v="-28.18"/>
    <x v="2217"/>
    <n v="17.63"/>
    <s v="Complete Access"/>
    <x v="1"/>
    <x v="1"/>
    <x v="1"/>
    <d v="1900-01-08T00:00:00"/>
    <n v="24"/>
    <x v="8"/>
    <x v="4"/>
  </r>
  <r>
    <x v="1035"/>
    <n v="-12.14"/>
    <x v="2218"/>
    <n v="61.74"/>
    <s v="Complete Access"/>
    <x v="333"/>
    <x v="1"/>
    <x v="5"/>
    <d v="1900-01-07T00:00:00"/>
    <n v="24"/>
    <x v="8"/>
    <x v="4"/>
  </r>
  <r>
    <x v="1035"/>
    <n v="-4"/>
    <x v="2219"/>
    <n v="73.88"/>
    <s v="Complete Access"/>
    <x v="1"/>
    <x v="1"/>
    <x v="1"/>
    <d v="1900-01-07T00:00:00"/>
    <n v="24"/>
    <x v="8"/>
    <x v="4"/>
  </r>
  <r>
    <x v="1036"/>
    <n v="-8.0399999999999991"/>
    <x v="2135"/>
    <n v="77.88"/>
    <s v="Complete Access"/>
    <x v="215"/>
    <x v="1"/>
    <x v="1"/>
    <d v="1900-01-05T00:00:00"/>
    <n v="24"/>
    <x v="8"/>
    <x v="4"/>
  </r>
  <r>
    <x v="1037"/>
    <n v="-1526.08"/>
    <x v="2220"/>
    <n v="85.92"/>
    <s v="Complete Access"/>
    <x v="555"/>
    <x v="10"/>
    <x v="75"/>
    <d v="1900-01-04T00:00:00"/>
    <n v="23"/>
    <x v="8"/>
    <x v="4"/>
  </r>
  <r>
    <x v="1038"/>
    <n v="-380"/>
    <x v="2183"/>
    <n v="1612"/>
    <s v="Complete Access"/>
    <x v="0"/>
    <x v="0"/>
    <x v="0"/>
    <d v="1900-01-03T00:00:00"/>
    <n v="23"/>
    <x v="8"/>
    <x v="4"/>
  </r>
  <r>
    <x v="1038"/>
    <n v="-10"/>
    <x v="2221"/>
    <n v="1992"/>
    <s v="Complete Access"/>
    <x v="61"/>
    <x v="1"/>
    <x v="1"/>
    <d v="1900-01-03T00:00:00"/>
    <n v="23"/>
    <x v="8"/>
    <x v="4"/>
  </r>
  <r>
    <x v="1038"/>
    <n v="-11"/>
    <x v="2222"/>
    <n v="2002"/>
    <s v="Complete Access"/>
    <x v="16"/>
    <x v="1"/>
    <x v="5"/>
    <d v="1900-01-03T00:00:00"/>
    <n v="23"/>
    <x v="8"/>
    <x v="4"/>
  </r>
  <r>
    <x v="1039"/>
    <n v="-380"/>
    <x v="2183"/>
    <n v="1213"/>
    <s v="Complete Access"/>
    <x v="0"/>
    <x v="0"/>
    <x v="0"/>
    <d v="1900-01-02T00:00:00"/>
    <n v="23"/>
    <x v="8"/>
    <x v="4"/>
  </r>
  <r>
    <x v="1039"/>
    <n v="-40"/>
    <x v="2223"/>
    <n v="1593"/>
    <s v="Complete Access"/>
    <x v="12"/>
    <x v="5"/>
    <x v="8"/>
    <d v="1900-01-02T00:00:00"/>
    <n v="23"/>
    <x v="8"/>
    <x v="4"/>
  </r>
  <r>
    <x v="1039"/>
    <n v="800"/>
    <x v="370"/>
    <n v="2013"/>
    <s v="Complete Access"/>
    <x v="36"/>
    <x v="0"/>
    <x v="0"/>
    <d v="1900-01-02T00:00:00"/>
    <n v="23"/>
    <x v="8"/>
    <x v="4"/>
  </r>
  <r>
    <x v="1040"/>
    <n v="-14.39"/>
    <x v="2224"/>
    <n v="1633"/>
    <s v="Complete Access"/>
    <x v="556"/>
    <x v="15"/>
    <x v="34"/>
    <d v="1900-01-01T00:00:00"/>
    <n v="23"/>
    <x v="8"/>
    <x v="4"/>
  </r>
  <r>
    <x v="1041"/>
    <n v="-15.22"/>
    <x v="2225"/>
    <n v="2104.4299999999998"/>
    <s v="Complete Access"/>
    <x v="8"/>
    <x v="1"/>
    <x v="5"/>
    <d v="1899-12-31T00:00:00"/>
    <n v="23"/>
    <x v="8"/>
    <x v="4"/>
  </r>
  <r>
    <x v="1041"/>
    <n v="-45.33"/>
    <x v="2226"/>
    <n v="2059.1"/>
    <s v="Complete Access"/>
    <x v="8"/>
    <x v="1"/>
    <x v="5"/>
    <d v="1899-12-31T00:00:00"/>
    <n v="23"/>
    <x v="8"/>
    <x v="4"/>
  </r>
  <r>
    <x v="1041"/>
    <n v="-64.989999999999995"/>
    <x v="2227"/>
    <n v="1900.84"/>
    <s v="Complete Access"/>
    <x v="8"/>
    <x v="1"/>
    <x v="5"/>
    <d v="1899-12-31T00:00:00"/>
    <n v="23"/>
    <x v="8"/>
    <x v="4"/>
  </r>
  <r>
    <x v="1041"/>
    <n v="-28.95"/>
    <x v="2228"/>
    <n v="1965.83"/>
    <s v="Complete Access"/>
    <x v="165"/>
    <x v="8"/>
    <x v="22"/>
    <d v="1899-12-31T00:00:00"/>
    <n v="23"/>
    <x v="8"/>
    <x v="4"/>
  </r>
  <r>
    <x v="1041"/>
    <n v="-20"/>
    <x v="2229"/>
    <n v="2240.65"/>
    <s v="Complete Access"/>
    <x v="557"/>
    <x v="7"/>
    <x v="53"/>
    <d v="1899-12-31T00:00:00"/>
    <n v="23"/>
    <x v="8"/>
    <x v="4"/>
  </r>
  <r>
    <x v="1041"/>
    <n v="-179.45"/>
    <x v="2230"/>
    <n v="1647.39"/>
    <s v="Complete Access"/>
    <x v="76"/>
    <x v="2"/>
    <x v="2"/>
    <d v="1899-12-31T00:00:00"/>
    <n v="23"/>
    <x v="8"/>
    <x v="4"/>
  </r>
  <r>
    <x v="1041"/>
    <n v="-18.579999999999998"/>
    <x v="2231"/>
    <n v="1994.78"/>
    <s v="Complete Access"/>
    <x v="190"/>
    <x v="8"/>
    <x v="29"/>
    <d v="1899-12-31T00:00:00"/>
    <n v="23"/>
    <x v="8"/>
    <x v="4"/>
  </r>
  <r>
    <x v="1041"/>
    <n v="-21.21"/>
    <x v="2231"/>
    <n v="2013.36"/>
    <s v="Complete Access"/>
    <x v="190"/>
    <x v="8"/>
    <x v="29"/>
    <d v="1899-12-31T00:00:00"/>
    <n v="23"/>
    <x v="8"/>
    <x v="4"/>
  </r>
  <r>
    <x v="1041"/>
    <n v="-18.579999999999998"/>
    <x v="2231"/>
    <n v="2034.57"/>
    <s v="Complete Access"/>
    <x v="190"/>
    <x v="8"/>
    <x v="29"/>
    <d v="1899-12-31T00:00:00"/>
    <n v="23"/>
    <x v="8"/>
    <x v="4"/>
  </r>
  <r>
    <x v="1041"/>
    <n v="-74"/>
    <x v="2232"/>
    <n v="1826.84"/>
    <s v="Complete Access"/>
    <x v="243"/>
    <x v="1"/>
    <x v="23"/>
    <d v="1899-12-31T00:00:00"/>
    <n v="23"/>
    <x v="8"/>
    <x v="4"/>
  </r>
  <r>
    <x v="1041"/>
    <n v="-51"/>
    <x v="2233"/>
    <n v="2119.65"/>
    <s v="Complete Access"/>
    <x v="425"/>
    <x v="8"/>
    <x v="29"/>
    <d v="1899-12-31T00:00:00"/>
    <n v="23"/>
    <x v="8"/>
    <x v="4"/>
  </r>
  <r>
    <x v="1041"/>
    <n v="-27"/>
    <x v="2233"/>
    <n v="2170.65"/>
    <s v="Complete Access"/>
    <x v="425"/>
    <x v="8"/>
    <x v="29"/>
    <d v="1899-12-31T00:00:00"/>
    <n v="23"/>
    <x v="8"/>
    <x v="4"/>
  </r>
  <r>
    <x v="1041"/>
    <n v="-22"/>
    <x v="2233"/>
    <n v="2197.65"/>
    <s v="Complete Access"/>
    <x v="425"/>
    <x v="8"/>
    <x v="29"/>
    <d v="1899-12-31T00:00:00"/>
    <n v="23"/>
    <x v="8"/>
    <x v="4"/>
  </r>
  <r>
    <x v="1041"/>
    <n v="-21"/>
    <x v="2233"/>
    <n v="2219.65"/>
    <s v="Complete Access"/>
    <x v="425"/>
    <x v="8"/>
    <x v="29"/>
    <d v="1899-12-31T00:00:00"/>
    <n v="23"/>
    <x v="8"/>
    <x v="4"/>
  </r>
  <r>
    <x v="1041"/>
    <n v="-5.95"/>
    <x v="2234"/>
    <n v="2053.15"/>
    <s v="Complete Access"/>
    <x v="392"/>
    <x v="3"/>
    <x v="26"/>
    <d v="1899-12-31T00:00:00"/>
    <n v="23"/>
    <x v="8"/>
    <x v="4"/>
  </r>
  <r>
    <x v="1042"/>
    <n v="-100"/>
    <x v="2189"/>
    <n v="2258.5500000000002"/>
    <s v="Complete Access"/>
    <x v="552"/>
    <x v="0"/>
    <x v="74"/>
    <d v="1900-01-28T00:00:00"/>
    <n v="22"/>
    <x v="9"/>
    <x v="4"/>
  </r>
  <r>
    <x v="1042"/>
    <n v="10"/>
    <x v="2235"/>
    <n v="2260.65"/>
    <s v="Complete Access"/>
    <x v="36"/>
    <x v="0"/>
    <x v="0"/>
    <d v="1900-01-28T00:00:00"/>
    <n v="22"/>
    <x v="9"/>
    <x v="4"/>
  </r>
  <r>
    <x v="1042"/>
    <n v="-7.9"/>
    <x v="2236"/>
    <n v="2250.65"/>
    <s v="Complete Access"/>
    <x v="277"/>
    <x v="8"/>
    <x v="29"/>
    <d v="1900-01-28T00:00:00"/>
    <n v="22"/>
    <x v="9"/>
    <x v="4"/>
  </r>
  <r>
    <x v="1043"/>
    <n v="-18"/>
    <x v="69"/>
    <n v="2358.5500000000002"/>
    <s v="Complete Access"/>
    <x v="0"/>
    <x v="0"/>
    <x v="0"/>
    <d v="1900-01-27T00:00:00"/>
    <n v="22"/>
    <x v="9"/>
    <x v="4"/>
  </r>
  <r>
    <x v="1043"/>
    <n v="-6.3"/>
    <x v="2135"/>
    <n v="2376.5500000000002"/>
    <s v="Complete Access"/>
    <x v="215"/>
    <x v="1"/>
    <x v="1"/>
    <d v="1900-01-27T00:00:00"/>
    <n v="22"/>
    <x v="9"/>
    <x v="4"/>
  </r>
  <r>
    <x v="1043"/>
    <n v="-8.8000000000000007"/>
    <x v="2237"/>
    <n v="2382.85"/>
    <s v="Complete Access"/>
    <x v="277"/>
    <x v="8"/>
    <x v="29"/>
    <d v="1900-01-27T00:00:00"/>
    <n v="22"/>
    <x v="9"/>
    <x v="4"/>
  </r>
  <r>
    <x v="1044"/>
    <n v="-500"/>
    <x v="656"/>
    <n v="2391.65"/>
    <s v="Complete Access"/>
    <x v="13"/>
    <x v="0"/>
    <x v="0"/>
    <d v="1900-01-26T00:00:00"/>
    <n v="22"/>
    <x v="9"/>
    <x v="4"/>
  </r>
  <r>
    <x v="1044"/>
    <n v="2163.7399999999998"/>
    <x v="2238"/>
    <n v="2891.65"/>
    <s v="Complete Access"/>
    <x v="14"/>
    <x v="6"/>
    <x v="9"/>
    <d v="1900-01-26T00:00:00"/>
    <n v="22"/>
    <x v="9"/>
    <x v="4"/>
  </r>
  <r>
    <x v="1045"/>
    <n v="-32.950000000000003"/>
    <x v="2239"/>
    <n v="763.5"/>
    <s v="Complete Access"/>
    <x v="343"/>
    <x v="1"/>
    <x v="5"/>
    <d v="1900-01-25T00:00:00"/>
    <n v="22"/>
    <x v="9"/>
    <x v="4"/>
  </r>
  <r>
    <x v="1045"/>
    <n v="-35.590000000000003"/>
    <x v="2240"/>
    <n v="727.91"/>
    <s v="Complete Access"/>
    <x v="343"/>
    <x v="1"/>
    <x v="5"/>
    <d v="1900-01-25T00:00:00"/>
    <n v="22"/>
    <x v="9"/>
    <x v="4"/>
  </r>
  <r>
    <x v="1045"/>
    <n v="-12.77"/>
    <x v="2241"/>
    <n v="796.45"/>
    <s v="Complete Access"/>
    <x v="10"/>
    <x v="0"/>
    <x v="0"/>
    <d v="1900-01-25T00:00:00"/>
    <n v="22"/>
    <x v="9"/>
    <x v="4"/>
  </r>
  <r>
    <x v="1045"/>
    <n v="-425.75"/>
    <x v="2242"/>
    <n v="809.22"/>
    <s v="Complete Access"/>
    <x v="558"/>
    <x v="10"/>
    <x v="13"/>
    <d v="1900-01-25T00:00:00"/>
    <n v="22"/>
    <x v="9"/>
    <x v="4"/>
  </r>
  <r>
    <x v="1046"/>
    <n v="20"/>
    <x v="2243"/>
    <n v="1290.6400000000001"/>
    <s v="Complete Access"/>
    <x v="36"/>
    <x v="0"/>
    <x v="0"/>
    <d v="1900-01-23T00:00:00"/>
    <n v="22"/>
    <x v="9"/>
    <x v="4"/>
  </r>
  <r>
    <x v="1046"/>
    <n v="-55.67"/>
    <x v="2105"/>
    <n v="1234.97"/>
    <s v="Complete Access"/>
    <x v="4"/>
    <x v="1"/>
    <x v="1"/>
    <d v="1900-01-23T00:00:00"/>
    <n v="22"/>
    <x v="9"/>
    <x v="4"/>
  </r>
  <r>
    <x v="1047"/>
    <n v="-25.5"/>
    <x v="69"/>
    <n v="1295.6400000000001"/>
    <s v="Complete Access"/>
    <x v="0"/>
    <x v="0"/>
    <x v="0"/>
    <d v="1900-01-22T00:00:00"/>
    <n v="22"/>
    <x v="9"/>
    <x v="4"/>
  </r>
  <r>
    <x v="1047"/>
    <n v="-25"/>
    <x v="69"/>
    <n v="1270.6400000000001"/>
    <s v="Complete Access"/>
    <x v="0"/>
    <x v="0"/>
    <x v="0"/>
    <d v="1900-01-22T00:00:00"/>
    <n v="22"/>
    <x v="9"/>
    <x v="4"/>
  </r>
  <r>
    <x v="1048"/>
    <n v="-100"/>
    <x v="2189"/>
    <n v="1321.14"/>
    <s v="Complete Access"/>
    <x v="552"/>
    <x v="0"/>
    <x v="74"/>
    <d v="1900-01-21T00:00:00"/>
    <n v="21"/>
    <x v="9"/>
    <x v="4"/>
  </r>
  <r>
    <x v="1048"/>
    <n v="-12.65"/>
    <x v="2244"/>
    <n v="1428.14"/>
    <s v="Complete Access"/>
    <x v="188"/>
    <x v="1"/>
    <x v="1"/>
    <d v="1900-01-21T00:00:00"/>
    <n v="21"/>
    <x v="9"/>
    <x v="4"/>
  </r>
  <r>
    <x v="1048"/>
    <n v="-7"/>
    <x v="2245"/>
    <n v="1421.14"/>
    <s v="Complete Access"/>
    <x v="277"/>
    <x v="8"/>
    <x v="29"/>
    <d v="1900-01-21T00:00:00"/>
    <n v="21"/>
    <x v="9"/>
    <x v="4"/>
  </r>
  <r>
    <x v="1049"/>
    <n v="-40"/>
    <x v="2246"/>
    <n v="1459.09"/>
    <s v="Complete Access"/>
    <x v="12"/>
    <x v="5"/>
    <x v="8"/>
    <d v="1900-01-20T00:00:00"/>
    <n v="21"/>
    <x v="9"/>
    <x v="4"/>
  </r>
  <r>
    <x v="1049"/>
    <n v="-8.5"/>
    <x v="436"/>
    <n v="1440.79"/>
    <s v="Complete Access"/>
    <x v="186"/>
    <x v="1"/>
    <x v="5"/>
    <d v="1900-01-20T00:00:00"/>
    <n v="21"/>
    <x v="9"/>
    <x v="4"/>
  </r>
  <r>
    <x v="1049"/>
    <n v="-9.8000000000000007"/>
    <x v="2247"/>
    <n v="1449.29"/>
    <s v="Complete Access"/>
    <x v="277"/>
    <x v="8"/>
    <x v="29"/>
    <d v="1900-01-20T00:00:00"/>
    <n v="21"/>
    <x v="9"/>
    <x v="4"/>
  </r>
  <r>
    <x v="1050"/>
    <n v="-59"/>
    <x v="2248"/>
    <n v="1575.38"/>
    <s v="Complete Access"/>
    <x v="207"/>
    <x v="7"/>
    <x v="11"/>
    <d v="1900-01-18T00:00:00"/>
    <n v="21"/>
    <x v="9"/>
    <x v="4"/>
  </r>
  <r>
    <x v="1050"/>
    <n v="-9.98"/>
    <x v="2249"/>
    <n v="1499.09"/>
    <s v="Complete Access"/>
    <x v="559"/>
    <x v="20"/>
    <x v="63"/>
    <d v="1900-01-18T00:00:00"/>
    <n v="21"/>
    <x v="9"/>
    <x v="4"/>
  </r>
  <r>
    <x v="1050"/>
    <n v="-66.31"/>
    <x v="2250"/>
    <n v="1509.07"/>
    <s v="Complete Access"/>
    <x v="560"/>
    <x v="9"/>
    <x v="12"/>
    <d v="1900-01-18T00:00:00"/>
    <n v="21"/>
    <x v="9"/>
    <x v="4"/>
  </r>
  <r>
    <x v="1051"/>
    <n v="-23.99"/>
    <x v="2251"/>
    <n v="1634.38"/>
    <s v="Complete Access"/>
    <x v="8"/>
    <x v="1"/>
    <x v="5"/>
    <d v="1900-01-17T00:00:00"/>
    <n v="21"/>
    <x v="9"/>
    <x v="4"/>
  </r>
  <r>
    <x v="1051"/>
    <n v="-39"/>
    <x v="2252"/>
    <n v="1658.37"/>
    <s v="Complete Access"/>
    <x v="561"/>
    <x v="8"/>
    <x v="22"/>
    <d v="1900-01-17T00:00:00"/>
    <n v="21"/>
    <x v="9"/>
    <x v="4"/>
  </r>
  <r>
    <x v="1052"/>
    <n v="-18"/>
    <x v="69"/>
    <n v="1697.37"/>
    <s v="Complete Access"/>
    <x v="0"/>
    <x v="0"/>
    <x v="0"/>
    <d v="1900-01-15T00:00:00"/>
    <n v="21"/>
    <x v="9"/>
    <x v="4"/>
  </r>
  <r>
    <x v="1053"/>
    <n v="-100"/>
    <x v="2189"/>
    <n v="1774.87"/>
    <s v="Complete Access"/>
    <x v="552"/>
    <x v="0"/>
    <x v="74"/>
    <d v="1900-01-14T00:00:00"/>
    <n v="20"/>
    <x v="9"/>
    <x v="4"/>
  </r>
  <r>
    <x v="1053"/>
    <n v="-16"/>
    <x v="2253"/>
    <n v="1874.87"/>
    <s v="Complete Access"/>
    <x v="562"/>
    <x v="1"/>
    <x v="5"/>
    <d v="1900-01-14T00:00:00"/>
    <n v="20"/>
    <x v="9"/>
    <x v="4"/>
  </r>
  <r>
    <x v="1053"/>
    <n v="-16"/>
    <x v="2254"/>
    <n v="1900.77"/>
    <s v="Complete Access"/>
    <x v="563"/>
    <x v="9"/>
    <x v="32"/>
    <d v="1900-01-14T00:00:00"/>
    <n v="20"/>
    <x v="9"/>
    <x v="4"/>
  </r>
  <r>
    <x v="1053"/>
    <n v="-21.5"/>
    <x v="2255"/>
    <n v="1753.37"/>
    <s v="Complete Access"/>
    <x v="564"/>
    <x v="1"/>
    <x v="5"/>
    <d v="1900-01-14T00:00:00"/>
    <n v="20"/>
    <x v="9"/>
    <x v="4"/>
  </r>
  <r>
    <x v="1053"/>
    <n v="-38"/>
    <x v="2256"/>
    <n v="1715.37"/>
    <s v="Complete Access"/>
    <x v="565"/>
    <x v="8"/>
    <x v="29"/>
    <d v="1900-01-14T00:00:00"/>
    <n v="20"/>
    <x v="9"/>
    <x v="4"/>
  </r>
  <r>
    <x v="1053"/>
    <n v="-9.9"/>
    <x v="2257"/>
    <n v="1890.87"/>
    <s v="Complete Access"/>
    <x v="277"/>
    <x v="8"/>
    <x v="29"/>
    <d v="1900-01-14T00:00:00"/>
    <n v="20"/>
    <x v="9"/>
    <x v="4"/>
  </r>
  <r>
    <x v="1054"/>
    <n v="-64.48"/>
    <x v="2258"/>
    <n v="1916.77"/>
    <s v="Complete Access"/>
    <x v="4"/>
    <x v="1"/>
    <x v="1"/>
    <d v="1900-01-13T00:00:00"/>
    <n v="20"/>
    <x v="9"/>
    <x v="4"/>
  </r>
  <r>
    <x v="1055"/>
    <n v="-500"/>
    <x v="656"/>
    <n v="2531.0100000000002"/>
    <s v="Complete Access"/>
    <x v="13"/>
    <x v="0"/>
    <x v="0"/>
    <d v="1900-01-12T00:00:00"/>
    <n v="20"/>
    <x v="9"/>
    <x v="4"/>
  </r>
  <r>
    <x v="1055"/>
    <n v="-487.5"/>
    <x v="2259"/>
    <n v="1981.25"/>
    <s v="Complete Access"/>
    <x v="0"/>
    <x v="0"/>
    <x v="0"/>
    <d v="1900-01-12T00:00:00"/>
    <n v="20"/>
    <x v="9"/>
    <x v="4"/>
  </r>
  <r>
    <x v="1055"/>
    <n v="-40"/>
    <x v="2260"/>
    <n v="3053.24"/>
    <s v="Complete Access"/>
    <x v="12"/>
    <x v="5"/>
    <x v="8"/>
    <d v="1900-01-12T00:00:00"/>
    <n v="20"/>
    <x v="9"/>
    <x v="4"/>
  </r>
  <r>
    <x v="1055"/>
    <n v="63"/>
    <x v="2215"/>
    <n v="2594.0100000000002"/>
    <s v="Complete Access"/>
    <x v="36"/>
    <x v="0"/>
    <x v="0"/>
    <d v="1900-01-12T00:00:00"/>
    <n v="20"/>
    <x v="9"/>
    <x v="4"/>
  </r>
  <r>
    <x v="1055"/>
    <n v="62.62"/>
    <x v="2261"/>
    <n v="2656.63"/>
    <s v="Complete Access"/>
    <x v="36"/>
    <x v="0"/>
    <x v="0"/>
    <d v="1900-01-12T00:00:00"/>
    <n v="20"/>
    <x v="9"/>
    <x v="4"/>
  </r>
  <r>
    <x v="1055"/>
    <n v="2156.08"/>
    <x v="2262"/>
    <n v="3093.24"/>
    <s v="Complete Access"/>
    <x v="14"/>
    <x v="6"/>
    <x v="9"/>
    <d v="1900-01-12T00:00:00"/>
    <n v="20"/>
    <x v="9"/>
    <x v="4"/>
  </r>
  <r>
    <x v="1055"/>
    <n v="-22.23"/>
    <x v="2263"/>
    <n v="3031.01"/>
    <s v="Complete Access"/>
    <x v="343"/>
    <x v="1"/>
    <x v="5"/>
    <d v="1900-01-12T00:00:00"/>
    <n v="20"/>
    <x v="9"/>
    <x v="4"/>
  </r>
  <r>
    <x v="1055"/>
    <n v="-187.88"/>
    <x v="2264"/>
    <n v="2468.75"/>
    <s v="Complete Access"/>
    <x v="438"/>
    <x v="12"/>
    <x v="21"/>
    <d v="1900-01-12T00:00:00"/>
    <n v="20"/>
    <x v="9"/>
    <x v="4"/>
  </r>
  <r>
    <x v="1056"/>
    <n v="-44.12"/>
    <x v="2265"/>
    <n v="920.26"/>
    <s v="Complete Access"/>
    <x v="8"/>
    <x v="1"/>
    <x v="5"/>
    <d v="1900-01-11T00:00:00"/>
    <n v="20"/>
    <x v="9"/>
    <x v="4"/>
  </r>
  <r>
    <x v="1056"/>
    <n v="16.899999999999999"/>
    <x v="2266"/>
    <n v="937.16"/>
    <s v="Complete Access"/>
    <x v="27"/>
    <x v="1"/>
    <x v="5"/>
    <d v="1900-01-11T00:00:00"/>
    <n v="20"/>
    <x v="9"/>
    <x v="4"/>
  </r>
  <r>
    <x v="1056"/>
    <n v="-38.4"/>
    <x v="2267"/>
    <n v="964.38"/>
    <s v="Complete Access"/>
    <x v="343"/>
    <x v="1"/>
    <x v="5"/>
    <d v="1900-01-11T00:00:00"/>
    <n v="20"/>
    <x v="9"/>
    <x v="4"/>
  </r>
  <r>
    <x v="1057"/>
    <n v="-6.8"/>
    <x v="2268"/>
    <n v="1002.78"/>
    <s v="Complete Access"/>
    <x v="188"/>
    <x v="1"/>
    <x v="1"/>
    <d v="1900-01-10T00:00:00"/>
    <n v="20"/>
    <x v="9"/>
    <x v="4"/>
  </r>
  <r>
    <x v="1057"/>
    <n v="-38.729999999999997"/>
    <x v="2269"/>
    <n v="1025.58"/>
    <s v="Complete Access"/>
    <x v="8"/>
    <x v="1"/>
    <x v="5"/>
    <d v="1900-01-10T00:00:00"/>
    <n v="20"/>
    <x v="9"/>
    <x v="4"/>
  </r>
  <r>
    <x v="1057"/>
    <n v="-26.74"/>
    <x v="2270"/>
    <n v="1064.31"/>
    <s v="Complete Access"/>
    <x v="8"/>
    <x v="1"/>
    <x v="5"/>
    <d v="1900-01-10T00:00:00"/>
    <n v="20"/>
    <x v="9"/>
    <x v="4"/>
  </r>
  <r>
    <x v="1057"/>
    <n v="-16"/>
    <x v="2271"/>
    <n v="1009.58"/>
    <s v="Complete Access"/>
    <x v="562"/>
    <x v="1"/>
    <x v="5"/>
    <d v="1900-01-10T00:00:00"/>
    <n v="20"/>
    <x v="9"/>
    <x v="4"/>
  </r>
  <r>
    <x v="1058"/>
    <n v="32"/>
    <x v="2266"/>
    <n v="1091.05"/>
    <s v="Complete Access"/>
    <x v="27"/>
    <x v="1"/>
    <x v="5"/>
    <d v="1900-01-09T00:00:00"/>
    <n v="20"/>
    <x v="9"/>
    <x v="4"/>
  </r>
  <r>
    <x v="1059"/>
    <n v="-200"/>
    <x v="2272"/>
    <n v="1059.05"/>
    <s v="Complete Access"/>
    <x v="0"/>
    <x v="0"/>
    <x v="0"/>
    <d v="1900-01-08T00:00:00"/>
    <n v="20"/>
    <x v="9"/>
    <x v="4"/>
  </r>
  <r>
    <x v="1060"/>
    <n v="-23.1"/>
    <x v="2273"/>
    <n v="1259.05"/>
    <s v="Complete Access"/>
    <x v="0"/>
    <x v="0"/>
    <x v="0"/>
    <d v="1900-01-07T00:00:00"/>
    <n v="19"/>
    <x v="9"/>
    <x v="4"/>
  </r>
  <r>
    <x v="1060"/>
    <n v="-100"/>
    <x v="2274"/>
    <n v="1282.1500000000001"/>
    <s v="Complete Access"/>
    <x v="552"/>
    <x v="0"/>
    <x v="74"/>
    <d v="1900-01-07T00:00:00"/>
    <n v="19"/>
    <x v="9"/>
    <x v="4"/>
  </r>
  <r>
    <x v="1060"/>
    <n v="-8"/>
    <x v="2275"/>
    <n v="1382.15"/>
    <s v="Complete Access"/>
    <x v="277"/>
    <x v="8"/>
    <x v="29"/>
    <d v="1900-01-07T00:00:00"/>
    <n v="19"/>
    <x v="9"/>
    <x v="4"/>
  </r>
  <r>
    <x v="1061"/>
    <n v="-17.399999999999999"/>
    <x v="2276"/>
    <n v="1390.15"/>
    <s v="Complete Access"/>
    <x v="186"/>
    <x v="1"/>
    <x v="5"/>
    <d v="1900-01-06T00:00:00"/>
    <n v="19"/>
    <x v="9"/>
    <x v="4"/>
  </r>
  <r>
    <x v="1062"/>
    <n v="200"/>
    <x v="2277"/>
    <n v="1407.55"/>
    <s v="Complete Access"/>
    <x v="566"/>
    <x v="0"/>
    <x v="69"/>
    <d v="1900-01-05T00:00:00"/>
    <n v="19"/>
    <x v="9"/>
    <x v="4"/>
  </r>
  <r>
    <x v="1063"/>
    <n v="-6.2"/>
    <x v="2278"/>
    <n v="1207.55"/>
    <s v="Complete Access"/>
    <x v="218"/>
    <x v="8"/>
    <x v="29"/>
    <d v="1900-01-04T00:00:00"/>
    <n v="19"/>
    <x v="9"/>
    <x v="4"/>
  </r>
  <r>
    <x v="1063"/>
    <n v="-31.4"/>
    <x v="2278"/>
    <n v="1213.75"/>
    <s v="Complete Access"/>
    <x v="218"/>
    <x v="8"/>
    <x v="29"/>
    <d v="1900-01-04T00:00:00"/>
    <n v="19"/>
    <x v="9"/>
    <x v="4"/>
  </r>
  <r>
    <x v="1064"/>
    <n v="-23.99"/>
    <x v="2279"/>
    <n v="1253.58"/>
    <s v="Complete Access"/>
    <x v="8"/>
    <x v="1"/>
    <x v="5"/>
    <d v="1900-01-03T00:00:00"/>
    <n v="19"/>
    <x v="9"/>
    <x v="4"/>
  </r>
  <r>
    <x v="1064"/>
    <n v="-11.06"/>
    <x v="2280"/>
    <n v="1242.52"/>
    <s v="Complete Access"/>
    <x v="423"/>
    <x v="1"/>
    <x v="5"/>
    <d v="1900-01-03T00:00:00"/>
    <n v="19"/>
    <x v="9"/>
    <x v="4"/>
  </r>
  <r>
    <x v="1064"/>
    <n v="-60"/>
    <x v="2281"/>
    <n v="1245.1500000000001"/>
    <s v="Complete Access"/>
    <x v="0"/>
    <x v="0"/>
    <x v="0"/>
    <d v="1900-01-03T00:00:00"/>
    <n v="19"/>
    <x v="9"/>
    <x v="4"/>
  </r>
  <r>
    <x v="1064"/>
    <n v="62.63"/>
    <x v="2282"/>
    <n v="1305.1500000000001"/>
    <s v="Complete Access"/>
    <x v="567"/>
    <x v="0"/>
    <x v="69"/>
    <d v="1900-01-03T00:00:00"/>
    <n v="19"/>
    <x v="9"/>
    <x v="4"/>
  </r>
  <r>
    <x v="1065"/>
    <n v="-179.45"/>
    <x v="2283"/>
    <n v="1277.57"/>
    <s v="Complete Access"/>
    <x v="76"/>
    <x v="2"/>
    <x v="2"/>
    <d v="1900-01-02T00:00:00"/>
    <n v="19"/>
    <x v="9"/>
    <x v="4"/>
  </r>
  <r>
    <x v="1066"/>
    <n v="-70.38"/>
    <x v="2284"/>
    <n v="1457.02"/>
    <s v="Complete Access"/>
    <x v="568"/>
    <x v="0"/>
    <x v="69"/>
    <d v="1900-01-01T00:00:00"/>
    <n v="19"/>
    <x v="9"/>
    <x v="4"/>
  </r>
  <r>
    <x v="1067"/>
    <n v="-9.5"/>
    <x v="2285"/>
    <n v="1647.44"/>
    <s v="Complete Access"/>
    <x v="16"/>
    <x v="1"/>
    <x v="5"/>
    <d v="1899-12-31T00:00:00"/>
    <n v="18"/>
    <x v="9"/>
    <x v="4"/>
  </r>
  <r>
    <x v="1067"/>
    <n v="-20"/>
    <x v="2229"/>
    <n v="1527.44"/>
    <s v="Complete Access"/>
    <x v="557"/>
    <x v="7"/>
    <x v="53"/>
    <d v="1899-12-31T00:00:00"/>
    <n v="18"/>
    <x v="9"/>
    <x v="4"/>
  </r>
  <r>
    <x v="1067"/>
    <n v="-100"/>
    <x v="2274"/>
    <n v="1547.44"/>
    <s v="Complete Access"/>
    <x v="552"/>
    <x v="0"/>
    <x v="74"/>
    <d v="1899-12-31T00:00:00"/>
    <n v="18"/>
    <x v="9"/>
    <x v="4"/>
  </r>
  <r>
    <x v="1067"/>
    <n v="-0.04"/>
    <x v="655"/>
    <n v="1527.4"/>
    <s v="Complete Access"/>
    <x v="249"/>
    <x v="0"/>
    <x v="0"/>
    <d v="1899-12-31T00:00:00"/>
    <n v="18"/>
    <x v="9"/>
    <x v="4"/>
  </r>
  <r>
    <x v="1067"/>
    <n v="-6.5"/>
    <x v="2286"/>
    <n v="1656.94"/>
    <s v="Complete Access"/>
    <x v="186"/>
    <x v="1"/>
    <x v="5"/>
    <d v="1899-12-31T00:00:00"/>
    <n v="18"/>
    <x v="9"/>
    <x v="4"/>
  </r>
  <r>
    <x v="1068"/>
    <n v="-26.74"/>
    <x v="2287"/>
    <n v="1695.68"/>
    <s v="Complete Access"/>
    <x v="8"/>
    <x v="1"/>
    <x v="5"/>
    <d v="1900-01-29T00:00:00"/>
    <n v="18"/>
    <x v="10"/>
    <x v="4"/>
  </r>
  <r>
    <x v="1068"/>
    <n v="-32.24"/>
    <x v="2288"/>
    <n v="1663.44"/>
    <s v="Complete Access"/>
    <x v="556"/>
    <x v="15"/>
    <x v="34"/>
    <d v="1900-01-29T00:00:00"/>
    <n v="18"/>
    <x v="10"/>
    <x v="4"/>
  </r>
  <r>
    <x v="1068"/>
    <n v="-18.59"/>
    <x v="2289"/>
    <n v="1722.42"/>
    <s v="Complete Access"/>
    <x v="104"/>
    <x v="1"/>
    <x v="5"/>
    <d v="1900-01-29T00:00:00"/>
    <n v="18"/>
    <x v="10"/>
    <x v="4"/>
  </r>
  <r>
    <x v="1068"/>
    <n v="-14.95"/>
    <x v="2290"/>
    <n v="1741.01"/>
    <s v="Complete Access"/>
    <x v="569"/>
    <x v="3"/>
    <x v="26"/>
    <d v="1900-01-29T00:00:00"/>
    <n v="18"/>
    <x v="10"/>
    <x v="4"/>
  </r>
  <r>
    <x v="1068"/>
    <n v="-40"/>
    <x v="2291"/>
    <n v="1755.96"/>
    <s v="Complete Access"/>
    <x v="570"/>
    <x v="8"/>
    <x v="29"/>
    <d v="1900-01-29T00:00:00"/>
    <n v="18"/>
    <x v="10"/>
    <x v="4"/>
  </r>
  <r>
    <x v="1069"/>
    <n v="-40"/>
    <x v="2292"/>
    <n v="2357.96"/>
    <s v="Complete Access"/>
    <x v="12"/>
    <x v="5"/>
    <x v="8"/>
    <d v="1900-01-28T00:00:00"/>
    <n v="18"/>
    <x v="10"/>
    <x v="4"/>
  </r>
  <r>
    <x v="1069"/>
    <n v="2143.4699999999998"/>
    <x v="2293"/>
    <n v="2397.96"/>
    <s v="Complete Access"/>
    <x v="14"/>
    <x v="6"/>
    <x v="9"/>
    <d v="1900-01-28T00:00:00"/>
    <n v="18"/>
    <x v="10"/>
    <x v="4"/>
  </r>
  <r>
    <x v="1069"/>
    <n v="-500"/>
    <x v="2294"/>
    <n v="1795.96"/>
    <s v="Complete Access"/>
    <x v="571"/>
    <x v="19"/>
    <x v="61"/>
    <d v="1900-01-28T00:00:00"/>
    <n v="18"/>
    <x v="10"/>
    <x v="4"/>
  </r>
  <r>
    <x v="1069"/>
    <n v="-32.25"/>
    <x v="2295"/>
    <n v="2295.96"/>
    <s v="Complete Access"/>
    <x v="572"/>
    <x v="1"/>
    <x v="5"/>
    <d v="1900-01-28T00:00:00"/>
    <n v="18"/>
    <x v="10"/>
    <x v="4"/>
  </r>
  <r>
    <x v="1069"/>
    <n v="-23.25"/>
    <x v="2296"/>
    <n v="2328.21"/>
    <s v="Complete Access"/>
    <x v="573"/>
    <x v="21"/>
    <x v="76"/>
    <d v="1900-01-28T00:00:00"/>
    <n v="18"/>
    <x v="10"/>
    <x v="4"/>
  </r>
  <r>
    <x v="1069"/>
    <n v="-3.25"/>
    <x v="2297"/>
    <n v="2351.46"/>
    <s v="Complete Access"/>
    <x v="574"/>
    <x v="8"/>
    <x v="29"/>
    <d v="1900-01-28T00:00:00"/>
    <n v="18"/>
    <x v="10"/>
    <x v="4"/>
  </r>
  <r>
    <x v="1069"/>
    <n v="-3.25"/>
    <x v="2297"/>
    <n v="2354.71"/>
    <s v="Complete Access"/>
    <x v="574"/>
    <x v="8"/>
    <x v="29"/>
    <d v="1900-01-28T00:00:00"/>
    <n v="18"/>
    <x v="10"/>
    <x v="4"/>
  </r>
  <r>
    <x v="1070"/>
    <n v="-13.5"/>
    <x v="2298"/>
    <n v="580.77"/>
    <s v="Complete Access"/>
    <x v="47"/>
    <x v="1"/>
    <x v="5"/>
    <d v="1900-01-27T00:00:00"/>
    <n v="18"/>
    <x v="10"/>
    <x v="4"/>
  </r>
  <r>
    <x v="1070"/>
    <n v="-11.1"/>
    <x v="2299"/>
    <n v="594.27"/>
    <s v="Complete Access"/>
    <x v="47"/>
    <x v="1"/>
    <x v="5"/>
    <d v="1900-01-27T00:00:00"/>
    <n v="18"/>
    <x v="10"/>
    <x v="4"/>
  </r>
  <r>
    <x v="1070"/>
    <n v="-100"/>
    <x v="2274"/>
    <n v="605.37"/>
    <s v="Complete Access"/>
    <x v="552"/>
    <x v="0"/>
    <x v="74"/>
    <d v="1900-01-27T00:00:00"/>
    <n v="18"/>
    <x v="10"/>
    <x v="4"/>
  </r>
  <r>
    <x v="1070"/>
    <n v="-75.680000000000007"/>
    <x v="2300"/>
    <n v="254.49"/>
    <s v="Complete Access"/>
    <x v="1"/>
    <x v="1"/>
    <x v="1"/>
    <d v="1900-01-27T00:00:00"/>
    <n v="18"/>
    <x v="10"/>
    <x v="4"/>
  </r>
  <r>
    <x v="1070"/>
    <n v="-245"/>
    <x v="2301"/>
    <n v="335.77"/>
    <s v="Complete Access"/>
    <x v="575"/>
    <x v="17"/>
    <x v="43"/>
    <d v="1900-01-27T00:00:00"/>
    <n v="18"/>
    <x v="10"/>
    <x v="4"/>
  </r>
  <r>
    <x v="1070"/>
    <n v="-5.6"/>
    <x v="2302"/>
    <n v="330.17"/>
    <s v="Complete Access"/>
    <x v="91"/>
    <x v="9"/>
    <x v="12"/>
    <d v="1900-01-27T00:00:00"/>
    <n v="18"/>
    <x v="10"/>
    <x v="4"/>
  </r>
  <r>
    <x v="1071"/>
    <n v="-11.5"/>
    <x v="2303"/>
    <n v="421.37"/>
    <s v="Complete Access"/>
    <x v="576"/>
    <x v="20"/>
    <x v="63"/>
    <d v="1900-01-26T00:00:00"/>
    <n v="18"/>
    <x v="10"/>
    <x v="4"/>
  </r>
  <r>
    <x v="1071"/>
    <n v="200"/>
    <x v="2304"/>
    <n v="705.37"/>
    <s v="Complete Access"/>
    <x v="577"/>
    <x v="0"/>
    <x v="69"/>
    <d v="1900-01-26T00:00:00"/>
    <n v="18"/>
    <x v="10"/>
    <x v="4"/>
  </r>
  <r>
    <x v="1071"/>
    <n v="84"/>
    <x v="2305"/>
    <n v="505.37"/>
    <s v="Complete Access"/>
    <x v="0"/>
    <x v="0"/>
    <x v="0"/>
    <d v="1900-01-26T00:00:00"/>
    <n v="18"/>
    <x v="10"/>
    <x v="4"/>
  </r>
  <r>
    <x v="1071"/>
    <n v="-32.44"/>
    <x v="2306"/>
    <n v="552.87"/>
    <s v="Complete Access"/>
    <x v="578"/>
    <x v="8"/>
    <x v="29"/>
    <d v="1900-01-26T00:00:00"/>
    <n v="18"/>
    <x v="10"/>
    <x v="4"/>
  </r>
  <r>
    <x v="1071"/>
    <n v="-120"/>
    <x v="2307"/>
    <n v="432.87"/>
    <s v="Complete Access"/>
    <x v="579"/>
    <x v="8"/>
    <x v="29"/>
    <d v="1900-01-26T00:00:00"/>
    <n v="18"/>
    <x v="10"/>
    <x v="4"/>
  </r>
  <r>
    <x v="1071"/>
    <n v="-3"/>
    <x v="2308"/>
    <n v="585.30999999999995"/>
    <s v="Complete Access"/>
    <x v="580"/>
    <x v="9"/>
    <x v="12"/>
    <d v="1900-01-26T00:00:00"/>
    <n v="18"/>
    <x v="10"/>
    <x v="4"/>
  </r>
  <r>
    <x v="1071"/>
    <n v="-15.5"/>
    <x v="2308"/>
    <n v="588.30999999999995"/>
    <s v="Complete Access"/>
    <x v="580"/>
    <x v="9"/>
    <x v="12"/>
    <d v="1900-01-26T00:00:00"/>
    <n v="18"/>
    <x v="10"/>
    <x v="4"/>
  </r>
  <r>
    <x v="1072"/>
    <n v="-15"/>
    <x v="2309"/>
    <n v="603.80999999999995"/>
    <s v="Complete Access"/>
    <x v="263"/>
    <x v="0"/>
    <x v="0"/>
    <d v="1900-01-23T00:00:00"/>
    <n v="17"/>
    <x v="10"/>
    <x v="4"/>
  </r>
  <r>
    <x v="1072"/>
    <n v="300"/>
    <x v="2305"/>
    <n v="618.80999999999995"/>
    <s v="Complete Access"/>
    <x v="0"/>
    <x v="0"/>
    <x v="0"/>
    <d v="1900-01-23T00:00:00"/>
    <n v="17"/>
    <x v="10"/>
    <x v="4"/>
  </r>
  <r>
    <x v="1072"/>
    <n v="-13.2"/>
    <x v="2310"/>
    <n v="350.8"/>
    <s v="Complete Access"/>
    <x v="581"/>
    <x v="1"/>
    <x v="5"/>
    <d v="1900-01-23T00:00:00"/>
    <n v="17"/>
    <x v="10"/>
    <x v="4"/>
  </r>
  <r>
    <x v="1072"/>
    <n v="-31.99"/>
    <x v="2311"/>
    <n v="318.81"/>
    <s v="Complete Access"/>
    <x v="34"/>
    <x v="9"/>
    <x v="12"/>
    <d v="1900-01-23T00:00:00"/>
    <n v="17"/>
    <x v="10"/>
    <x v="4"/>
  </r>
  <r>
    <x v="1073"/>
    <n v="-22.49"/>
    <x v="2312"/>
    <n v="372.8"/>
    <s v="Complete Access"/>
    <x v="343"/>
    <x v="1"/>
    <x v="5"/>
    <d v="1900-01-22T00:00:00"/>
    <n v="17"/>
    <x v="10"/>
    <x v="4"/>
  </r>
  <r>
    <x v="1073"/>
    <n v="-8.8000000000000007"/>
    <x v="2313"/>
    <n v="364"/>
    <s v="Complete Access"/>
    <x v="277"/>
    <x v="8"/>
    <x v="29"/>
    <d v="1900-01-22T00:00:00"/>
    <n v="17"/>
    <x v="10"/>
    <x v="4"/>
  </r>
  <r>
    <x v="1074"/>
    <n v="-586.99"/>
    <x v="2314"/>
    <n v="395.29"/>
    <s v="Complete Access"/>
    <x v="582"/>
    <x v="3"/>
    <x v="77"/>
    <d v="1900-01-21T00:00:00"/>
    <n v="17"/>
    <x v="10"/>
    <x v="4"/>
  </r>
  <r>
    <x v="1075"/>
    <n v="-59"/>
    <x v="2315"/>
    <n v="870.74"/>
    <s v="Complete Access"/>
    <x v="207"/>
    <x v="7"/>
    <x v="11"/>
    <d v="1900-01-20T00:00:00"/>
    <n v="17"/>
    <x v="10"/>
    <x v="4"/>
  </r>
  <r>
    <x v="1075"/>
    <n v="195.6"/>
    <x v="2316"/>
    <n v="982.28"/>
    <s v="Complete Access"/>
    <x v="577"/>
    <x v="0"/>
    <x v="69"/>
    <d v="1900-01-20T00:00:00"/>
    <n v="17"/>
    <x v="10"/>
    <x v="4"/>
  </r>
  <r>
    <x v="1075"/>
    <n v="-23.4"/>
    <x v="2317"/>
    <n v="847.34"/>
    <s v="Complete Access"/>
    <x v="343"/>
    <x v="1"/>
    <x v="5"/>
    <d v="1900-01-20T00:00:00"/>
    <n v="17"/>
    <x v="10"/>
    <x v="4"/>
  </r>
  <r>
    <x v="1075"/>
    <n v="-60.66"/>
    <x v="2318"/>
    <n v="786.68"/>
    <s v="Complete Access"/>
    <x v="1"/>
    <x v="1"/>
    <x v="1"/>
    <d v="1900-01-20T00:00:00"/>
    <n v="17"/>
    <x v="10"/>
    <x v="4"/>
  </r>
  <r>
    <x v="1076"/>
    <n v="-4.1500000000000004"/>
    <x v="2319"/>
    <n v="733.14"/>
    <s v="Complete Access"/>
    <x v="188"/>
    <x v="1"/>
    <x v="1"/>
    <d v="1900-01-19T00:00:00"/>
    <n v="17"/>
    <x v="10"/>
    <x v="4"/>
  </r>
  <r>
    <x v="1076"/>
    <n v="-3"/>
    <x v="2320"/>
    <n v="830.68"/>
    <s v="Complete Access"/>
    <x v="8"/>
    <x v="1"/>
    <x v="5"/>
    <d v="1900-01-19T00:00:00"/>
    <n v="17"/>
    <x v="10"/>
    <x v="4"/>
  </r>
  <r>
    <x v="1076"/>
    <n v="-69.400000000000006"/>
    <x v="2321"/>
    <n v="761.28"/>
    <s v="Complete Access"/>
    <x v="8"/>
    <x v="1"/>
    <x v="5"/>
    <d v="1900-01-19T00:00:00"/>
    <n v="17"/>
    <x v="10"/>
    <x v="4"/>
  </r>
  <r>
    <x v="1076"/>
    <n v="-23.99"/>
    <x v="2322"/>
    <n v="737.29"/>
    <s v="Complete Access"/>
    <x v="8"/>
    <x v="1"/>
    <x v="5"/>
    <d v="1900-01-19T00:00:00"/>
    <n v="17"/>
    <x v="10"/>
    <x v="4"/>
  </r>
  <r>
    <x v="1076"/>
    <n v="-102.99"/>
    <x v="2323"/>
    <n v="833.68"/>
    <s v="Complete Access"/>
    <x v="8"/>
    <x v="1"/>
    <x v="5"/>
    <d v="1900-01-19T00:00:00"/>
    <n v="17"/>
    <x v="10"/>
    <x v="4"/>
  </r>
  <r>
    <x v="1076"/>
    <n v="-214"/>
    <x v="2324"/>
    <n v="936.67"/>
    <s v="Complete Access"/>
    <x v="454"/>
    <x v="3"/>
    <x v="60"/>
    <d v="1900-01-19T00:00:00"/>
    <n v="17"/>
    <x v="10"/>
    <x v="4"/>
  </r>
  <r>
    <x v="1076"/>
    <n v="196.6"/>
    <x v="2325"/>
    <n v="929.74"/>
    <s v="Complete Access"/>
    <x v="583"/>
    <x v="0"/>
    <x v="69"/>
    <d v="1900-01-19T00:00:00"/>
    <n v="17"/>
    <x v="10"/>
    <x v="4"/>
  </r>
  <r>
    <x v="1077"/>
    <n v="-1000"/>
    <x v="2326"/>
    <n v="1150.67"/>
    <s v="Complete Access"/>
    <x v="504"/>
    <x v="0"/>
    <x v="72"/>
    <d v="1900-01-17T00:00:00"/>
    <n v="17"/>
    <x v="10"/>
    <x v="4"/>
  </r>
  <r>
    <x v="1078"/>
    <n v="-12"/>
    <x v="2327"/>
    <n v="2250.67"/>
    <s v="Complete Access"/>
    <x v="16"/>
    <x v="1"/>
    <x v="5"/>
    <d v="1900-01-16T00:00:00"/>
    <n v="16"/>
    <x v="10"/>
    <x v="4"/>
  </r>
  <r>
    <x v="1078"/>
    <n v="-100"/>
    <x v="2274"/>
    <n v="2150.67"/>
    <s v="Complete Access"/>
    <x v="552"/>
    <x v="0"/>
    <x v="74"/>
    <d v="1900-01-16T00:00:00"/>
    <n v="16"/>
    <x v="10"/>
    <x v="4"/>
  </r>
  <r>
    <x v="1079"/>
    <n v="-40"/>
    <x v="2328"/>
    <n v="2259.56"/>
    <s v="Complete Access"/>
    <x v="12"/>
    <x v="5"/>
    <x v="8"/>
    <d v="1900-01-15T00:00:00"/>
    <n v="16"/>
    <x v="10"/>
    <x v="4"/>
  </r>
  <r>
    <x v="1079"/>
    <n v="-16"/>
    <x v="2329"/>
    <n v="2190.67"/>
    <s v="Complete Access"/>
    <x v="562"/>
    <x v="1"/>
    <x v="5"/>
    <d v="1900-01-15T00:00:00"/>
    <n v="16"/>
    <x v="10"/>
    <x v="4"/>
  </r>
  <r>
    <x v="1079"/>
    <n v="72"/>
    <x v="2266"/>
    <n v="2262.67"/>
    <s v="Complete Access"/>
    <x v="27"/>
    <x v="1"/>
    <x v="5"/>
    <d v="1900-01-15T00:00:00"/>
    <n v="16"/>
    <x v="10"/>
    <x v="4"/>
  </r>
  <r>
    <x v="1079"/>
    <n v="-43.89"/>
    <x v="2330"/>
    <n v="2215.67"/>
    <s v="Complete Access"/>
    <x v="343"/>
    <x v="1"/>
    <x v="5"/>
    <d v="1900-01-15T00:00:00"/>
    <n v="16"/>
    <x v="10"/>
    <x v="4"/>
  </r>
  <r>
    <x v="1079"/>
    <n v="-9"/>
    <x v="2331"/>
    <n v="2206.67"/>
    <s v="Complete Access"/>
    <x v="277"/>
    <x v="8"/>
    <x v="29"/>
    <d v="1900-01-15T00:00:00"/>
    <n v="16"/>
    <x v="10"/>
    <x v="4"/>
  </r>
  <r>
    <x v="1080"/>
    <n v="2143.4699999999998"/>
    <x v="2332"/>
    <n v="2806.06"/>
    <s v="Complete Access"/>
    <x v="14"/>
    <x v="6"/>
    <x v="9"/>
    <d v="1900-01-14T00:00:00"/>
    <n v="16"/>
    <x v="10"/>
    <x v="4"/>
  </r>
  <r>
    <x v="1080"/>
    <n v="-500"/>
    <x v="2294"/>
    <n v="2306.06"/>
    <s v="Complete Access"/>
    <x v="571"/>
    <x v="19"/>
    <x v="61"/>
    <d v="1900-01-14T00:00:00"/>
    <n v="16"/>
    <x v="10"/>
    <x v="4"/>
  </r>
  <r>
    <x v="1080"/>
    <n v="-6.5"/>
    <x v="436"/>
    <n v="2299.56"/>
    <s v="Complete Access"/>
    <x v="186"/>
    <x v="1"/>
    <x v="5"/>
    <d v="1900-01-14T00:00:00"/>
    <n v="16"/>
    <x v="10"/>
    <x v="4"/>
  </r>
  <r>
    <x v="1081"/>
    <n v="-23.99"/>
    <x v="2333"/>
    <n v="680.66"/>
    <s v="Complete Access"/>
    <x v="8"/>
    <x v="1"/>
    <x v="5"/>
    <d v="1900-01-13T00:00:00"/>
    <n v="16"/>
    <x v="10"/>
    <x v="4"/>
  </r>
  <r>
    <x v="1081"/>
    <n v="-27.98"/>
    <x v="2334"/>
    <n v="704.65"/>
    <s v="Complete Access"/>
    <x v="8"/>
    <x v="1"/>
    <x v="5"/>
    <d v="1900-01-13T00:00:00"/>
    <n v="16"/>
    <x v="10"/>
    <x v="4"/>
  </r>
  <r>
    <x v="1081"/>
    <n v="-18.07"/>
    <x v="2135"/>
    <n v="662.59"/>
    <s v="Complete Access"/>
    <x v="215"/>
    <x v="1"/>
    <x v="1"/>
    <d v="1900-01-13T00:00:00"/>
    <n v="16"/>
    <x v="10"/>
    <x v="4"/>
  </r>
  <r>
    <x v="1081"/>
    <n v="-16.12"/>
    <x v="2335"/>
    <n v="732.63"/>
    <s v="Complete Access"/>
    <x v="1"/>
    <x v="1"/>
    <x v="1"/>
    <d v="1900-01-13T00:00:00"/>
    <n v="16"/>
    <x v="10"/>
    <x v="4"/>
  </r>
  <r>
    <x v="1082"/>
    <n v="-37.200000000000003"/>
    <x v="2336"/>
    <n v="727.75"/>
    <s v="Complete Access"/>
    <x v="8"/>
    <x v="1"/>
    <x v="5"/>
    <d v="1900-01-12T00:00:00"/>
    <n v="16"/>
    <x v="10"/>
    <x v="4"/>
  </r>
  <r>
    <x v="1082"/>
    <n v="15"/>
    <x v="2337"/>
    <n v="742.75"/>
    <s v="Complete Access"/>
    <x v="27"/>
    <x v="1"/>
    <x v="5"/>
    <d v="1900-01-12T00:00:00"/>
    <n v="16"/>
    <x v="10"/>
    <x v="4"/>
  </r>
  <r>
    <x v="1082"/>
    <n v="6"/>
    <x v="2338"/>
    <n v="748.75"/>
    <s v="Complete Access"/>
    <x v="583"/>
    <x v="0"/>
    <x v="69"/>
    <d v="1900-01-12T00:00:00"/>
    <n v="16"/>
    <x v="10"/>
    <x v="4"/>
  </r>
  <r>
    <x v="1083"/>
    <n v="-17.68"/>
    <x v="2135"/>
    <n v="764.95"/>
    <s v="Complete Access"/>
    <x v="215"/>
    <x v="1"/>
    <x v="1"/>
    <d v="1900-01-11T00:00:00"/>
    <n v="16"/>
    <x v="10"/>
    <x v="4"/>
  </r>
  <r>
    <x v="1083"/>
    <n v="1000"/>
    <x v="2339"/>
    <n v="1782.63"/>
    <s v="Complete Access"/>
    <x v="566"/>
    <x v="0"/>
    <x v="69"/>
    <d v="1900-01-11T00:00:00"/>
    <n v="16"/>
    <x v="10"/>
    <x v="4"/>
  </r>
  <r>
    <x v="1083"/>
    <n v="-1000"/>
    <x v="2340"/>
    <n v="782.63"/>
    <s v="Complete Access"/>
    <x v="504"/>
    <x v="0"/>
    <x v="72"/>
    <d v="1900-01-11T00:00:00"/>
    <n v="16"/>
    <x v="10"/>
    <x v="4"/>
  </r>
  <r>
    <x v="1084"/>
    <n v="1000"/>
    <x v="2341"/>
    <n v="1782.63"/>
    <s v="Complete Access"/>
    <x v="584"/>
    <x v="0"/>
    <x v="69"/>
    <d v="1900-01-10T00:00:00"/>
    <n v="16"/>
    <x v="10"/>
    <x v="4"/>
  </r>
  <r>
    <x v="1084"/>
    <n v="300"/>
    <x v="2342"/>
    <n v="782.63"/>
    <s v="Complete Access"/>
    <x v="584"/>
    <x v="0"/>
    <x v="69"/>
    <d v="1900-01-10T00:00:00"/>
    <n v="16"/>
    <x v="10"/>
    <x v="4"/>
  </r>
  <r>
    <x v="1084"/>
    <n v="700"/>
    <x v="2343"/>
    <n v="1482.63"/>
    <s v="Complete Access"/>
    <x v="584"/>
    <x v="0"/>
    <x v="69"/>
    <d v="1900-01-10T00:00:00"/>
    <n v="16"/>
    <x v="10"/>
    <x v="4"/>
  </r>
  <r>
    <x v="1084"/>
    <n v="-1000"/>
    <x v="2344"/>
    <n v="482.63"/>
    <s v="Complete Access"/>
    <x v="504"/>
    <x v="0"/>
    <x v="72"/>
    <d v="1900-01-10T00:00:00"/>
    <n v="16"/>
    <x v="10"/>
    <x v="4"/>
  </r>
  <r>
    <x v="1084"/>
    <n v="-1000"/>
    <x v="2345"/>
    <n v="782.63"/>
    <s v="Complete Access"/>
    <x v="504"/>
    <x v="0"/>
    <x v="72"/>
    <d v="1900-01-10T00:00:00"/>
    <n v="16"/>
    <x v="10"/>
    <x v="4"/>
  </r>
  <r>
    <x v="1085"/>
    <n v="-12"/>
    <x v="2346"/>
    <n v="1532.63"/>
    <s v="Complete Access"/>
    <x v="0"/>
    <x v="0"/>
    <x v="0"/>
    <d v="1900-01-09T00:00:00"/>
    <n v="15"/>
    <x v="10"/>
    <x v="4"/>
  </r>
  <r>
    <x v="1085"/>
    <n v="-75"/>
    <x v="2346"/>
    <n v="1544.63"/>
    <s v="Complete Access"/>
    <x v="0"/>
    <x v="0"/>
    <x v="0"/>
    <d v="1900-01-09T00:00:00"/>
    <n v="15"/>
    <x v="10"/>
    <x v="4"/>
  </r>
  <r>
    <x v="1085"/>
    <n v="-100"/>
    <x v="2274"/>
    <n v="1619.63"/>
    <s v="Complete Access"/>
    <x v="552"/>
    <x v="0"/>
    <x v="74"/>
    <d v="1900-01-09T00:00:00"/>
    <n v="15"/>
    <x v="10"/>
    <x v="4"/>
  </r>
  <r>
    <x v="1085"/>
    <n v="-750"/>
    <x v="2347"/>
    <n v="782.63"/>
    <s v="Complete Access"/>
    <x v="504"/>
    <x v="0"/>
    <x v="72"/>
    <d v="1900-01-09T00:00:00"/>
    <n v="15"/>
    <x v="10"/>
    <x v="4"/>
  </r>
  <r>
    <x v="1086"/>
    <n v="-16"/>
    <x v="2329"/>
    <n v="1719.63"/>
    <s v="Complete Access"/>
    <x v="562"/>
    <x v="1"/>
    <x v="5"/>
    <d v="1900-01-08T00:00:00"/>
    <n v="15"/>
    <x v="10"/>
    <x v="4"/>
  </r>
  <r>
    <x v="1086"/>
    <n v="-8.9"/>
    <x v="2348"/>
    <n v="1735.63"/>
    <s v="Complete Access"/>
    <x v="277"/>
    <x v="8"/>
    <x v="29"/>
    <d v="1900-01-08T00:00:00"/>
    <n v="15"/>
    <x v="10"/>
    <x v="4"/>
  </r>
  <r>
    <x v="1087"/>
    <n v="-25.13"/>
    <x v="2349"/>
    <n v="1968.07"/>
    <s v="Complete Access"/>
    <x v="8"/>
    <x v="1"/>
    <x v="5"/>
    <d v="1900-01-07T00:00:00"/>
    <n v="15"/>
    <x v="10"/>
    <x v="4"/>
  </r>
  <r>
    <x v="1087"/>
    <n v="-29.42"/>
    <x v="2350"/>
    <n v="1938.65"/>
    <s v="Complete Access"/>
    <x v="8"/>
    <x v="1"/>
    <x v="5"/>
    <d v="1900-01-07T00:00:00"/>
    <n v="15"/>
    <x v="10"/>
    <x v="4"/>
  </r>
  <r>
    <x v="1087"/>
    <n v="-11.06"/>
    <x v="2351"/>
    <n v="1744.53"/>
    <s v="Complete Access"/>
    <x v="423"/>
    <x v="1"/>
    <x v="5"/>
    <d v="1900-01-07T00:00:00"/>
    <n v="15"/>
    <x v="10"/>
    <x v="4"/>
  </r>
  <r>
    <x v="1087"/>
    <n v="841.68"/>
    <x v="2352"/>
    <n v="1993.2"/>
    <s v="Complete Access"/>
    <x v="585"/>
    <x v="0"/>
    <x v="78"/>
    <d v="1900-01-07T00:00:00"/>
    <n v="15"/>
    <x v="10"/>
    <x v="4"/>
  </r>
  <r>
    <x v="1087"/>
    <n v="-129"/>
    <x v="2353"/>
    <n v="1755.59"/>
    <s v="Complete Access"/>
    <x v="214"/>
    <x v="4"/>
    <x v="52"/>
    <d v="1900-01-07T00:00:00"/>
    <n v="15"/>
    <x v="10"/>
    <x v="4"/>
  </r>
  <r>
    <x v="1087"/>
    <n v="-54.06"/>
    <x v="2354"/>
    <n v="1884.59"/>
    <s v="Complete Access"/>
    <x v="1"/>
    <x v="1"/>
    <x v="1"/>
    <d v="1900-01-07T00:00:00"/>
    <n v="15"/>
    <x v="10"/>
    <x v="4"/>
  </r>
  <r>
    <x v="1088"/>
    <n v="-46.99"/>
    <x v="2350"/>
    <n v="1151.52"/>
    <s v="Complete Access"/>
    <x v="8"/>
    <x v="1"/>
    <x v="5"/>
    <d v="1900-01-06T00:00:00"/>
    <n v="15"/>
    <x v="10"/>
    <x v="4"/>
  </r>
  <r>
    <x v="1088"/>
    <n v="-36.520000000000003"/>
    <x v="2355"/>
    <n v="1198.51"/>
    <s v="Complete Access"/>
    <x v="8"/>
    <x v="1"/>
    <x v="5"/>
    <d v="1900-01-06T00:00:00"/>
    <n v="15"/>
    <x v="10"/>
    <x v="4"/>
  </r>
  <r>
    <x v="1088"/>
    <n v="-1.61"/>
    <x v="2355"/>
    <n v="1235.03"/>
    <s v="Complete Access"/>
    <x v="8"/>
    <x v="1"/>
    <x v="5"/>
    <d v="1900-01-06T00:00:00"/>
    <n v="15"/>
    <x v="10"/>
    <x v="4"/>
  </r>
  <r>
    <x v="1089"/>
    <n v="2474.94"/>
    <x v="2356"/>
    <n v="3736.64"/>
    <s v="Complete Access"/>
    <x v="586"/>
    <x v="4"/>
    <x v="78"/>
    <d v="1900-01-05T00:00:00"/>
    <n v="15"/>
    <x v="10"/>
    <x v="4"/>
  </r>
  <r>
    <x v="1089"/>
    <n v="-2500"/>
    <x v="2357"/>
    <n v="1236.6400000000001"/>
    <s v="Complete Access"/>
    <x v="504"/>
    <x v="0"/>
    <x v="72"/>
    <d v="1900-01-05T00:00:00"/>
    <n v="15"/>
    <x v="10"/>
    <x v="4"/>
  </r>
  <r>
    <x v="1090"/>
    <n v="-36"/>
    <x v="2358"/>
    <n v="1261.7"/>
    <s v="Complete Access"/>
    <x v="0"/>
    <x v="0"/>
    <x v="0"/>
    <d v="1900-01-02T00:00:00"/>
    <n v="14"/>
    <x v="10"/>
    <x v="4"/>
  </r>
  <r>
    <x v="1090"/>
    <n v="-100"/>
    <x v="2274"/>
    <n v="1297.7"/>
    <s v="Complete Access"/>
    <x v="552"/>
    <x v="0"/>
    <x v="74"/>
    <d v="1900-01-02T00:00:00"/>
    <n v="14"/>
    <x v="10"/>
    <x v="4"/>
  </r>
  <r>
    <x v="1091"/>
    <n v="-45"/>
    <x v="2359"/>
    <n v="1595.51"/>
    <s v="Complete Access"/>
    <x v="0"/>
    <x v="0"/>
    <x v="0"/>
    <d v="1900-01-01T00:00:00"/>
    <n v="14"/>
    <x v="10"/>
    <x v="4"/>
  </r>
  <r>
    <x v="1091"/>
    <n v="-197.81"/>
    <x v="2360"/>
    <n v="1397.7"/>
    <s v="Complete Access"/>
    <x v="0"/>
    <x v="0"/>
    <x v="0"/>
    <d v="1900-01-01T00:00:00"/>
    <n v="14"/>
    <x v="10"/>
    <x v="4"/>
  </r>
  <r>
    <x v="1092"/>
    <n v="-23.99"/>
    <x v="2361"/>
    <n v="2339.9899999999998"/>
    <s v="Complete Access"/>
    <x v="8"/>
    <x v="1"/>
    <x v="5"/>
    <d v="1899-12-31T00:00:00"/>
    <n v="14"/>
    <x v="10"/>
    <x v="4"/>
  </r>
  <r>
    <x v="1092"/>
    <n v="-40"/>
    <x v="2362"/>
    <n v="2407.56"/>
    <s v="Complete Access"/>
    <x v="12"/>
    <x v="5"/>
    <x v="8"/>
    <d v="1899-12-31T00:00:00"/>
    <n v="14"/>
    <x v="10"/>
    <x v="4"/>
  </r>
  <r>
    <x v="1092"/>
    <n v="2143.4699999999998"/>
    <x v="728"/>
    <n v="2447.56"/>
    <s v="Complete Access"/>
    <x v="14"/>
    <x v="6"/>
    <x v="9"/>
    <d v="1899-12-31T00:00:00"/>
    <n v="14"/>
    <x v="10"/>
    <x v="4"/>
  </r>
  <r>
    <x v="1092"/>
    <n v="-500"/>
    <x v="2294"/>
    <n v="1839.99"/>
    <s v="Complete Access"/>
    <x v="571"/>
    <x v="19"/>
    <x v="61"/>
    <d v="1899-12-31T00:00:00"/>
    <n v="14"/>
    <x v="10"/>
    <x v="4"/>
  </r>
  <r>
    <x v="1092"/>
    <n v="-20"/>
    <x v="2229"/>
    <n v="1819.99"/>
    <s v="Complete Access"/>
    <x v="557"/>
    <x v="7"/>
    <x v="53"/>
    <d v="1899-12-31T00:00:00"/>
    <n v="14"/>
    <x v="10"/>
    <x v="4"/>
  </r>
  <r>
    <x v="1092"/>
    <n v="-179.45"/>
    <x v="2363"/>
    <n v="1640.51"/>
    <s v="Complete Access"/>
    <x v="76"/>
    <x v="2"/>
    <x v="2"/>
    <d v="1899-12-31T00:00:00"/>
    <n v="14"/>
    <x v="10"/>
    <x v="4"/>
  </r>
  <r>
    <x v="1092"/>
    <n v="-0.03"/>
    <x v="655"/>
    <n v="1819.96"/>
    <s v="Complete Access"/>
    <x v="249"/>
    <x v="0"/>
    <x v="0"/>
    <d v="1899-12-31T00:00:00"/>
    <n v="14"/>
    <x v="10"/>
    <x v="4"/>
  </r>
  <r>
    <x v="1092"/>
    <n v="-43.58"/>
    <x v="2364"/>
    <n v="2363.98"/>
    <s v="Complete Access"/>
    <x v="1"/>
    <x v="1"/>
    <x v="1"/>
    <d v="1899-12-31T00:00:00"/>
    <n v="14"/>
    <x v="10"/>
    <x v="4"/>
  </r>
  <r>
    <x v="1093"/>
    <n v="350"/>
    <x v="2365"/>
    <n v="431.72"/>
    <s v="Complete Access"/>
    <x v="0"/>
    <x v="0"/>
    <x v="0"/>
    <d v="1900-01-30T00:00:00"/>
    <n v="14"/>
    <x v="11"/>
    <x v="4"/>
  </r>
  <r>
    <x v="1093"/>
    <n v="-53.99"/>
    <x v="2366"/>
    <n v="114.22"/>
    <s v="Complete Access"/>
    <x v="8"/>
    <x v="1"/>
    <x v="5"/>
    <d v="1900-01-30T00:00:00"/>
    <n v="14"/>
    <x v="11"/>
    <x v="4"/>
  </r>
  <r>
    <x v="1093"/>
    <n v="-32.5"/>
    <x v="2367"/>
    <n v="81.72"/>
    <s v="Complete Access"/>
    <x v="8"/>
    <x v="1"/>
    <x v="5"/>
    <d v="1900-01-30T00:00:00"/>
    <n v="14"/>
    <x v="11"/>
    <x v="4"/>
  </r>
  <r>
    <x v="1093"/>
    <n v="-16"/>
    <x v="2329"/>
    <n v="615.72"/>
    <s v="Complete Access"/>
    <x v="562"/>
    <x v="1"/>
    <x v="5"/>
    <d v="1900-01-30T00:00:00"/>
    <n v="14"/>
    <x v="11"/>
    <x v="4"/>
  </r>
  <r>
    <x v="1093"/>
    <n v="200"/>
    <x v="2305"/>
    <n v="631.72"/>
    <s v="Complete Access"/>
    <x v="0"/>
    <x v="0"/>
    <x v="0"/>
    <d v="1900-01-30T00:00:00"/>
    <n v="14"/>
    <x v="11"/>
    <x v="4"/>
  </r>
  <r>
    <x v="1093"/>
    <n v="-20"/>
    <x v="2346"/>
    <n v="652.28"/>
    <s v="Complete Access"/>
    <x v="0"/>
    <x v="0"/>
    <x v="0"/>
    <d v="1900-01-30T00:00:00"/>
    <n v="14"/>
    <x v="11"/>
    <x v="4"/>
  </r>
  <r>
    <x v="1093"/>
    <n v="56.56"/>
    <x v="2282"/>
    <n v="672.28"/>
    <s v="Complete Access"/>
    <x v="567"/>
    <x v="0"/>
    <x v="69"/>
    <d v="1900-01-30T00:00:00"/>
    <n v="14"/>
    <x v="11"/>
    <x v="4"/>
  </r>
  <r>
    <x v="1093"/>
    <n v="-348.19"/>
    <x v="2368"/>
    <n v="304.08999999999997"/>
    <s v="Complete Access"/>
    <x v="438"/>
    <x v="12"/>
    <x v="21"/>
    <d v="1900-01-30T00:00:00"/>
    <n v="14"/>
    <x v="11"/>
    <x v="4"/>
  </r>
  <r>
    <x v="1094"/>
    <n v="-1000"/>
    <x v="2369"/>
    <n v="182.11"/>
    <s v="Complete Access"/>
    <x v="585"/>
    <x v="0"/>
    <x v="78"/>
    <d v="1900-01-29T00:00:00"/>
    <n v="14"/>
    <x v="11"/>
    <x v="4"/>
  </r>
  <r>
    <x v="1094"/>
    <n v="-5"/>
    <x v="2370"/>
    <n v="177.11"/>
    <s v="Complete Access"/>
    <x v="587"/>
    <x v="8"/>
    <x v="22"/>
    <d v="1900-01-29T00:00:00"/>
    <n v="14"/>
    <x v="11"/>
    <x v="4"/>
  </r>
  <r>
    <x v="1094"/>
    <n v="-8.9"/>
    <x v="2371"/>
    <n v="168.21"/>
    <s v="Complete Access"/>
    <x v="277"/>
    <x v="8"/>
    <x v="29"/>
    <d v="1900-01-29T00:00:00"/>
    <n v="14"/>
    <x v="11"/>
    <x v="4"/>
  </r>
  <r>
    <x v="1095"/>
    <n v="-100"/>
    <x v="2274"/>
    <n v="1182.1099999999999"/>
    <s v="Complete Access"/>
    <x v="552"/>
    <x v="0"/>
    <x v="74"/>
    <d v="1900-01-26T00:00:00"/>
    <n v="13"/>
    <x v="11"/>
    <x v="4"/>
  </r>
  <r>
    <x v="1095"/>
    <n v="-56.56"/>
    <x v="2372"/>
    <n v="1282.1099999999999"/>
    <s v="Complete Access"/>
    <x v="1"/>
    <x v="1"/>
    <x v="1"/>
    <d v="1900-01-26T00:00:00"/>
    <n v="13"/>
    <x v="11"/>
    <x v="4"/>
  </r>
  <r>
    <x v="1096"/>
    <n v="-2.2799999999999998"/>
    <x v="2373"/>
    <n v="1338.67"/>
    <s v="Complete Access"/>
    <x v="188"/>
    <x v="1"/>
    <x v="1"/>
    <d v="1900-01-25T00:00:00"/>
    <n v="13"/>
    <x v="11"/>
    <x v="4"/>
  </r>
  <r>
    <x v="1097"/>
    <n v="-8.8000000000000007"/>
    <x v="2374"/>
    <n v="1340.95"/>
    <s v="Complete Access"/>
    <x v="588"/>
    <x v="1"/>
    <x v="5"/>
    <d v="1900-01-24T00:00:00"/>
    <n v="13"/>
    <x v="11"/>
    <x v="4"/>
  </r>
  <r>
    <x v="1098"/>
    <n v="-23.89"/>
    <x v="2375"/>
    <n v="1240.75"/>
    <s v="Complete Access"/>
    <x v="8"/>
    <x v="1"/>
    <x v="5"/>
    <d v="1900-01-23T00:00:00"/>
    <n v="13"/>
    <x v="11"/>
    <x v="4"/>
  </r>
  <r>
    <x v="1098"/>
    <n v="-16"/>
    <x v="2329"/>
    <n v="1224.75"/>
    <s v="Complete Access"/>
    <x v="562"/>
    <x v="1"/>
    <x v="5"/>
    <d v="1900-01-23T00:00:00"/>
    <n v="13"/>
    <x v="11"/>
    <x v="4"/>
  </r>
  <r>
    <x v="1098"/>
    <n v="462.12"/>
    <x v="2376"/>
    <n v="1264.6400000000001"/>
    <s v="Complete Access"/>
    <x v="160"/>
    <x v="17"/>
    <x v="43"/>
    <d v="1900-01-23T00:00:00"/>
    <n v="13"/>
    <x v="11"/>
    <x v="4"/>
  </r>
  <r>
    <x v="1098"/>
    <n v="125"/>
    <x v="2377"/>
    <n v="1349.75"/>
    <s v="Complete Access"/>
    <x v="583"/>
    <x v="0"/>
    <x v="69"/>
    <d v="1900-01-23T00:00:00"/>
    <n v="13"/>
    <x v="11"/>
    <x v="4"/>
  </r>
  <r>
    <x v="1099"/>
    <n v="-59"/>
    <x v="2378"/>
    <n v="1264.6400000000001"/>
    <s v="Complete Access"/>
    <x v="207"/>
    <x v="7"/>
    <x v="11"/>
    <d v="1900-01-22T00:00:00"/>
    <n v="13"/>
    <x v="11"/>
    <x v="4"/>
  </r>
  <r>
    <x v="1099"/>
    <n v="-242.35"/>
    <x v="2379"/>
    <n v="1323.64"/>
    <s v="Complete Access"/>
    <x v="589"/>
    <x v="4"/>
    <x v="30"/>
    <d v="1900-01-22T00:00:00"/>
    <n v="13"/>
    <x v="11"/>
    <x v="4"/>
  </r>
  <r>
    <x v="1099"/>
    <n v="-462.12"/>
    <x v="2380"/>
    <n v="802.52"/>
    <s v="Complete Access"/>
    <x v="160"/>
    <x v="17"/>
    <x v="43"/>
    <d v="1900-01-22T00:00:00"/>
    <n v="13"/>
    <x v="11"/>
    <x v="4"/>
  </r>
  <r>
    <x v="1100"/>
    <n v="-0.92"/>
    <x v="2381"/>
    <n v="1691.98"/>
    <s v="Complete Access"/>
    <x v="188"/>
    <x v="1"/>
    <x v="1"/>
    <d v="1900-01-19T00:00:00"/>
    <n v="12"/>
    <x v="11"/>
    <x v="4"/>
  </r>
  <r>
    <x v="1100"/>
    <n v="-10"/>
    <x v="2382"/>
    <n v="1681.98"/>
    <s v="Complete Access"/>
    <x v="16"/>
    <x v="1"/>
    <x v="5"/>
    <d v="1900-01-19T00:00:00"/>
    <n v="12"/>
    <x v="11"/>
    <x v="4"/>
  </r>
  <r>
    <x v="1100"/>
    <n v="-15.99"/>
    <x v="2383"/>
    <n v="1665.99"/>
    <s v="Complete Access"/>
    <x v="373"/>
    <x v="8"/>
    <x v="7"/>
    <d v="1900-01-19T00:00:00"/>
    <n v="12"/>
    <x v="11"/>
    <x v="4"/>
  </r>
  <r>
    <x v="1100"/>
    <n v="-100"/>
    <x v="2274"/>
    <n v="1565.99"/>
    <s v="Complete Access"/>
    <x v="552"/>
    <x v="0"/>
    <x v="74"/>
    <d v="1900-01-19T00:00:00"/>
    <n v="12"/>
    <x v="11"/>
    <x v="4"/>
  </r>
  <r>
    <x v="1101"/>
    <n v="-40"/>
    <x v="2384"/>
    <n v="1710.3"/>
    <s v="Complete Access"/>
    <x v="12"/>
    <x v="5"/>
    <x v="8"/>
    <d v="1900-01-18T00:00:00"/>
    <n v="12"/>
    <x v="11"/>
    <x v="4"/>
  </r>
  <r>
    <x v="1101"/>
    <n v="-17.399999999999999"/>
    <x v="436"/>
    <n v="1692.9"/>
    <s v="Complete Access"/>
    <x v="186"/>
    <x v="1"/>
    <x v="5"/>
    <d v="1900-01-18T00:00:00"/>
    <n v="12"/>
    <x v="11"/>
    <x v="4"/>
  </r>
  <r>
    <x v="1102"/>
    <n v="2143.4699999999998"/>
    <x v="2385"/>
    <n v="2250.3000000000002"/>
    <s v="Complete Access"/>
    <x v="14"/>
    <x v="6"/>
    <x v="9"/>
    <d v="1900-01-17T00:00:00"/>
    <n v="12"/>
    <x v="11"/>
    <x v="4"/>
  </r>
  <r>
    <x v="1102"/>
    <n v="-500"/>
    <x v="2294"/>
    <n v="1750.3"/>
    <s v="Complete Access"/>
    <x v="571"/>
    <x v="19"/>
    <x v="61"/>
    <d v="1900-01-17T00:00:00"/>
    <n v="12"/>
    <x v="11"/>
    <x v="4"/>
  </r>
  <r>
    <x v="1103"/>
    <n v="150"/>
    <x v="2365"/>
    <n v="106.83"/>
    <s v="Complete Access"/>
    <x v="0"/>
    <x v="0"/>
    <x v="0"/>
    <d v="1900-01-16T00:00:00"/>
    <n v="12"/>
    <x v="11"/>
    <x v="4"/>
  </r>
  <r>
    <x v="1103"/>
    <n v="-24"/>
    <x v="2386"/>
    <n v="28.59"/>
    <s v="Complete Access"/>
    <x v="590"/>
    <x v="20"/>
    <x v="63"/>
    <d v="1900-01-16T00:00:00"/>
    <n v="12"/>
    <x v="11"/>
    <x v="4"/>
  </r>
  <r>
    <x v="1103"/>
    <n v="-8.6999999999999993"/>
    <x v="2386"/>
    <n v="52.59"/>
    <s v="Complete Access"/>
    <x v="590"/>
    <x v="20"/>
    <x v="63"/>
    <d v="1900-01-16T00:00:00"/>
    <n v="12"/>
    <x v="11"/>
    <x v="4"/>
  </r>
  <r>
    <x v="1103"/>
    <n v="-8.6999999999999993"/>
    <x v="2386"/>
    <n v="61.29"/>
    <s v="Complete Access"/>
    <x v="590"/>
    <x v="20"/>
    <x v="63"/>
    <d v="1900-01-16T00:00:00"/>
    <n v="12"/>
    <x v="11"/>
    <x v="4"/>
  </r>
  <r>
    <x v="1103"/>
    <n v="-33.29"/>
    <x v="2387"/>
    <n v="-4.7"/>
    <s v="Complete Access"/>
    <x v="8"/>
    <x v="1"/>
    <x v="5"/>
    <d v="1900-01-16T00:00:00"/>
    <n v="12"/>
    <x v="11"/>
    <x v="4"/>
  </r>
  <r>
    <x v="1103"/>
    <n v="-38.47"/>
    <x v="2388"/>
    <n v="-43.17"/>
    <s v="Complete Access"/>
    <x v="1"/>
    <x v="1"/>
    <x v="1"/>
    <d v="1900-01-16T00:00:00"/>
    <n v="12"/>
    <x v="11"/>
    <x v="4"/>
  </r>
  <r>
    <x v="1104"/>
    <n v="-5"/>
    <x v="2389"/>
    <n v="84.99"/>
    <s v="Complete Access"/>
    <x v="591"/>
    <x v="0"/>
    <x v="0"/>
    <d v="1900-01-15T00:00:00"/>
    <n v="12"/>
    <x v="11"/>
    <x v="4"/>
  </r>
  <r>
    <x v="1104"/>
    <n v="198.5"/>
    <x v="2390"/>
    <n v="89.99"/>
    <s v="Complete Access"/>
    <x v="438"/>
    <x v="12"/>
    <x v="21"/>
    <d v="1900-01-15T00:00:00"/>
    <n v="12"/>
    <x v="11"/>
    <x v="4"/>
  </r>
  <r>
    <x v="1104"/>
    <n v="-15"/>
    <x v="2391"/>
    <n v="69.989999999999995"/>
    <s v="Complete Access"/>
    <x v="263"/>
    <x v="0"/>
    <x v="0"/>
    <d v="1900-01-15T00:00:00"/>
    <n v="12"/>
    <x v="11"/>
    <x v="4"/>
  </r>
  <r>
    <x v="1104"/>
    <n v="-59.99"/>
    <x v="2392"/>
    <n v="-97.11"/>
    <s v="Complete Access"/>
    <x v="343"/>
    <x v="1"/>
    <x v="5"/>
    <d v="1900-01-15T00:00:00"/>
    <n v="12"/>
    <x v="11"/>
    <x v="4"/>
  </r>
  <r>
    <x v="1104"/>
    <n v="-3.2"/>
    <x v="2393"/>
    <n v="-108.51"/>
    <s v="Complete Access"/>
    <x v="592"/>
    <x v="3"/>
    <x v="26"/>
    <d v="1900-01-15T00:00:00"/>
    <n v="12"/>
    <x v="11"/>
    <x v="4"/>
  </r>
  <r>
    <x v="1104"/>
    <n v="-8.1999999999999993"/>
    <x v="2394"/>
    <n v="-105.31"/>
    <s v="Complete Access"/>
    <x v="277"/>
    <x v="8"/>
    <x v="29"/>
    <d v="1900-01-15T00:00:00"/>
    <n v="12"/>
    <x v="11"/>
    <x v="4"/>
  </r>
  <r>
    <x v="1105"/>
    <n v="-198.5"/>
    <x v="2395"/>
    <n v="-37.119999999999997"/>
    <s v="Complete Access"/>
    <x v="438"/>
    <x v="12"/>
    <x v="21"/>
    <d v="1900-01-14T00:00:00"/>
    <n v="12"/>
    <x v="11"/>
    <x v="4"/>
  </r>
  <r>
    <x v="1106"/>
    <n v="-10"/>
    <x v="2396"/>
    <n v="101.38"/>
    <s v="Complete Access"/>
    <x v="16"/>
    <x v="1"/>
    <x v="5"/>
    <d v="1900-01-12T00:00:00"/>
    <n v="11"/>
    <x v="11"/>
    <x v="4"/>
  </r>
  <r>
    <x v="1106"/>
    <n v="60"/>
    <x v="2305"/>
    <n v="161.38"/>
    <s v="Complete Access"/>
    <x v="0"/>
    <x v="0"/>
    <x v="0"/>
    <d v="1900-01-12T00:00:00"/>
    <n v="11"/>
    <x v="11"/>
    <x v="4"/>
  </r>
  <r>
    <x v="1106"/>
    <n v="-100"/>
    <x v="2274"/>
    <n v="111.38"/>
    <s v="Complete Access"/>
    <x v="552"/>
    <x v="0"/>
    <x v="74"/>
    <d v="1900-01-12T00:00:00"/>
    <n v="11"/>
    <x v="11"/>
    <x v="4"/>
  </r>
  <r>
    <x v="1107"/>
    <n v="-10"/>
    <x v="2397"/>
    <n v="211.38"/>
    <s v="Complete Access"/>
    <x v="188"/>
    <x v="1"/>
    <x v="1"/>
    <d v="1900-01-11T00:00:00"/>
    <n v="11"/>
    <x v="11"/>
    <x v="4"/>
  </r>
  <r>
    <x v="1108"/>
    <n v="200"/>
    <x v="2305"/>
    <n v="221.38"/>
    <s v="Complete Access"/>
    <x v="0"/>
    <x v="0"/>
    <x v="0"/>
    <d v="1900-01-10T00:00:00"/>
    <n v="11"/>
    <x v="11"/>
    <x v="4"/>
  </r>
  <r>
    <x v="1108"/>
    <n v="-30.02"/>
    <x v="2398"/>
    <n v="24.38"/>
    <s v="Complete Access"/>
    <x v="1"/>
    <x v="1"/>
    <x v="1"/>
    <d v="1900-01-10T00:00:00"/>
    <n v="11"/>
    <x v="11"/>
    <x v="4"/>
  </r>
  <r>
    <x v="1108"/>
    <n v="-3"/>
    <x v="2399"/>
    <n v="21.38"/>
    <s v="Complete Access"/>
    <x v="34"/>
    <x v="9"/>
    <x v="12"/>
    <d v="1900-01-10T00:00:00"/>
    <n v="11"/>
    <x v="11"/>
    <x v="4"/>
  </r>
  <r>
    <x v="1109"/>
    <n v="-16"/>
    <x v="2329"/>
    <n v="54.4"/>
    <s v="Complete Access"/>
    <x v="562"/>
    <x v="1"/>
    <x v="5"/>
    <d v="1900-01-09T00:00:00"/>
    <n v="11"/>
    <x v="11"/>
    <x v="4"/>
  </r>
  <r>
    <x v="1109"/>
    <n v="2000"/>
    <x v="2305"/>
    <n v="6970.4"/>
    <s v="Complete Access"/>
    <x v="0"/>
    <x v="0"/>
    <x v="0"/>
    <d v="1900-01-09T00:00:00"/>
    <n v="11"/>
    <x v="11"/>
    <x v="4"/>
  </r>
  <r>
    <x v="1109"/>
    <n v="-6900"/>
    <x v="2400"/>
    <n v="70.400000000000006"/>
    <s v="Complete Access"/>
    <x v="504"/>
    <x v="0"/>
    <x v="72"/>
    <d v="1900-01-09T00:00:00"/>
    <n v="11"/>
    <x v="11"/>
    <x v="4"/>
  </r>
  <r>
    <x v="1110"/>
    <n v="-1.1599999999999999"/>
    <x v="2401"/>
    <n v="4980.3999999999996"/>
    <s v="Complete Access"/>
    <x v="188"/>
    <x v="1"/>
    <x v="1"/>
    <d v="1900-01-08T00:00:00"/>
    <n v="11"/>
    <x v="11"/>
    <x v="4"/>
  </r>
  <r>
    <x v="1110"/>
    <n v="-11.03"/>
    <x v="2402"/>
    <n v="4981.5600000000004"/>
    <s v="Complete Access"/>
    <x v="8"/>
    <x v="1"/>
    <x v="5"/>
    <d v="1900-01-08T00:00:00"/>
    <n v="11"/>
    <x v="11"/>
    <x v="4"/>
  </r>
  <r>
    <x v="1110"/>
    <n v="-40"/>
    <x v="2403"/>
    <n v="4992.59"/>
    <s v="Complete Access"/>
    <x v="12"/>
    <x v="5"/>
    <x v="8"/>
    <d v="1900-01-08T00:00:00"/>
    <n v="11"/>
    <x v="11"/>
    <x v="4"/>
  </r>
  <r>
    <x v="1110"/>
    <n v="-10"/>
    <x v="2404"/>
    <n v="4970.3999999999996"/>
    <s v="Complete Access"/>
    <x v="16"/>
    <x v="1"/>
    <x v="5"/>
    <d v="1900-01-08T00:00:00"/>
    <n v="11"/>
    <x v="11"/>
    <x v="4"/>
  </r>
  <r>
    <x v="1111"/>
    <n v="-69.77"/>
    <x v="2105"/>
    <n v="5032.59"/>
    <s v="Complete Access"/>
    <x v="4"/>
    <x v="1"/>
    <x v="1"/>
    <d v="1900-01-07T00:00:00"/>
    <n v="11"/>
    <x v="11"/>
    <x v="4"/>
  </r>
  <r>
    <x v="1112"/>
    <n v="-16"/>
    <x v="2405"/>
    <n v="5102.3599999999997"/>
    <s v="Complete Access"/>
    <x v="0"/>
    <x v="0"/>
    <x v="0"/>
    <d v="1900-01-05T00:00:00"/>
    <n v="10"/>
    <x v="11"/>
    <x v="4"/>
  </r>
  <r>
    <x v="1112"/>
    <n v="-100"/>
    <x v="2274"/>
    <n v="5118.3599999999997"/>
    <s v="Complete Access"/>
    <x v="552"/>
    <x v="0"/>
    <x v="74"/>
    <d v="1900-01-05T00:00:00"/>
    <n v="10"/>
    <x v="11"/>
    <x v="4"/>
  </r>
  <r>
    <x v="1113"/>
    <n v="-22.04"/>
    <x v="2135"/>
    <n v="5218.3599999999997"/>
    <s v="Complete Access"/>
    <x v="215"/>
    <x v="1"/>
    <x v="1"/>
    <d v="1900-01-04T00:00:00"/>
    <n v="10"/>
    <x v="11"/>
    <x v="4"/>
  </r>
  <r>
    <x v="1114"/>
    <n v="2143.4699999999998"/>
    <x v="2109"/>
    <n v="5685.3"/>
    <s v="Complete Access"/>
    <x v="14"/>
    <x v="6"/>
    <x v="9"/>
    <d v="1900-01-03T00:00:00"/>
    <n v="10"/>
    <x v="11"/>
    <x v="4"/>
  </r>
  <r>
    <x v="1114"/>
    <n v="-500"/>
    <x v="2294"/>
    <n v="5185.3"/>
    <s v="Complete Access"/>
    <x v="571"/>
    <x v="19"/>
    <x v="61"/>
    <d v="1900-01-03T00:00:00"/>
    <n v="10"/>
    <x v="11"/>
    <x v="4"/>
  </r>
  <r>
    <x v="1114"/>
    <n v="-10.9"/>
    <x v="2406"/>
    <n v="5174.3999999999996"/>
    <s v="Complete Access"/>
    <x v="27"/>
    <x v="1"/>
    <x v="5"/>
    <d v="1900-01-03T00:00:00"/>
    <n v="10"/>
    <x v="11"/>
    <x v="4"/>
  </r>
  <r>
    <x v="1114"/>
    <n v="66"/>
    <x v="2282"/>
    <n v="5240.3999999999996"/>
    <s v="Complete Access"/>
    <x v="567"/>
    <x v="0"/>
    <x v="69"/>
    <d v="1900-01-03T00:00:00"/>
    <n v="10"/>
    <x v="11"/>
    <x v="4"/>
  </r>
  <r>
    <x v="1115"/>
    <n v="-28.29"/>
    <x v="2407"/>
    <n v="3557.83"/>
    <s v="Complete Access"/>
    <x v="8"/>
    <x v="1"/>
    <x v="5"/>
    <d v="1900-01-02T00:00:00"/>
    <n v="10"/>
    <x v="11"/>
    <x v="4"/>
  </r>
  <r>
    <x v="1115"/>
    <n v="-16"/>
    <x v="2329"/>
    <n v="3541.83"/>
    <s v="Complete Access"/>
    <x v="562"/>
    <x v="1"/>
    <x v="5"/>
    <d v="1900-01-02T00:00:00"/>
    <n v="10"/>
    <x v="11"/>
    <x v="4"/>
  </r>
  <r>
    <x v="1116"/>
    <n v="-2.12"/>
    <x v="2408"/>
    <n v="3599.12"/>
    <s v="Complete Access"/>
    <x v="188"/>
    <x v="1"/>
    <x v="1"/>
    <d v="1900-01-01T00:00:00"/>
    <n v="10"/>
    <x v="11"/>
    <x v="4"/>
  </r>
  <r>
    <x v="1116"/>
    <n v="-13"/>
    <x v="2409"/>
    <n v="3586.12"/>
    <s v="Complete Access"/>
    <x v="0"/>
    <x v="0"/>
    <x v="0"/>
    <d v="1900-01-01T00:00:00"/>
    <n v="10"/>
    <x v="11"/>
    <x v="4"/>
  </r>
  <r>
    <x v="1117"/>
    <n v="-20"/>
    <x v="2229"/>
    <n v="3810.05"/>
    <s v="Complete Access"/>
    <x v="557"/>
    <x v="7"/>
    <x v="53"/>
    <d v="1899-12-31T00:00:00"/>
    <n v="10"/>
    <x v="11"/>
    <x v="4"/>
  </r>
  <r>
    <x v="1117"/>
    <n v="-32.21"/>
    <x v="2135"/>
    <n v="3777.84"/>
    <s v="Complete Access"/>
    <x v="215"/>
    <x v="1"/>
    <x v="1"/>
    <d v="1899-12-31T00:00:00"/>
    <n v="10"/>
    <x v="11"/>
    <x v="4"/>
  </r>
  <r>
    <x v="1117"/>
    <n v="-176.6"/>
    <x v="2410"/>
    <n v="3601.24"/>
    <s v="Complete Access"/>
    <x v="76"/>
    <x v="2"/>
    <x v="2"/>
    <d v="1899-12-31T00:00:00"/>
    <n v="10"/>
    <x v="11"/>
    <x v="4"/>
  </r>
  <r>
    <x v="1118"/>
    <n v="-24"/>
    <x v="2409"/>
    <n v="3830.05"/>
    <s v="Complete Access"/>
    <x v="0"/>
    <x v="0"/>
    <x v="0"/>
    <d v="1900-01-27T00:00:00"/>
    <n v="10"/>
    <x v="0"/>
    <x v="4"/>
  </r>
  <r>
    <x v="1119"/>
    <n v="-2.84"/>
    <x v="2411"/>
    <n v="3864.05"/>
    <s v="Complete Access"/>
    <x v="188"/>
    <x v="1"/>
    <x v="1"/>
    <d v="1900-01-26T00:00:00"/>
    <n v="9"/>
    <x v="0"/>
    <x v="4"/>
  </r>
  <r>
    <x v="1119"/>
    <n v="-10"/>
    <x v="2412"/>
    <n v="3854.05"/>
    <s v="Complete Access"/>
    <x v="16"/>
    <x v="1"/>
    <x v="5"/>
    <d v="1900-01-26T00:00:00"/>
    <n v="9"/>
    <x v="0"/>
    <x v="4"/>
  </r>
  <r>
    <x v="1119"/>
    <n v="-100"/>
    <x v="2274"/>
    <n v="3866.89"/>
    <s v="Complete Access"/>
    <x v="552"/>
    <x v="0"/>
    <x v="74"/>
    <d v="1900-01-26T00:00:00"/>
    <n v="9"/>
    <x v="0"/>
    <x v="4"/>
  </r>
  <r>
    <x v="1120"/>
    <n v="-40"/>
    <x v="2413"/>
    <n v="3982.89"/>
    <s v="Complete Access"/>
    <x v="12"/>
    <x v="5"/>
    <x v="8"/>
    <d v="1900-01-25T00:00:00"/>
    <n v="9"/>
    <x v="0"/>
    <x v="4"/>
  </r>
  <r>
    <x v="1120"/>
    <n v="-16"/>
    <x v="436"/>
    <n v="3966.89"/>
    <s v="Complete Access"/>
    <x v="186"/>
    <x v="1"/>
    <x v="5"/>
    <d v="1900-01-25T00:00:00"/>
    <n v="9"/>
    <x v="0"/>
    <x v="4"/>
  </r>
  <r>
    <x v="1121"/>
    <n v="3412.26"/>
    <x v="2414"/>
    <n v="4022.89"/>
    <s v="Complete Access"/>
    <x v="384"/>
    <x v="14"/>
    <x v="68"/>
    <d v="1900-01-24T00:00:00"/>
    <n v="9"/>
    <x v="0"/>
    <x v="4"/>
  </r>
  <r>
    <x v="1122"/>
    <n v="-23.89"/>
    <x v="2415"/>
    <n v="738.66"/>
    <s v="Complete Access"/>
    <x v="8"/>
    <x v="1"/>
    <x v="5"/>
    <d v="1900-01-23T00:00:00"/>
    <n v="9"/>
    <x v="0"/>
    <x v="4"/>
  </r>
  <r>
    <x v="1122"/>
    <n v="-49.09"/>
    <x v="2416"/>
    <n v="689.57"/>
    <s v="Complete Access"/>
    <x v="8"/>
    <x v="1"/>
    <x v="5"/>
    <d v="1900-01-23T00:00:00"/>
    <n v="9"/>
    <x v="0"/>
    <x v="4"/>
  </r>
  <r>
    <x v="1122"/>
    <n v="-18.600000000000001"/>
    <x v="2417"/>
    <n v="651.97"/>
    <s v="Complete Access"/>
    <x v="218"/>
    <x v="8"/>
    <x v="29"/>
    <d v="1900-01-23T00:00:00"/>
    <n v="9"/>
    <x v="0"/>
    <x v="4"/>
  </r>
  <r>
    <x v="1122"/>
    <n v="-19"/>
    <x v="2417"/>
    <n v="670.57"/>
    <s v="Complete Access"/>
    <x v="218"/>
    <x v="8"/>
    <x v="29"/>
    <d v="1900-01-23T00:00:00"/>
    <n v="9"/>
    <x v="0"/>
    <x v="4"/>
  </r>
  <r>
    <x v="1122"/>
    <n v="-21.34"/>
    <x v="2418"/>
    <n v="610.63"/>
    <s v="Complete Access"/>
    <x v="1"/>
    <x v="1"/>
    <x v="1"/>
    <d v="1900-01-23T00:00:00"/>
    <n v="9"/>
    <x v="0"/>
    <x v="4"/>
  </r>
  <r>
    <x v="1122"/>
    <n v="-20"/>
    <x v="2419"/>
    <n v="631.97"/>
    <s v="Complete Access"/>
    <x v="34"/>
    <x v="9"/>
    <x v="12"/>
    <d v="1900-01-23T00:00:00"/>
    <n v="9"/>
    <x v="0"/>
    <x v="4"/>
  </r>
  <r>
    <x v="1123"/>
    <n v="-1.75"/>
    <x v="2420"/>
    <n v="1462.55"/>
    <s v="Complete Access"/>
    <x v="188"/>
    <x v="1"/>
    <x v="1"/>
    <d v="1900-01-22T00:00:00"/>
    <n v="9"/>
    <x v="0"/>
    <x v="4"/>
  </r>
  <r>
    <x v="1123"/>
    <n v="-700"/>
    <x v="2305"/>
    <n v="762.55"/>
    <s v="Complete Access"/>
    <x v="0"/>
    <x v="0"/>
    <x v="0"/>
    <d v="1900-01-22T00:00:00"/>
    <n v="9"/>
    <x v="0"/>
    <x v="4"/>
  </r>
  <r>
    <x v="1124"/>
    <n v="-53.51"/>
    <x v="2105"/>
    <n v="1464.3"/>
    <s v="Complete Access"/>
    <x v="4"/>
    <x v="1"/>
    <x v="1"/>
    <d v="1900-01-21T00:00:00"/>
    <n v="9"/>
    <x v="0"/>
    <x v="4"/>
  </r>
  <r>
    <x v="1125"/>
    <n v="-100"/>
    <x v="2274"/>
    <n v="1493.81"/>
    <s v="Complete Access"/>
    <x v="552"/>
    <x v="0"/>
    <x v="74"/>
    <d v="1900-01-19T00:00:00"/>
    <n v="8"/>
    <x v="0"/>
    <x v="4"/>
  </r>
  <r>
    <x v="1125"/>
    <n v="24"/>
    <x v="2421"/>
    <n v="1517.81"/>
    <s v="Complete Access"/>
    <x v="583"/>
    <x v="0"/>
    <x v="69"/>
    <d v="1900-01-19T00:00:00"/>
    <n v="8"/>
    <x v="0"/>
    <x v="4"/>
  </r>
  <r>
    <x v="1126"/>
    <n v="-3.08"/>
    <x v="2422"/>
    <n v="1617.71"/>
    <s v="Complete Access"/>
    <x v="188"/>
    <x v="1"/>
    <x v="1"/>
    <d v="1900-01-18T00:00:00"/>
    <n v="8"/>
    <x v="0"/>
    <x v="4"/>
  </r>
  <r>
    <x v="1126"/>
    <n v="-40"/>
    <x v="2423"/>
    <n v="1620.79"/>
    <s v="Complete Access"/>
    <x v="12"/>
    <x v="5"/>
    <x v="8"/>
    <d v="1900-01-18T00:00:00"/>
    <n v="8"/>
    <x v="0"/>
    <x v="4"/>
  </r>
  <r>
    <x v="1126"/>
    <n v="-13.9"/>
    <x v="2406"/>
    <n v="1593.81"/>
    <s v="Complete Access"/>
    <x v="27"/>
    <x v="1"/>
    <x v="5"/>
    <d v="1900-01-18T00:00:00"/>
    <n v="8"/>
    <x v="0"/>
    <x v="4"/>
  </r>
  <r>
    <x v="1126"/>
    <n v="-10"/>
    <x v="2424"/>
    <n v="1607.71"/>
    <s v="Complete Access"/>
    <x v="16"/>
    <x v="1"/>
    <x v="5"/>
    <d v="1900-01-18T00:00:00"/>
    <n v="8"/>
    <x v="0"/>
    <x v="4"/>
  </r>
  <r>
    <x v="1127"/>
    <n v="-24.99"/>
    <x v="2425"/>
    <n v="2271.56"/>
    <s v="Complete Access"/>
    <x v="8"/>
    <x v="1"/>
    <x v="5"/>
    <d v="1900-01-17T00:00:00"/>
    <n v="8"/>
    <x v="0"/>
    <x v="4"/>
  </r>
  <r>
    <x v="1127"/>
    <n v="-59.2"/>
    <x v="2426"/>
    <n v="2212.36"/>
    <s v="Complete Access"/>
    <x v="207"/>
    <x v="7"/>
    <x v="11"/>
    <d v="1900-01-17T00:00:00"/>
    <n v="8"/>
    <x v="0"/>
    <x v="4"/>
  </r>
  <r>
    <x v="1127"/>
    <n v="-16"/>
    <x v="2329"/>
    <n v="1696.36"/>
    <s v="Complete Access"/>
    <x v="562"/>
    <x v="1"/>
    <x v="5"/>
    <d v="1900-01-17T00:00:00"/>
    <n v="8"/>
    <x v="0"/>
    <x v="4"/>
  </r>
  <r>
    <x v="1127"/>
    <n v="2143.4699999999998"/>
    <x v="2427"/>
    <n v="2296.5500000000002"/>
    <s v="Complete Access"/>
    <x v="14"/>
    <x v="6"/>
    <x v="9"/>
    <d v="1900-01-17T00:00:00"/>
    <n v="8"/>
    <x v="0"/>
    <x v="4"/>
  </r>
  <r>
    <x v="1127"/>
    <n v="-500"/>
    <x v="2294"/>
    <n v="1712.36"/>
    <s v="Complete Access"/>
    <x v="571"/>
    <x v="19"/>
    <x v="61"/>
    <d v="1900-01-17T00:00:00"/>
    <n v="8"/>
    <x v="0"/>
    <x v="4"/>
  </r>
  <r>
    <x v="1127"/>
    <n v="-35.57"/>
    <x v="2105"/>
    <n v="1660.79"/>
    <s v="Complete Access"/>
    <x v="4"/>
    <x v="1"/>
    <x v="1"/>
    <d v="1900-01-17T00:00:00"/>
    <n v="8"/>
    <x v="0"/>
    <x v="4"/>
  </r>
  <r>
    <x v="1128"/>
    <n v="-23.89"/>
    <x v="2428"/>
    <n v="153.08000000000001"/>
    <s v="Complete Access"/>
    <x v="8"/>
    <x v="1"/>
    <x v="5"/>
    <d v="1900-01-16T00:00:00"/>
    <n v="8"/>
    <x v="0"/>
    <x v="4"/>
  </r>
  <r>
    <x v="1129"/>
    <n v="-2.41"/>
    <x v="2429"/>
    <n v="239.16"/>
    <s v="Complete Access"/>
    <x v="188"/>
    <x v="1"/>
    <x v="1"/>
    <d v="1900-01-15T00:00:00"/>
    <n v="8"/>
    <x v="0"/>
    <x v="4"/>
  </r>
  <r>
    <x v="1129"/>
    <n v="-31.99"/>
    <x v="2135"/>
    <n v="176.97"/>
    <s v="Complete Access"/>
    <x v="215"/>
    <x v="1"/>
    <x v="1"/>
    <d v="1900-01-15T00:00:00"/>
    <n v="8"/>
    <x v="0"/>
    <x v="4"/>
  </r>
  <r>
    <x v="1129"/>
    <n v="-22"/>
    <x v="2430"/>
    <n v="208.96"/>
    <s v="Complete Access"/>
    <x v="190"/>
    <x v="8"/>
    <x v="29"/>
    <d v="1900-01-15T00:00:00"/>
    <n v="8"/>
    <x v="0"/>
    <x v="4"/>
  </r>
  <r>
    <x v="1129"/>
    <n v="-8.1999999999999993"/>
    <x v="2430"/>
    <n v="230.96"/>
    <s v="Complete Access"/>
    <x v="190"/>
    <x v="8"/>
    <x v="29"/>
    <d v="1900-01-15T00:00:00"/>
    <n v="8"/>
    <x v="0"/>
    <x v="4"/>
  </r>
  <r>
    <x v="1130"/>
    <n v="-500"/>
    <x v="2431"/>
    <n v="241.57"/>
    <s v="Complete Access"/>
    <x v="0"/>
    <x v="0"/>
    <x v="0"/>
    <d v="1900-01-12T00:00:00"/>
    <n v="7"/>
    <x v="0"/>
    <x v="4"/>
  </r>
  <r>
    <x v="1130"/>
    <n v="-3.08"/>
    <x v="2432"/>
    <n v="3254.92"/>
    <s v="Complete Access"/>
    <x v="188"/>
    <x v="1"/>
    <x v="1"/>
    <d v="1900-01-12T00:00:00"/>
    <n v="7"/>
    <x v="0"/>
    <x v="4"/>
  </r>
  <r>
    <x v="1130"/>
    <n v="-13.35"/>
    <x v="2135"/>
    <n v="3241.57"/>
    <s v="Complete Access"/>
    <x v="215"/>
    <x v="1"/>
    <x v="1"/>
    <d v="1900-01-12T00:00:00"/>
    <n v="7"/>
    <x v="0"/>
    <x v="4"/>
  </r>
  <r>
    <x v="1130"/>
    <n v="-100"/>
    <x v="2274"/>
    <n v="3258"/>
    <s v="Complete Access"/>
    <x v="552"/>
    <x v="0"/>
    <x v="74"/>
    <d v="1900-01-12T00:00:00"/>
    <n v="7"/>
    <x v="0"/>
    <x v="4"/>
  </r>
  <r>
    <x v="1130"/>
    <n v="-2500"/>
    <x v="2433"/>
    <n v="741.57"/>
    <s v="Complete Access"/>
    <x v="504"/>
    <x v="0"/>
    <x v="72"/>
    <d v="1900-01-12T00:00:00"/>
    <n v="7"/>
    <x v="0"/>
    <x v="4"/>
  </r>
  <r>
    <x v="1131"/>
    <n v="-2.36"/>
    <x v="2434"/>
    <n v="3381"/>
    <s v="Complete Access"/>
    <x v="188"/>
    <x v="1"/>
    <x v="1"/>
    <d v="1900-01-11T00:00:00"/>
    <n v="7"/>
    <x v="0"/>
    <x v="4"/>
  </r>
  <r>
    <x v="1131"/>
    <n v="-7"/>
    <x v="2435"/>
    <n v="3374"/>
    <s v="Complete Access"/>
    <x v="16"/>
    <x v="1"/>
    <x v="5"/>
    <d v="1900-01-11T00:00:00"/>
    <n v="7"/>
    <x v="0"/>
    <x v="4"/>
  </r>
  <r>
    <x v="1131"/>
    <n v="-16"/>
    <x v="436"/>
    <n v="3358"/>
    <s v="Complete Access"/>
    <x v="186"/>
    <x v="1"/>
    <x v="5"/>
    <d v="1900-01-11T00:00:00"/>
    <n v="7"/>
    <x v="0"/>
    <x v="4"/>
  </r>
  <r>
    <x v="1132"/>
    <n v="-40"/>
    <x v="2436"/>
    <n v="3556.14"/>
    <s v="Complete Access"/>
    <x v="12"/>
    <x v="5"/>
    <x v="8"/>
    <d v="1900-01-10T00:00:00"/>
    <n v="7"/>
    <x v="0"/>
    <x v="4"/>
  </r>
  <r>
    <x v="1132"/>
    <n v="-16"/>
    <x v="2329"/>
    <n v="3521.64"/>
    <s v="Complete Access"/>
    <x v="562"/>
    <x v="1"/>
    <x v="5"/>
    <d v="1900-01-10T00:00:00"/>
    <n v="7"/>
    <x v="0"/>
    <x v="4"/>
  </r>
  <r>
    <x v="1132"/>
    <n v="-138.28"/>
    <x v="2437"/>
    <n v="3383.36"/>
    <s v="Complete Access"/>
    <x v="438"/>
    <x v="12"/>
    <x v="21"/>
    <d v="1900-01-10T00:00:00"/>
    <n v="7"/>
    <x v="0"/>
    <x v="4"/>
  </r>
  <r>
    <x v="1132"/>
    <n v="-18.5"/>
    <x v="2438"/>
    <n v="3537.64"/>
    <s v="Complete Access"/>
    <x v="1"/>
    <x v="1"/>
    <x v="1"/>
    <d v="1900-01-10T00:00:00"/>
    <n v="7"/>
    <x v="0"/>
    <x v="4"/>
  </r>
  <r>
    <x v="1133"/>
    <n v="-50.74"/>
    <x v="2439"/>
    <n v="3627.64"/>
    <s v="Complete Access"/>
    <x v="8"/>
    <x v="1"/>
    <x v="5"/>
    <d v="1900-01-09T00:00:00"/>
    <n v="7"/>
    <x v="0"/>
    <x v="4"/>
  </r>
  <r>
    <x v="1133"/>
    <n v="-31.5"/>
    <x v="1633"/>
    <n v="3596.14"/>
    <s v="Complete Access"/>
    <x v="434"/>
    <x v="8"/>
    <x v="29"/>
    <d v="1900-01-09T00:00:00"/>
    <n v="7"/>
    <x v="0"/>
    <x v="4"/>
  </r>
  <r>
    <x v="1134"/>
    <n v="-2.61"/>
    <x v="2440"/>
    <n v="3722.39"/>
    <s v="Complete Access"/>
    <x v="188"/>
    <x v="1"/>
    <x v="1"/>
    <d v="1900-01-08T00:00:00"/>
    <n v="7"/>
    <x v="0"/>
    <x v="4"/>
  </r>
  <r>
    <x v="1134"/>
    <n v="-44.01"/>
    <x v="2105"/>
    <n v="3678.38"/>
    <s v="Complete Access"/>
    <x v="4"/>
    <x v="1"/>
    <x v="1"/>
    <d v="1900-01-08T00:00:00"/>
    <n v="7"/>
    <x v="0"/>
    <x v="4"/>
  </r>
  <r>
    <x v="1135"/>
    <n v="-1.79"/>
    <x v="2441"/>
    <n v="3853"/>
    <s v="Complete Access"/>
    <x v="188"/>
    <x v="1"/>
    <x v="1"/>
    <d v="1900-01-05T00:00:00"/>
    <n v="6"/>
    <x v="0"/>
    <x v="4"/>
  </r>
  <r>
    <x v="1135"/>
    <n v="-18.5"/>
    <x v="2442"/>
    <n v="3725"/>
    <s v="Complete Access"/>
    <x v="593"/>
    <x v="1"/>
    <x v="5"/>
    <d v="1900-01-05T00:00:00"/>
    <n v="6"/>
    <x v="0"/>
    <x v="4"/>
  </r>
  <r>
    <x v="1135"/>
    <n v="-9.5"/>
    <x v="2443"/>
    <n v="3843.5"/>
    <s v="Complete Access"/>
    <x v="16"/>
    <x v="1"/>
    <x v="5"/>
    <d v="1900-01-05T00:00:00"/>
    <n v="6"/>
    <x v="0"/>
    <x v="4"/>
  </r>
  <r>
    <x v="1135"/>
    <n v="-100"/>
    <x v="2274"/>
    <n v="3743.5"/>
    <s v="Complete Access"/>
    <x v="552"/>
    <x v="0"/>
    <x v="74"/>
    <d v="1900-01-05T00:00:00"/>
    <n v="6"/>
    <x v="0"/>
    <x v="4"/>
  </r>
  <r>
    <x v="1136"/>
    <n v="-11.65"/>
    <x v="2444"/>
    <n v="3870.79"/>
    <s v="Complete Access"/>
    <x v="188"/>
    <x v="1"/>
    <x v="1"/>
    <d v="1900-01-04T00:00:00"/>
    <n v="6"/>
    <x v="0"/>
    <x v="4"/>
  </r>
  <r>
    <x v="1136"/>
    <n v="-16"/>
    <x v="436"/>
    <n v="3854.79"/>
    <s v="Complete Access"/>
    <x v="186"/>
    <x v="1"/>
    <x v="5"/>
    <d v="1900-01-04T00:00:00"/>
    <n v="6"/>
    <x v="0"/>
    <x v="4"/>
  </r>
  <r>
    <x v="1137"/>
    <n v="2223.19"/>
    <x v="2445"/>
    <n v="4382.4399999999996"/>
    <s v="Complete Access"/>
    <x v="14"/>
    <x v="6"/>
    <x v="9"/>
    <d v="1900-01-03T00:00:00"/>
    <n v="6"/>
    <x v="0"/>
    <x v="4"/>
  </r>
  <r>
    <x v="1137"/>
    <n v="-500"/>
    <x v="2294"/>
    <n v="3882.44"/>
    <s v="Complete Access"/>
    <x v="571"/>
    <x v="19"/>
    <x v="61"/>
    <d v="1900-01-03T00:00:00"/>
    <n v="6"/>
    <x v="0"/>
    <x v="4"/>
  </r>
  <r>
    <x v="1138"/>
    <n v="-60.99"/>
    <x v="2446"/>
    <n v="2220.13"/>
    <s v="Complete Access"/>
    <x v="8"/>
    <x v="1"/>
    <x v="5"/>
    <d v="1900-01-02T00:00:00"/>
    <n v="6"/>
    <x v="0"/>
    <x v="4"/>
  </r>
  <r>
    <x v="1138"/>
    <n v="-21.89"/>
    <x v="2447"/>
    <n v="2162.25"/>
    <s v="Complete Access"/>
    <x v="8"/>
    <x v="1"/>
    <x v="5"/>
    <d v="1900-01-02T00:00:00"/>
    <n v="6"/>
    <x v="0"/>
    <x v="4"/>
  </r>
  <r>
    <x v="1138"/>
    <n v="-35.99"/>
    <x v="2448"/>
    <n v="2184.14"/>
    <s v="Complete Access"/>
    <x v="8"/>
    <x v="1"/>
    <x v="5"/>
    <d v="1900-01-02T00:00:00"/>
    <n v="6"/>
    <x v="0"/>
    <x v="4"/>
  </r>
  <r>
    <x v="1138"/>
    <n v="-3"/>
    <x v="2449"/>
    <n v="2159.25"/>
    <s v="Complete Access"/>
    <x v="1"/>
    <x v="1"/>
    <x v="1"/>
    <d v="1900-01-02T00:00:00"/>
    <n v="6"/>
    <x v="0"/>
    <x v="4"/>
  </r>
  <r>
    <x v="1139"/>
    <n v="-7.9"/>
    <x v="2450"/>
    <n v="2301.11"/>
    <s v="Complete Access"/>
    <x v="277"/>
    <x v="8"/>
    <x v="29"/>
    <d v="1900-01-01T00:00:00"/>
    <n v="6"/>
    <x v="0"/>
    <x v="4"/>
  </r>
  <r>
    <x v="1139"/>
    <n v="-19.989999999999998"/>
    <x v="2451"/>
    <n v="2281.12"/>
    <s v="Complete Access"/>
    <x v="34"/>
    <x v="9"/>
    <x v="12"/>
    <d v="1900-01-01T00:00:00"/>
    <n v="6"/>
    <x v="0"/>
    <x v="4"/>
  </r>
  <r>
    <x v="1140"/>
    <n v="5000"/>
    <x v="2305"/>
    <n v="6485.61"/>
    <s v="Complete Access"/>
    <x v="0"/>
    <x v="0"/>
    <x v="0"/>
    <d v="1899-12-31T00:00:00"/>
    <n v="6"/>
    <x v="0"/>
    <x v="4"/>
  </r>
  <r>
    <x v="1140"/>
    <n v="-20"/>
    <x v="2229"/>
    <n v="1530.64"/>
    <s v="Complete Access"/>
    <x v="557"/>
    <x v="7"/>
    <x v="53"/>
    <d v="1899-12-31T00:00:00"/>
    <n v="6"/>
    <x v="0"/>
    <x v="4"/>
  </r>
  <r>
    <x v="1140"/>
    <n v="-176.6"/>
    <x v="2452"/>
    <n v="2309.0100000000002"/>
    <s v="Complete Access"/>
    <x v="76"/>
    <x v="2"/>
    <x v="2"/>
    <d v="1899-12-31T00:00:00"/>
    <n v="6"/>
    <x v="0"/>
    <x v="4"/>
  </r>
  <r>
    <x v="1140"/>
    <n v="-2000"/>
    <x v="2453"/>
    <n v="2485.61"/>
    <s v="Complete Access"/>
    <x v="504"/>
    <x v="0"/>
    <x v="72"/>
    <d v="1899-12-31T00:00:00"/>
    <n v="6"/>
    <x v="0"/>
    <x v="4"/>
  </r>
  <r>
    <x v="1140"/>
    <n v="-2000"/>
    <x v="2454"/>
    <n v="4485.6099999999997"/>
    <s v="Complete Access"/>
    <x v="504"/>
    <x v="0"/>
    <x v="72"/>
    <d v="1899-12-31T00:00:00"/>
    <n v="6"/>
    <x v="0"/>
    <x v="4"/>
  </r>
  <r>
    <x v="1140"/>
    <n v="-45.03"/>
    <x v="2105"/>
    <n v="1485.61"/>
    <s v="Complete Access"/>
    <x v="4"/>
    <x v="1"/>
    <x v="1"/>
    <d v="1899-12-31T00:00:00"/>
    <n v="6"/>
    <x v="0"/>
    <x v="4"/>
  </r>
  <r>
    <x v="1141"/>
    <n v="36"/>
    <x v="2266"/>
    <n v="1550.64"/>
    <s v="Complete Access"/>
    <x v="27"/>
    <x v="1"/>
    <x v="5"/>
    <d v="1900-01-30T00:00:00"/>
    <n v="6"/>
    <x v="1"/>
    <x v="4"/>
  </r>
  <r>
    <x v="1142"/>
    <n v="-1.9"/>
    <x v="2455"/>
    <n v="1514.64"/>
    <s v="Complete Access"/>
    <x v="188"/>
    <x v="1"/>
    <x v="1"/>
    <d v="1900-01-29T00:00:00"/>
    <n v="5"/>
    <x v="1"/>
    <x v="4"/>
  </r>
  <r>
    <x v="1142"/>
    <n v="-100"/>
    <x v="2274"/>
    <n v="1516.54"/>
    <s v="Complete Access"/>
    <x v="552"/>
    <x v="0"/>
    <x v="74"/>
    <d v="1900-01-29T00:00:00"/>
    <n v="5"/>
    <x v="1"/>
    <x v="4"/>
  </r>
  <r>
    <x v="1143"/>
    <n v="-8.0500000000000007"/>
    <x v="2456"/>
    <n v="1627.54"/>
    <s v="Complete Access"/>
    <x v="188"/>
    <x v="1"/>
    <x v="1"/>
    <d v="1900-01-28T00:00:00"/>
    <n v="5"/>
    <x v="1"/>
    <x v="4"/>
  </r>
  <r>
    <x v="1143"/>
    <n v="-2.81"/>
    <x v="2456"/>
    <n v="1635.59"/>
    <s v="Complete Access"/>
    <x v="188"/>
    <x v="1"/>
    <x v="1"/>
    <d v="1900-01-28T00:00:00"/>
    <n v="5"/>
    <x v="1"/>
    <x v="4"/>
  </r>
  <r>
    <x v="1143"/>
    <n v="-40"/>
    <x v="2457"/>
    <n v="1638.4"/>
    <s v="Complete Access"/>
    <x v="12"/>
    <x v="5"/>
    <x v="8"/>
    <d v="1900-01-28T00:00:00"/>
    <n v="5"/>
    <x v="1"/>
    <x v="4"/>
  </r>
  <r>
    <x v="1143"/>
    <n v="-11"/>
    <x v="2458"/>
    <n v="1616.54"/>
    <s v="Complete Access"/>
    <x v="16"/>
    <x v="1"/>
    <x v="5"/>
    <d v="1900-01-28T00:00:00"/>
    <n v="5"/>
    <x v="1"/>
    <x v="4"/>
  </r>
  <r>
    <x v="1144"/>
    <n v="-16"/>
    <x v="2329"/>
    <n v="1724.54"/>
    <s v="Complete Access"/>
    <x v="562"/>
    <x v="1"/>
    <x v="5"/>
    <d v="1900-01-27T00:00:00"/>
    <n v="5"/>
    <x v="1"/>
    <x v="4"/>
  </r>
  <r>
    <x v="1144"/>
    <n v="-655"/>
    <x v="2459"/>
    <n v="1778.08"/>
    <s v="Complete Access"/>
    <x v="524"/>
    <x v="3"/>
    <x v="15"/>
    <d v="1900-01-27T00:00:00"/>
    <n v="5"/>
    <x v="1"/>
    <x v="4"/>
  </r>
  <r>
    <x v="1144"/>
    <n v="-5.05"/>
    <x v="2460"/>
    <n v="1773.03"/>
    <s v="Complete Access"/>
    <x v="594"/>
    <x v="1"/>
    <x v="5"/>
    <d v="1900-01-27T00:00:00"/>
    <n v="5"/>
    <x v="1"/>
    <x v="4"/>
  </r>
  <r>
    <x v="1144"/>
    <n v="-8.49"/>
    <x v="2461"/>
    <n v="1764.54"/>
    <s v="Complete Access"/>
    <x v="543"/>
    <x v="3"/>
    <x v="15"/>
    <d v="1900-01-27T00:00:00"/>
    <n v="5"/>
    <x v="1"/>
    <x v="4"/>
  </r>
  <r>
    <x v="1144"/>
    <n v="-24"/>
    <x v="2462"/>
    <n v="1740.54"/>
    <s v="Complete Access"/>
    <x v="595"/>
    <x v="9"/>
    <x v="12"/>
    <d v="1900-01-27T00:00:00"/>
    <n v="5"/>
    <x v="1"/>
    <x v="4"/>
  </r>
  <r>
    <x v="1144"/>
    <n v="-46.14"/>
    <x v="2105"/>
    <n v="1678.4"/>
    <s v="Complete Access"/>
    <x v="4"/>
    <x v="1"/>
    <x v="1"/>
    <d v="1900-01-27T00:00:00"/>
    <n v="5"/>
    <x v="1"/>
    <x v="4"/>
  </r>
  <r>
    <x v="1145"/>
    <n v="-11.73"/>
    <x v="2463"/>
    <n v="2483.1799999999998"/>
    <s v="Complete Access"/>
    <x v="188"/>
    <x v="1"/>
    <x v="1"/>
    <d v="1900-01-25T00:00:00"/>
    <n v="5"/>
    <x v="1"/>
    <x v="4"/>
  </r>
  <r>
    <x v="1145"/>
    <n v="-74.59"/>
    <x v="2464"/>
    <n v="2494.91"/>
    <s v="Complete Access"/>
    <x v="8"/>
    <x v="1"/>
    <x v="5"/>
    <d v="1900-01-25T00:00:00"/>
    <n v="5"/>
    <x v="1"/>
    <x v="4"/>
  </r>
  <r>
    <x v="1145"/>
    <n v="-20"/>
    <x v="2465"/>
    <n v="2569.5"/>
    <s v="Complete Access"/>
    <x v="438"/>
    <x v="12"/>
    <x v="21"/>
    <d v="1900-01-25T00:00:00"/>
    <n v="5"/>
    <x v="1"/>
    <x v="4"/>
  </r>
  <r>
    <x v="1145"/>
    <n v="-188.83"/>
    <x v="2466"/>
    <n v="2589.5"/>
    <s v="Complete Access"/>
    <x v="95"/>
    <x v="14"/>
    <x v="38"/>
    <d v="1900-01-25T00:00:00"/>
    <n v="5"/>
    <x v="1"/>
    <x v="4"/>
  </r>
  <r>
    <x v="1145"/>
    <n v="-9.1"/>
    <x v="2467"/>
    <n v="2474.08"/>
    <s v="Complete Access"/>
    <x v="596"/>
    <x v="8"/>
    <x v="29"/>
    <d v="1900-01-25T00:00:00"/>
    <n v="5"/>
    <x v="1"/>
    <x v="4"/>
  </r>
  <r>
    <x v="1145"/>
    <n v="-41"/>
    <x v="2468"/>
    <n v="2433.08"/>
    <s v="Complete Access"/>
    <x v="0"/>
    <x v="0"/>
    <x v="0"/>
    <d v="1900-01-25T00:00:00"/>
    <n v="5"/>
    <x v="1"/>
    <x v="4"/>
  </r>
  <r>
    <x v="1146"/>
    <n v="-15.23"/>
    <x v="2469"/>
    <n v="2880.23"/>
    <s v="Complete Access"/>
    <x v="597"/>
    <x v="20"/>
    <x v="63"/>
    <d v="1900-01-23T00:00:00"/>
    <n v="5"/>
    <x v="1"/>
    <x v="4"/>
  </r>
  <r>
    <x v="1146"/>
    <n v="-26"/>
    <x v="2467"/>
    <n v="2778.33"/>
    <s v="Complete Access"/>
    <x v="596"/>
    <x v="8"/>
    <x v="29"/>
    <d v="1900-01-23T00:00:00"/>
    <n v="5"/>
    <x v="1"/>
    <x v="4"/>
  </r>
  <r>
    <x v="1146"/>
    <n v="-59"/>
    <x v="2467"/>
    <n v="2804.33"/>
    <s v="Complete Access"/>
    <x v="596"/>
    <x v="8"/>
    <x v="29"/>
    <d v="1900-01-23T00:00:00"/>
    <n v="5"/>
    <x v="1"/>
    <x v="4"/>
  </r>
  <r>
    <x v="1146"/>
    <n v="-16.899999999999999"/>
    <x v="2467"/>
    <n v="2863.33"/>
    <s v="Complete Access"/>
    <x v="596"/>
    <x v="8"/>
    <x v="29"/>
    <d v="1900-01-23T00:00:00"/>
    <n v="5"/>
    <x v="1"/>
    <x v="4"/>
  </r>
  <r>
    <x v="1146"/>
    <n v="-9"/>
    <x v="2470"/>
    <n v="2895.46"/>
    <s v="Complete Access"/>
    <x v="598"/>
    <x v="1"/>
    <x v="5"/>
    <d v="1900-01-23T00:00:00"/>
    <n v="5"/>
    <x v="1"/>
    <x v="4"/>
  </r>
  <r>
    <x v="1147"/>
    <n v="-100"/>
    <x v="2274"/>
    <n v="2918.46"/>
    <s v="Complete Access"/>
    <x v="552"/>
    <x v="0"/>
    <x v="74"/>
    <d v="1900-01-22T00:00:00"/>
    <n v="4"/>
    <x v="1"/>
    <x v="4"/>
  </r>
  <r>
    <x v="1147"/>
    <n v="-14"/>
    <x v="2471"/>
    <n v="2904.46"/>
    <s v="Complete Access"/>
    <x v="186"/>
    <x v="1"/>
    <x v="5"/>
    <d v="1900-01-22T00:00:00"/>
    <n v="4"/>
    <x v="1"/>
    <x v="4"/>
  </r>
  <r>
    <x v="1148"/>
    <n v="-11.85"/>
    <x v="2472"/>
    <n v="3027.96"/>
    <s v="Complete Access"/>
    <x v="188"/>
    <x v="1"/>
    <x v="1"/>
    <d v="1900-01-21T00:00:00"/>
    <n v="4"/>
    <x v="1"/>
    <x v="4"/>
  </r>
  <r>
    <x v="1148"/>
    <n v="-9.5"/>
    <x v="2473"/>
    <n v="3018.46"/>
    <s v="Complete Access"/>
    <x v="16"/>
    <x v="1"/>
    <x v="5"/>
    <d v="1900-01-21T00:00:00"/>
    <n v="4"/>
    <x v="1"/>
    <x v="4"/>
  </r>
  <r>
    <x v="1149"/>
    <n v="-40"/>
    <x v="2474"/>
    <n v="3182.4"/>
    <s v="Complete Access"/>
    <x v="12"/>
    <x v="5"/>
    <x v="8"/>
    <d v="1900-01-20T00:00:00"/>
    <n v="4"/>
    <x v="1"/>
    <x v="4"/>
  </r>
  <r>
    <x v="1149"/>
    <n v="-5"/>
    <x v="2475"/>
    <n v="2964.81"/>
    <s v="Complete Access"/>
    <x v="507"/>
    <x v="1"/>
    <x v="1"/>
    <d v="1900-01-20T00:00:00"/>
    <n v="4"/>
    <x v="1"/>
    <x v="4"/>
  </r>
  <r>
    <x v="1149"/>
    <n v="-59"/>
    <x v="2476"/>
    <n v="3123.4"/>
    <s v="Complete Access"/>
    <x v="207"/>
    <x v="7"/>
    <x v="11"/>
    <d v="1900-01-20T00:00:00"/>
    <n v="4"/>
    <x v="1"/>
    <x v="4"/>
  </r>
  <r>
    <x v="1149"/>
    <n v="-118.73"/>
    <x v="2477"/>
    <n v="3004.67"/>
    <s v="Complete Access"/>
    <x v="438"/>
    <x v="12"/>
    <x v="21"/>
    <d v="1900-01-20T00:00:00"/>
    <n v="4"/>
    <x v="1"/>
    <x v="4"/>
  </r>
  <r>
    <x v="1149"/>
    <n v="2248.8000000000002"/>
    <x v="2478"/>
    <n v="3722.4"/>
    <s v="Complete Access"/>
    <x v="14"/>
    <x v="6"/>
    <x v="9"/>
    <d v="1900-01-20T00:00:00"/>
    <n v="4"/>
    <x v="1"/>
    <x v="4"/>
  </r>
  <r>
    <x v="1149"/>
    <n v="-500"/>
    <x v="2294"/>
    <n v="3222.4"/>
    <s v="Complete Access"/>
    <x v="571"/>
    <x v="19"/>
    <x v="61"/>
    <d v="1900-01-20T00:00:00"/>
    <n v="4"/>
    <x v="1"/>
    <x v="4"/>
  </r>
  <r>
    <x v="1149"/>
    <n v="75"/>
    <x v="2479"/>
    <n v="3039.81"/>
    <s v="Complete Access"/>
    <x v="584"/>
    <x v="0"/>
    <x v="69"/>
    <d v="1900-01-20T00:00:00"/>
    <n v="4"/>
    <x v="1"/>
    <x v="4"/>
  </r>
  <r>
    <x v="1149"/>
    <n v="-34.86"/>
    <x v="2480"/>
    <n v="2969.81"/>
    <s v="Complete Access"/>
    <x v="237"/>
    <x v="15"/>
    <x v="34"/>
    <d v="1900-01-20T00:00:00"/>
    <n v="4"/>
    <x v="1"/>
    <x v="4"/>
  </r>
  <r>
    <x v="1150"/>
    <n v="-11.66"/>
    <x v="2481"/>
    <n v="1484.6"/>
    <s v="Complete Access"/>
    <x v="599"/>
    <x v="15"/>
    <x v="34"/>
    <d v="1900-01-19T00:00:00"/>
    <n v="4"/>
    <x v="1"/>
    <x v="4"/>
  </r>
  <r>
    <x v="1150"/>
    <n v="-11"/>
    <x v="2482"/>
    <n v="1473.6"/>
    <s v="Complete Access"/>
    <x v="600"/>
    <x v="8"/>
    <x v="29"/>
    <d v="1900-01-19T00:00:00"/>
    <n v="4"/>
    <x v="1"/>
    <x v="4"/>
  </r>
  <r>
    <x v="1151"/>
    <n v="-35.94"/>
    <x v="2483"/>
    <n v="1588.79"/>
    <s v="Complete Access"/>
    <x v="8"/>
    <x v="1"/>
    <x v="5"/>
    <d v="1900-01-18T00:00:00"/>
    <n v="4"/>
    <x v="1"/>
    <x v="4"/>
  </r>
  <r>
    <x v="1151"/>
    <n v="-10.59"/>
    <x v="2135"/>
    <n v="1578.2"/>
    <s v="Complete Access"/>
    <x v="215"/>
    <x v="1"/>
    <x v="1"/>
    <d v="1900-01-18T00:00:00"/>
    <n v="4"/>
    <x v="1"/>
    <x v="4"/>
  </r>
  <r>
    <x v="1151"/>
    <n v="-81.94"/>
    <x v="2105"/>
    <n v="1496.26"/>
    <s v="Complete Access"/>
    <x v="4"/>
    <x v="1"/>
    <x v="1"/>
    <d v="1900-01-18T00:00:00"/>
    <n v="4"/>
    <x v="1"/>
    <x v="4"/>
  </r>
  <r>
    <x v="1152"/>
    <n v="-100"/>
    <x v="2484"/>
    <n v="1627.63"/>
    <s v="Complete Access"/>
    <x v="601"/>
    <x v="0"/>
    <x v="0"/>
    <d v="1900-01-15T00:00:00"/>
    <n v="3"/>
    <x v="1"/>
    <x v="4"/>
  </r>
  <r>
    <x v="1152"/>
    <n v="-2"/>
    <x v="2485"/>
    <n v="1798.33"/>
    <s v="Complete Access"/>
    <x v="602"/>
    <x v="11"/>
    <x v="14"/>
    <d v="1900-01-15T00:00:00"/>
    <n v="3"/>
    <x v="1"/>
    <x v="4"/>
  </r>
  <r>
    <x v="1152"/>
    <n v="-18.18"/>
    <x v="2486"/>
    <n v="1727.63"/>
    <s v="Complete Access"/>
    <x v="603"/>
    <x v="8"/>
    <x v="29"/>
    <d v="1900-01-15T00:00:00"/>
    <n v="3"/>
    <x v="1"/>
    <x v="4"/>
  </r>
  <r>
    <x v="1152"/>
    <n v="-52.52"/>
    <x v="2486"/>
    <n v="1745.81"/>
    <s v="Complete Access"/>
    <x v="603"/>
    <x v="8"/>
    <x v="29"/>
    <d v="1900-01-15T00:00:00"/>
    <n v="3"/>
    <x v="1"/>
    <x v="4"/>
  </r>
  <r>
    <x v="1152"/>
    <n v="-2.9"/>
    <x v="72"/>
    <n v="1624.73"/>
    <s v="Complete Access"/>
    <x v="37"/>
    <x v="0"/>
    <x v="0"/>
    <d v="1900-01-15T00:00:00"/>
    <n v="3"/>
    <x v="1"/>
    <x v="4"/>
  </r>
  <r>
    <x v="1152"/>
    <n v="-100"/>
    <x v="2274"/>
    <n v="1800.33"/>
    <s v="Complete Access"/>
    <x v="552"/>
    <x v="0"/>
    <x v="74"/>
    <d v="1900-01-15T00:00:00"/>
    <n v="3"/>
    <x v="1"/>
    <x v="4"/>
  </r>
  <r>
    <x v="1153"/>
    <n v="-23.48"/>
    <x v="2135"/>
    <n v="1900.33"/>
    <s v="Complete Access"/>
    <x v="215"/>
    <x v="1"/>
    <x v="1"/>
    <d v="1900-01-14T00:00:00"/>
    <n v="3"/>
    <x v="1"/>
    <x v="4"/>
  </r>
  <r>
    <x v="1154"/>
    <n v="-64.569999999999993"/>
    <x v="2487"/>
    <n v="1923.81"/>
    <s v="Complete Access"/>
    <x v="1"/>
    <x v="1"/>
    <x v="1"/>
    <d v="1900-01-13T00:00:00"/>
    <n v="3"/>
    <x v="1"/>
    <x v="4"/>
  </r>
  <r>
    <x v="1155"/>
    <n v="-2.4700000000000002"/>
    <x v="2488"/>
    <n v="1988.38"/>
    <s v="Complete Access"/>
    <x v="188"/>
    <x v="1"/>
    <x v="1"/>
    <d v="1900-01-12T00:00:00"/>
    <n v="3"/>
    <x v="1"/>
    <x v="4"/>
  </r>
  <r>
    <x v="1155"/>
    <n v="-22.49"/>
    <x v="2489"/>
    <n v="1990.85"/>
    <s v="Complete Access"/>
    <x v="8"/>
    <x v="1"/>
    <x v="5"/>
    <d v="1900-01-12T00:00:00"/>
    <n v="3"/>
    <x v="1"/>
    <x v="4"/>
  </r>
  <r>
    <x v="1156"/>
    <n v="-29.49"/>
    <x v="2490"/>
    <n v="2013.34"/>
    <s v="Complete Access"/>
    <x v="8"/>
    <x v="1"/>
    <x v="5"/>
    <d v="1900-01-11T00:00:00"/>
    <n v="3"/>
    <x v="1"/>
    <x v="4"/>
  </r>
  <r>
    <x v="1156"/>
    <n v="-1180"/>
    <x v="2491"/>
    <n v="2042.83"/>
    <s v="Complete Access"/>
    <x v="567"/>
    <x v="0"/>
    <x v="69"/>
    <d v="1900-01-11T00:00:00"/>
    <n v="3"/>
    <x v="1"/>
    <x v="4"/>
  </r>
  <r>
    <x v="1157"/>
    <n v="39.200000000000003"/>
    <x v="2492"/>
    <n v="3222.83"/>
    <s v="Complete Access"/>
    <x v="17"/>
    <x v="7"/>
    <x v="11"/>
    <d v="1900-01-10T00:00:00"/>
    <n v="3"/>
    <x v="1"/>
    <x v="4"/>
  </r>
  <r>
    <x v="1158"/>
    <n v="150.02000000000001"/>
    <x v="2493"/>
    <n v="3202.13"/>
    <s v="Complete Access"/>
    <x v="577"/>
    <x v="0"/>
    <x v="69"/>
    <d v="1900-01-09T00:00:00"/>
    <n v="3"/>
    <x v="1"/>
    <x v="4"/>
  </r>
  <r>
    <x v="1158"/>
    <n v="-18.5"/>
    <x v="2494"/>
    <n v="3183.63"/>
    <s v="Complete Access"/>
    <x v="27"/>
    <x v="1"/>
    <x v="5"/>
    <d v="1900-01-09T00:00:00"/>
    <n v="3"/>
    <x v="1"/>
    <x v="4"/>
  </r>
  <r>
    <x v="1159"/>
    <n v="-15.44"/>
    <x v="2495"/>
    <n v="3054.1"/>
    <s v="Complete Access"/>
    <x v="215"/>
    <x v="1"/>
    <x v="1"/>
    <d v="1900-01-08T00:00:00"/>
    <n v="2"/>
    <x v="1"/>
    <x v="4"/>
  </r>
  <r>
    <x v="1159"/>
    <n v="-61.94"/>
    <x v="2495"/>
    <n v="3069.54"/>
    <s v="Complete Access"/>
    <x v="215"/>
    <x v="1"/>
    <x v="1"/>
    <d v="1900-01-08T00:00:00"/>
    <n v="2"/>
    <x v="1"/>
    <x v="4"/>
  </r>
  <r>
    <x v="1159"/>
    <n v="-100"/>
    <x v="2274"/>
    <n v="3131.48"/>
    <s v="Complete Access"/>
    <x v="552"/>
    <x v="0"/>
    <x v="74"/>
    <d v="1900-01-08T00:00:00"/>
    <n v="2"/>
    <x v="1"/>
    <x v="4"/>
  </r>
  <r>
    <x v="1159"/>
    <n v="-1.99"/>
    <x v="2496"/>
    <n v="3052.11"/>
    <s v="Complete Access"/>
    <x v="604"/>
    <x v="11"/>
    <x v="14"/>
    <d v="1900-01-08T00:00:00"/>
    <n v="2"/>
    <x v="1"/>
    <x v="4"/>
  </r>
  <r>
    <x v="1160"/>
    <n v="2248.8000000000002"/>
    <x v="2497"/>
    <n v="3756.48"/>
    <s v="Complete Access"/>
    <x v="14"/>
    <x v="6"/>
    <x v="9"/>
    <d v="1900-01-06T00:00:00"/>
    <n v="2"/>
    <x v="1"/>
    <x v="4"/>
  </r>
  <r>
    <x v="1160"/>
    <n v="-500"/>
    <x v="2294"/>
    <n v="3231.48"/>
    <s v="Complete Access"/>
    <x v="571"/>
    <x v="19"/>
    <x v="61"/>
    <d v="1900-01-06T00:00:00"/>
    <n v="2"/>
    <x v="1"/>
    <x v="4"/>
  </r>
  <r>
    <x v="1160"/>
    <n v="-25"/>
    <x v="2498"/>
    <n v="3731.48"/>
    <s v="Complete Access"/>
    <x v="605"/>
    <x v="8"/>
    <x v="29"/>
    <d v="1900-01-06T00:00:00"/>
    <n v="2"/>
    <x v="1"/>
    <x v="4"/>
  </r>
  <r>
    <x v="1161"/>
    <n v="-31.06"/>
    <x v="2499"/>
    <n v="1746.68"/>
    <s v="Complete Access"/>
    <x v="8"/>
    <x v="1"/>
    <x v="5"/>
    <d v="1900-01-05T00:00:00"/>
    <n v="2"/>
    <x v="1"/>
    <x v="4"/>
  </r>
  <r>
    <x v="1161"/>
    <n v="-10.33"/>
    <x v="2499"/>
    <n v="1777.74"/>
    <s v="Complete Access"/>
    <x v="8"/>
    <x v="1"/>
    <x v="5"/>
    <d v="1900-01-05T00:00:00"/>
    <n v="2"/>
    <x v="1"/>
    <x v="4"/>
  </r>
  <r>
    <x v="1161"/>
    <n v="-239"/>
    <x v="2500"/>
    <n v="1507.68"/>
    <s v="Complete Access"/>
    <x v="347"/>
    <x v="3"/>
    <x v="62"/>
    <d v="1900-01-05T00:00:00"/>
    <n v="2"/>
    <x v="1"/>
    <x v="4"/>
  </r>
  <r>
    <x v="1162"/>
    <n v="46"/>
    <x v="2282"/>
    <n v="1788.07"/>
    <s v="Complete Access"/>
    <x v="567"/>
    <x v="0"/>
    <x v="69"/>
    <d v="1900-01-04T00:00:00"/>
    <n v="2"/>
    <x v="1"/>
    <x v="4"/>
  </r>
  <r>
    <x v="1163"/>
    <n v="-176.6"/>
    <x v="2501"/>
    <n v="1742.07"/>
    <s v="Complete Access"/>
    <x v="76"/>
    <x v="2"/>
    <x v="2"/>
    <d v="1900-01-03T00:00:00"/>
    <n v="2"/>
    <x v="1"/>
    <x v="4"/>
  </r>
  <r>
    <x v="1163"/>
    <n v="-1.99"/>
    <x v="2496"/>
    <n v="1918.67"/>
    <s v="Complete Access"/>
    <x v="604"/>
    <x v="11"/>
    <x v="14"/>
    <d v="1900-01-03T00:00:00"/>
    <n v="2"/>
    <x v="1"/>
    <x v="4"/>
  </r>
  <r>
    <x v="1164"/>
    <n v="-300"/>
    <x v="2502"/>
    <n v="1929.66"/>
    <s v="Complete Access"/>
    <x v="601"/>
    <x v="0"/>
    <x v="0"/>
    <d v="1900-01-01T00:00:00"/>
    <n v="1"/>
    <x v="1"/>
    <x v="4"/>
  </r>
  <r>
    <x v="1164"/>
    <n v="-9"/>
    <x v="2503"/>
    <n v="2250.86"/>
    <s v="Complete Access"/>
    <x v="606"/>
    <x v="8"/>
    <x v="29"/>
    <d v="1900-01-01T00:00:00"/>
    <n v="1"/>
    <x v="1"/>
    <x v="4"/>
  </r>
  <r>
    <x v="1164"/>
    <n v="-31"/>
    <x v="2503"/>
    <n v="2259.86"/>
    <s v="Complete Access"/>
    <x v="606"/>
    <x v="8"/>
    <x v="29"/>
    <d v="1900-01-01T00:00:00"/>
    <n v="1"/>
    <x v="1"/>
    <x v="4"/>
  </r>
  <r>
    <x v="1164"/>
    <n v="-9"/>
    <x v="2503"/>
    <n v="2290.86"/>
    <s v="Complete Access"/>
    <x v="606"/>
    <x v="8"/>
    <x v="29"/>
    <d v="1900-01-01T00:00:00"/>
    <n v="1"/>
    <x v="1"/>
    <x v="4"/>
  </r>
  <r>
    <x v="1164"/>
    <n v="-9"/>
    <x v="2503"/>
    <n v="2299.86"/>
    <s v="Complete Access"/>
    <x v="606"/>
    <x v="8"/>
    <x v="29"/>
    <d v="1900-01-01T00:00:00"/>
    <n v="1"/>
    <x v="1"/>
    <x v="4"/>
  </r>
  <r>
    <x v="1164"/>
    <n v="-9"/>
    <x v="72"/>
    <n v="1920.66"/>
    <s v="Complete Access"/>
    <x v="37"/>
    <x v="0"/>
    <x v="0"/>
    <d v="1900-01-01T00:00:00"/>
    <n v="1"/>
    <x v="1"/>
    <x v="4"/>
  </r>
  <r>
    <x v="1164"/>
    <n v="-100"/>
    <x v="2274"/>
    <n v="2308.86"/>
    <s v="Complete Access"/>
    <x v="552"/>
    <x v="0"/>
    <x v="74"/>
    <d v="1900-01-01T00:00:00"/>
    <n v="1"/>
    <x v="1"/>
    <x v="4"/>
  </r>
  <r>
    <x v="1164"/>
    <n v="-10.6"/>
    <x v="2504"/>
    <n v="2229.66"/>
    <s v="Complete Access"/>
    <x v="607"/>
    <x v="8"/>
    <x v="29"/>
    <d v="1900-01-01T00:00:00"/>
    <n v="1"/>
    <x v="1"/>
    <x v="4"/>
  </r>
  <r>
    <x v="1164"/>
    <n v="-10.6"/>
    <x v="2504"/>
    <n v="2240.2600000000002"/>
    <s v="Complete Access"/>
    <x v="607"/>
    <x v="8"/>
    <x v="29"/>
    <d v="1900-01-01T00:00:00"/>
    <n v="1"/>
    <x v="1"/>
    <x v="4"/>
  </r>
  <r>
    <x v="1165"/>
    <n v="-75.94"/>
    <x v="2505"/>
    <n v="2623.17"/>
    <s v="Complete Access"/>
    <x v="8"/>
    <x v="1"/>
    <x v="5"/>
    <d v="1899-12-31T00:00:00"/>
    <n v="1"/>
    <x v="1"/>
    <x v="4"/>
  </r>
  <r>
    <x v="1165"/>
    <n v="-59"/>
    <x v="2506"/>
    <n v="2428.86"/>
    <s v="Complete Access"/>
    <x v="207"/>
    <x v="7"/>
    <x v="11"/>
    <d v="1899-12-31T00:00:00"/>
    <n v="1"/>
    <x v="1"/>
    <x v="4"/>
  </r>
  <r>
    <x v="1165"/>
    <n v="-91"/>
    <x v="2507"/>
    <n v="2487.86"/>
    <s v="Complete Access"/>
    <x v="35"/>
    <x v="1"/>
    <x v="23"/>
    <d v="1899-12-31T00:00:00"/>
    <n v="1"/>
    <x v="1"/>
    <x v="4"/>
  </r>
  <r>
    <x v="1165"/>
    <n v="-20"/>
    <x v="2229"/>
    <n v="2408.86"/>
    <s v="Complete Access"/>
    <x v="557"/>
    <x v="7"/>
    <x v="53"/>
    <d v="1899-12-31T00:00:00"/>
    <n v="1"/>
    <x v="1"/>
    <x v="4"/>
  </r>
  <r>
    <x v="1165"/>
    <n v="-44.31"/>
    <x v="2508"/>
    <n v="2578.86"/>
    <s v="Complete Access"/>
    <x v="1"/>
    <x v="1"/>
    <x v="1"/>
    <d v="1899-12-31T00:00:00"/>
    <n v="1"/>
    <x v="1"/>
    <x v="4"/>
  </r>
  <r>
    <x v="1166"/>
    <n v="-41.99"/>
    <x v="2509"/>
    <n v="2826.24"/>
    <s v="Complete Access"/>
    <x v="8"/>
    <x v="1"/>
    <x v="5"/>
    <d v="1900-01-30T00:00:00"/>
    <n v="53"/>
    <x v="2"/>
    <x v="5"/>
  </r>
  <r>
    <x v="1166"/>
    <n v="-97"/>
    <x v="2510"/>
    <n v="2699.11"/>
    <s v="Complete Access"/>
    <x v="347"/>
    <x v="3"/>
    <x v="62"/>
    <d v="1900-01-30T00:00:00"/>
    <n v="53"/>
    <x v="2"/>
    <x v="5"/>
  </r>
  <r>
    <x v="1166"/>
    <n v="-30.13"/>
    <x v="2511"/>
    <n v="2796.11"/>
    <s v="Complete Access"/>
    <x v="34"/>
    <x v="9"/>
    <x v="12"/>
    <d v="1900-01-30T00:00:00"/>
    <n v="53"/>
    <x v="2"/>
    <x v="5"/>
  </r>
  <r>
    <x v="1167"/>
    <n v="-33.9"/>
    <x v="2512"/>
    <n v="5099.71"/>
    <s v="Complete Access"/>
    <x v="608"/>
    <x v="20"/>
    <x v="63"/>
    <d v="1900-01-29T00:00:00"/>
    <n v="53"/>
    <x v="2"/>
    <x v="5"/>
  </r>
  <r>
    <x v="1167"/>
    <n v="-150"/>
    <x v="2359"/>
    <n v="2868.23"/>
    <s v="Complete Access"/>
    <x v="0"/>
    <x v="0"/>
    <x v="0"/>
    <d v="1900-01-29T00:00:00"/>
    <n v="53"/>
    <x v="2"/>
    <x v="5"/>
  </r>
  <r>
    <x v="1167"/>
    <n v="-10.199999999999999"/>
    <x v="2513"/>
    <n v="5232.5600000000004"/>
    <s v="Complete Access"/>
    <x v="609"/>
    <x v="1"/>
    <x v="1"/>
    <d v="1900-01-29T00:00:00"/>
    <n v="53"/>
    <x v="2"/>
    <x v="5"/>
  </r>
  <r>
    <x v="1167"/>
    <n v="-1491.15"/>
    <x v="2514"/>
    <n v="3082.71"/>
    <s v="Complete Access"/>
    <x v="347"/>
    <x v="3"/>
    <x v="62"/>
    <d v="1900-01-29T00:00:00"/>
    <n v="53"/>
    <x v="2"/>
    <x v="5"/>
  </r>
  <r>
    <x v="1167"/>
    <n v="-98.95"/>
    <x v="2515"/>
    <n v="5133.6099999999997"/>
    <s v="Complete Access"/>
    <x v="582"/>
    <x v="3"/>
    <x v="77"/>
    <d v="1900-01-29T00:00:00"/>
    <n v="53"/>
    <x v="2"/>
    <x v="5"/>
  </r>
  <r>
    <x v="1167"/>
    <n v="-525.85"/>
    <x v="2516"/>
    <n v="4573.8599999999997"/>
    <s v="Complete Access"/>
    <x v="610"/>
    <x v="4"/>
    <x v="62"/>
    <d v="1900-01-29T00:00:00"/>
    <n v="53"/>
    <x v="2"/>
    <x v="5"/>
  </r>
  <r>
    <x v="1167"/>
    <n v="-64.48"/>
    <x v="2105"/>
    <n v="3018.23"/>
    <s v="Complete Access"/>
    <x v="4"/>
    <x v="1"/>
    <x v="1"/>
    <d v="1900-01-29T00:00:00"/>
    <n v="53"/>
    <x v="2"/>
    <x v="5"/>
  </r>
  <r>
    <x v="1168"/>
    <n v="-20"/>
    <x v="2494"/>
    <n v="5242.76"/>
    <s v="Complete Access"/>
    <x v="27"/>
    <x v="1"/>
    <x v="5"/>
    <d v="1900-01-28T00:00:00"/>
    <n v="53"/>
    <x v="2"/>
    <x v="5"/>
  </r>
  <r>
    <x v="1169"/>
    <n v="-100"/>
    <x v="2274"/>
    <n v="5262.76"/>
    <s v="Complete Access"/>
    <x v="552"/>
    <x v="0"/>
    <x v="74"/>
    <d v="1900-01-25T00:00:00"/>
    <n v="52"/>
    <x v="2"/>
    <x v="5"/>
  </r>
  <r>
    <x v="1170"/>
    <n v="-44.49"/>
    <x v="2517"/>
    <n v="5362.76"/>
    <s v="Complete Access"/>
    <x v="8"/>
    <x v="1"/>
    <x v="5"/>
    <d v="1900-01-24T00:00:00"/>
    <n v="52"/>
    <x v="2"/>
    <x v="5"/>
  </r>
  <r>
    <x v="1170"/>
    <n v="-4.9000000000000004"/>
    <x v="2518"/>
    <n v="5407.25"/>
    <s v="Complete Access"/>
    <x v="1"/>
    <x v="1"/>
    <x v="1"/>
    <d v="1900-01-24T00:00:00"/>
    <n v="52"/>
    <x v="2"/>
    <x v="5"/>
  </r>
  <r>
    <x v="1171"/>
    <n v="-194.78"/>
    <x v="2519"/>
    <n v="5412.15"/>
    <s v="Complete Access"/>
    <x v="295"/>
    <x v="14"/>
    <x v="66"/>
    <d v="1900-01-23T00:00:00"/>
    <n v="52"/>
    <x v="2"/>
    <x v="5"/>
  </r>
  <r>
    <x v="1171"/>
    <n v="2248.79"/>
    <x v="2520"/>
    <n v="6120.48"/>
    <s v="Complete Access"/>
    <x v="14"/>
    <x v="6"/>
    <x v="9"/>
    <d v="1900-01-23T00:00:00"/>
    <n v="52"/>
    <x v="2"/>
    <x v="5"/>
  </r>
  <r>
    <x v="1171"/>
    <n v="-123"/>
    <x v="2521"/>
    <n v="5412.15"/>
    <s v="Complete Access"/>
    <x v="91"/>
    <x v="9"/>
    <x v="12"/>
    <d v="1900-01-23T00:00:00"/>
    <n v="52"/>
    <x v="2"/>
    <x v="5"/>
  </r>
  <r>
    <x v="1171"/>
    <n v="-500"/>
    <x v="2294"/>
    <n v="5620.48"/>
    <s v="Complete Access"/>
    <x v="571"/>
    <x v="19"/>
    <x v="61"/>
    <d v="1900-01-23T00:00:00"/>
    <n v="52"/>
    <x v="2"/>
    <x v="5"/>
  </r>
  <r>
    <x v="1171"/>
    <n v="123"/>
    <x v="2522"/>
    <n v="5535.15"/>
    <s v="Complete Access"/>
    <x v="567"/>
    <x v="0"/>
    <x v="69"/>
    <d v="1900-01-23T00:00:00"/>
    <n v="52"/>
    <x v="2"/>
    <x v="5"/>
  </r>
  <r>
    <x v="1171"/>
    <n v="-4.25"/>
    <x v="2523"/>
    <n v="5616.23"/>
    <s v="Complete Access"/>
    <x v="611"/>
    <x v="4"/>
    <x v="20"/>
    <d v="1900-01-23T00:00:00"/>
    <n v="52"/>
    <x v="2"/>
    <x v="5"/>
  </r>
  <r>
    <x v="1171"/>
    <n v="-9.3000000000000007"/>
    <x v="2524"/>
    <n v="5606.93"/>
    <s v="Complete Access"/>
    <x v="98"/>
    <x v="9"/>
    <x v="32"/>
    <d v="1900-01-23T00:00:00"/>
    <n v="52"/>
    <x v="2"/>
    <x v="5"/>
  </r>
  <r>
    <x v="1172"/>
    <n v="-37.99"/>
    <x v="2525"/>
    <n v="1922.71"/>
    <s v="Complete Access"/>
    <x v="8"/>
    <x v="1"/>
    <x v="5"/>
    <d v="1900-01-22T00:00:00"/>
    <n v="52"/>
    <x v="2"/>
    <x v="5"/>
  </r>
  <r>
    <x v="1172"/>
    <n v="-23.89"/>
    <x v="2526"/>
    <n v="1898.82"/>
    <s v="Complete Access"/>
    <x v="8"/>
    <x v="1"/>
    <x v="5"/>
    <d v="1900-01-22T00:00:00"/>
    <n v="52"/>
    <x v="2"/>
    <x v="5"/>
  </r>
  <r>
    <x v="1172"/>
    <n v="2000"/>
    <x v="2305"/>
    <n v="3875.18"/>
    <s v="Complete Access"/>
    <x v="0"/>
    <x v="0"/>
    <x v="0"/>
    <d v="1900-01-22T00:00:00"/>
    <n v="52"/>
    <x v="2"/>
    <x v="5"/>
  </r>
  <r>
    <x v="1172"/>
    <n v="-3.49"/>
    <x v="2527"/>
    <n v="3871.69"/>
    <s v="Complete Access"/>
    <x v="177"/>
    <x v="1"/>
    <x v="1"/>
    <d v="1900-01-22T00:00:00"/>
    <n v="52"/>
    <x v="2"/>
    <x v="5"/>
  </r>
  <r>
    <x v="1172"/>
    <n v="-23.64"/>
    <x v="2528"/>
    <n v="1875.18"/>
    <s v="Complete Access"/>
    <x v="91"/>
    <x v="9"/>
    <x v="12"/>
    <d v="1900-01-22T00:00:00"/>
    <n v="52"/>
    <x v="2"/>
    <x v="5"/>
  </r>
  <r>
    <x v="1173"/>
    <n v="-140"/>
    <x v="2529"/>
    <n v="1960.7"/>
    <s v="Complete Access"/>
    <x v="0"/>
    <x v="0"/>
    <x v="0"/>
    <d v="1900-01-21T00:00:00"/>
    <n v="52"/>
    <x v="2"/>
    <x v="5"/>
  </r>
  <r>
    <x v="1173"/>
    <n v="-1"/>
    <x v="2530"/>
    <n v="2100.6999999999998"/>
    <s v="Complete Access"/>
    <x v="430"/>
    <x v="14"/>
    <x v="32"/>
    <d v="1900-01-21T00:00:00"/>
    <n v="52"/>
    <x v="2"/>
    <x v="5"/>
  </r>
  <r>
    <x v="1174"/>
    <n v="-300"/>
    <x v="2531"/>
    <n v="2104.1999999999998"/>
    <s v="Complete Access"/>
    <x v="601"/>
    <x v="0"/>
    <x v="0"/>
    <d v="1900-01-18T00:00:00"/>
    <n v="51"/>
    <x v="2"/>
    <x v="5"/>
  </r>
  <r>
    <x v="1174"/>
    <n v="-7"/>
    <x v="2532"/>
    <n v="2413.3000000000002"/>
    <s v="Complete Access"/>
    <x v="612"/>
    <x v="18"/>
    <x v="59"/>
    <d v="1900-01-18T00:00:00"/>
    <n v="51"/>
    <x v="2"/>
    <x v="5"/>
  </r>
  <r>
    <x v="1174"/>
    <n v="-2.5"/>
    <x v="72"/>
    <n v="2101.6999999999998"/>
    <s v="Complete Access"/>
    <x v="37"/>
    <x v="0"/>
    <x v="0"/>
    <d v="1900-01-18T00:00:00"/>
    <n v="51"/>
    <x v="2"/>
    <x v="5"/>
  </r>
  <r>
    <x v="1174"/>
    <n v="-9.1"/>
    <x v="96"/>
    <n v="2404.1999999999998"/>
    <s v="Complete Access"/>
    <x v="47"/>
    <x v="1"/>
    <x v="5"/>
    <d v="1900-01-18T00:00:00"/>
    <n v="51"/>
    <x v="2"/>
    <x v="5"/>
  </r>
  <r>
    <x v="1174"/>
    <n v="-274"/>
    <x v="2533"/>
    <n v="2420.3000000000002"/>
    <s v="Complete Access"/>
    <x v="191"/>
    <x v="10"/>
    <x v="13"/>
    <d v="1900-01-18T00:00:00"/>
    <n v="51"/>
    <x v="2"/>
    <x v="5"/>
  </r>
  <r>
    <x v="1174"/>
    <n v="-100"/>
    <x v="2274"/>
    <n v="2694.3"/>
    <s v="Complete Access"/>
    <x v="552"/>
    <x v="0"/>
    <x v="74"/>
    <d v="1900-01-18T00:00:00"/>
    <n v="51"/>
    <x v="2"/>
    <x v="5"/>
  </r>
  <r>
    <x v="1175"/>
    <n v="-60"/>
    <x v="2534"/>
    <n v="1794.3"/>
    <s v="Complete Access"/>
    <x v="612"/>
    <x v="18"/>
    <x v="59"/>
    <d v="1900-01-17T00:00:00"/>
    <n v="51"/>
    <x v="2"/>
    <x v="5"/>
  </r>
  <r>
    <x v="1175"/>
    <n v="1000"/>
    <x v="2535"/>
    <n v="2794.3"/>
    <s v="Complete Access"/>
    <x v="584"/>
    <x v="0"/>
    <x v="69"/>
    <d v="1900-01-17T00:00:00"/>
    <n v="51"/>
    <x v="2"/>
    <x v="5"/>
  </r>
  <r>
    <x v="1176"/>
    <n v="-33.89"/>
    <x v="2536"/>
    <n v="1854.3"/>
    <s v="Complete Access"/>
    <x v="8"/>
    <x v="1"/>
    <x v="5"/>
    <d v="1900-01-15T00:00:00"/>
    <n v="51"/>
    <x v="2"/>
    <x v="5"/>
  </r>
  <r>
    <x v="1177"/>
    <n v="-63.65"/>
    <x v="2105"/>
    <n v="1888.19"/>
    <s v="Complete Access"/>
    <x v="4"/>
    <x v="1"/>
    <x v="1"/>
    <d v="1900-01-13T00:00:00"/>
    <n v="51"/>
    <x v="2"/>
    <x v="5"/>
  </r>
  <r>
    <x v="1178"/>
    <n v="-100"/>
    <x v="2274"/>
    <n v="1951.84"/>
    <s v="Complete Access"/>
    <x v="552"/>
    <x v="0"/>
    <x v="74"/>
    <d v="1900-01-11T00:00:00"/>
    <n v="50"/>
    <x v="2"/>
    <x v="5"/>
  </r>
  <r>
    <x v="1179"/>
    <n v="-23.74"/>
    <x v="2537"/>
    <n v="2083.29"/>
    <s v="Complete Access"/>
    <x v="8"/>
    <x v="1"/>
    <x v="5"/>
    <d v="1900-01-10T00:00:00"/>
    <n v="50"/>
    <x v="2"/>
    <x v="5"/>
  </r>
  <r>
    <x v="1179"/>
    <n v="-12.4"/>
    <x v="2538"/>
    <n v="2064.69"/>
    <s v="Complete Access"/>
    <x v="613"/>
    <x v="10"/>
    <x v="79"/>
    <d v="1900-01-10T00:00:00"/>
    <n v="50"/>
    <x v="2"/>
    <x v="5"/>
  </r>
  <r>
    <x v="1179"/>
    <n v="-6.2"/>
    <x v="2538"/>
    <n v="2077.09"/>
    <s v="Complete Access"/>
    <x v="613"/>
    <x v="10"/>
    <x v="79"/>
    <d v="1900-01-10T00:00:00"/>
    <n v="50"/>
    <x v="2"/>
    <x v="5"/>
  </r>
  <r>
    <x v="1179"/>
    <n v="-12.85"/>
    <x v="96"/>
    <n v="2051.84"/>
    <s v="Complete Access"/>
    <x v="47"/>
    <x v="1"/>
    <x v="5"/>
    <d v="1900-01-10T00:00:00"/>
    <n v="50"/>
    <x v="2"/>
    <x v="5"/>
  </r>
  <r>
    <x v="1180"/>
    <n v="2237.73"/>
    <x v="2539"/>
    <n v="2607.0300000000002"/>
    <s v="Complete Access"/>
    <x v="14"/>
    <x v="6"/>
    <x v="9"/>
    <d v="1900-01-09T00:00:00"/>
    <n v="50"/>
    <x v="2"/>
    <x v="5"/>
  </r>
  <r>
    <x v="1180"/>
    <n v="-500"/>
    <x v="2294"/>
    <n v="2107.0300000000002"/>
    <s v="Complete Access"/>
    <x v="571"/>
    <x v="19"/>
    <x v="61"/>
    <d v="1900-01-09T00:00:00"/>
    <n v="50"/>
    <x v="2"/>
    <x v="5"/>
  </r>
  <r>
    <x v="1181"/>
    <n v="-1100"/>
    <x v="2540"/>
    <n v="415.58"/>
    <s v="Complete Access"/>
    <x v="601"/>
    <x v="0"/>
    <x v="0"/>
    <d v="1900-01-08T00:00:00"/>
    <n v="50"/>
    <x v="2"/>
    <x v="5"/>
  </r>
  <r>
    <x v="1181"/>
    <n v="-38.99"/>
    <x v="2541"/>
    <n v="515.58000000000004"/>
    <s v="Complete Access"/>
    <x v="8"/>
    <x v="1"/>
    <x v="5"/>
    <d v="1900-01-08T00:00:00"/>
    <n v="50"/>
    <x v="2"/>
    <x v="5"/>
  </r>
  <r>
    <x v="1181"/>
    <n v="1000"/>
    <x v="2542"/>
    <n v="1515.58"/>
    <s v="Complete Access"/>
    <x v="558"/>
    <x v="10"/>
    <x v="13"/>
    <d v="1900-01-08T00:00:00"/>
    <n v="50"/>
    <x v="2"/>
    <x v="5"/>
  </r>
  <r>
    <x v="1181"/>
    <n v="-46.28"/>
    <x v="2543"/>
    <n v="369.3"/>
    <s v="Complete Access"/>
    <x v="17"/>
    <x v="7"/>
    <x v="11"/>
    <d v="1900-01-08T00:00:00"/>
    <n v="50"/>
    <x v="2"/>
    <x v="5"/>
  </r>
  <r>
    <x v="1182"/>
    <n v="-4.1500000000000004"/>
    <x v="2544"/>
    <n v="554.57000000000005"/>
    <s v="Complete Access"/>
    <x v="1"/>
    <x v="1"/>
    <x v="1"/>
    <d v="1900-01-07T00:00:00"/>
    <n v="50"/>
    <x v="2"/>
    <x v="5"/>
  </r>
  <r>
    <x v="1183"/>
    <n v="-100"/>
    <x v="2274"/>
    <n v="633.79"/>
    <s v="Complete Access"/>
    <x v="552"/>
    <x v="0"/>
    <x v="74"/>
    <d v="1900-01-04T00:00:00"/>
    <n v="49"/>
    <x v="2"/>
    <x v="5"/>
  </r>
  <r>
    <x v="1183"/>
    <n v="-69.27"/>
    <x v="2105"/>
    <n v="558.72"/>
    <s v="Complete Access"/>
    <x v="4"/>
    <x v="1"/>
    <x v="1"/>
    <d v="1900-01-04T00:00:00"/>
    <n v="49"/>
    <x v="2"/>
    <x v="5"/>
  </r>
  <r>
    <x v="1183"/>
    <n v="-5.8"/>
    <x v="2545"/>
    <n v="627.99"/>
    <s v="Complete Access"/>
    <x v="34"/>
    <x v="9"/>
    <x v="12"/>
    <d v="1900-01-04T00:00:00"/>
    <n v="49"/>
    <x v="2"/>
    <x v="5"/>
  </r>
  <r>
    <x v="1184"/>
    <n v="-203.39"/>
    <x v="2546"/>
    <n v="585.66"/>
    <s v="Complete Access"/>
    <x v="438"/>
    <x v="12"/>
    <x v="21"/>
    <d v="1900-01-03T00:00:00"/>
    <n v="49"/>
    <x v="2"/>
    <x v="5"/>
  </r>
  <r>
    <x v="1184"/>
    <n v="148.13"/>
    <x v="2547"/>
    <n v="733.79"/>
    <s v="Complete Access"/>
    <x v="577"/>
    <x v="0"/>
    <x v="69"/>
    <d v="1900-01-03T00:00:00"/>
    <n v="49"/>
    <x v="2"/>
    <x v="5"/>
  </r>
  <r>
    <x v="1185"/>
    <n v="-61.6"/>
    <x v="2548"/>
    <n v="1126.9000000000001"/>
    <s v="Complete Access"/>
    <x v="8"/>
    <x v="1"/>
    <x v="5"/>
    <d v="1900-01-02T00:00:00"/>
    <n v="49"/>
    <x v="2"/>
    <x v="5"/>
  </r>
  <r>
    <x v="1185"/>
    <n v="-337.85"/>
    <x v="2549"/>
    <n v="789.05"/>
    <s v="Complete Access"/>
    <x v="614"/>
    <x v="1"/>
    <x v="5"/>
    <d v="1900-01-02T00:00:00"/>
    <n v="49"/>
    <x v="2"/>
    <x v="5"/>
  </r>
  <r>
    <x v="1186"/>
    <n v="-18.989999999999998"/>
    <x v="2550"/>
    <n v="1303.08"/>
    <s v="Complete Access"/>
    <x v="8"/>
    <x v="1"/>
    <x v="5"/>
    <d v="1900-01-01T00:00:00"/>
    <n v="49"/>
    <x v="2"/>
    <x v="5"/>
  </r>
  <r>
    <x v="1186"/>
    <n v="-22.49"/>
    <x v="2551"/>
    <n v="1247.7"/>
    <s v="Complete Access"/>
    <x v="8"/>
    <x v="1"/>
    <x v="5"/>
    <d v="1900-01-01T00:00:00"/>
    <n v="49"/>
    <x v="2"/>
    <x v="5"/>
  </r>
  <r>
    <x v="1186"/>
    <n v="-32.89"/>
    <x v="2551"/>
    <n v="1270.19"/>
    <s v="Complete Access"/>
    <x v="8"/>
    <x v="1"/>
    <x v="5"/>
    <d v="1900-01-01T00:00:00"/>
    <n v="49"/>
    <x v="2"/>
    <x v="5"/>
  </r>
  <r>
    <x v="1186"/>
    <n v="-38.200000000000003"/>
    <x v="2552"/>
    <n v="1209.5"/>
    <s v="Complete Access"/>
    <x v="343"/>
    <x v="1"/>
    <x v="5"/>
    <d v="1900-01-01T00:00:00"/>
    <n v="49"/>
    <x v="2"/>
    <x v="5"/>
  </r>
  <r>
    <x v="1186"/>
    <n v="-21"/>
    <x v="2273"/>
    <n v="1188.5"/>
    <s v="Complete Access"/>
    <x v="0"/>
    <x v="0"/>
    <x v="0"/>
    <d v="1900-01-01T00:00:00"/>
    <n v="49"/>
    <x v="2"/>
    <x v="5"/>
  </r>
  <r>
    <x v="1186"/>
    <n v="-21.99"/>
    <x v="2553"/>
    <n v="1322.07"/>
    <s v="Complete Access"/>
    <x v="104"/>
    <x v="1"/>
    <x v="5"/>
    <d v="1900-01-01T00:00:00"/>
    <n v="49"/>
    <x v="2"/>
    <x v="5"/>
  </r>
  <r>
    <x v="1187"/>
    <n v="-36.99"/>
    <x v="2554"/>
    <n v="1394.11"/>
    <s v="Complete Access"/>
    <x v="8"/>
    <x v="1"/>
    <x v="5"/>
    <d v="1899-12-31T00:00:00"/>
    <n v="49"/>
    <x v="2"/>
    <x v="5"/>
  </r>
  <r>
    <x v="1187"/>
    <n v="-11.65"/>
    <x v="2555"/>
    <n v="1382.46"/>
    <s v="Complete Access"/>
    <x v="47"/>
    <x v="1"/>
    <x v="5"/>
    <d v="1899-12-31T00:00:00"/>
    <n v="49"/>
    <x v="2"/>
    <x v="5"/>
  </r>
  <r>
    <x v="1187"/>
    <n v="-20"/>
    <x v="2229"/>
    <n v="1431.1"/>
    <s v="Complete Access"/>
    <x v="557"/>
    <x v="7"/>
    <x v="53"/>
    <d v="1899-12-31T00:00:00"/>
    <n v="49"/>
    <x v="2"/>
    <x v="5"/>
  </r>
  <r>
    <x v="1187"/>
    <n v="69"/>
    <x v="2282"/>
    <n v="1520.66"/>
    <s v="Complete Access"/>
    <x v="567"/>
    <x v="0"/>
    <x v="69"/>
    <d v="1899-12-31T00:00:00"/>
    <n v="49"/>
    <x v="2"/>
    <x v="5"/>
  </r>
  <r>
    <x v="1187"/>
    <n v="69.2"/>
    <x v="2556"/>
    <n v="1451.66"/>
    <s v="Complete Access"/>
    <x v="583"/>
    <x v="0"/>
    <x v="69"/>
    <d v="1899-12-31T00:00:00"/>
    <n v="49"/>
    <x v="2"/>
    <x v="5"/>
  </r>
  <r>
    <x v="1187"/>
    <n v="-176.6"/>
    <x v="2557"/>
    <n v="1344.06"/>
    <s v="Complete Access"/>
    <x v="76"/>
    <x v="2"/>
    <x v="2"/>
    <d v="1899-12-31T00:00:00"/>
    <n v="49"/>
    <x v="2"/>
    <x v="5"/>
  </r>
  <r>
    <x v="1188"/>
    <n v="22"/>
    <x v="2558"/>
    <n v="1451.1"/>
    <s v="Complete Access"/>
    <x v="583"/>
    <x v="0"/>
    <x v="69"/>
    <d v="1900-01-28T00:00:00"/>
    <n v="49"/>
    <x v="3"/>
    <x v="5"/>
  </r>
  <r>
    <x v="1188"/>
    <n v="1132.6300000000001"/>
    <x v="2559"/>
    <n v="1429.1"/>
    <s v="Complete Access"/>
    <x v="384"/>
    <x v="14"/>
    <x v="68"/>
    <d v="1900-01-28T00:00:00"/>
    <n v="49"/>
    <x v="3"/>
    <x v="5"/>
  </r>
  <r>
    <x v="1189"/>
    <n v="-60"/>
    <x v="2560"/>
    <n v="296.47000000000003"/>
    <s v="Complete Access"/>
    <x v="0"/>
    <x v="0"/>
    <x v="0"/>
    <d v="1900-01-27T00:00:00"/>
    <n v="48"/>
    <x v="3"/>
    <x v="5"/>
  </r>
  <r>
    <x v="1189"/>
    <n v="-10.59"/>
    <x v="2561"/>
    <n v="456.47"/>
    <s v="Complete Access"/>
    <x v="215"/>
    <x v="1"/>
    <x v="1"/>
    <d v="1900-01-27T00:00:00"/>
    <n v="48"/>
    <x v="3"/>
    <x v="5"/>
  </r>
  <r>
    <x v="1189"/>
    <n v="-100"/>
    <x v="2274"/>
    <n v="356.47"/>
    <s v="Complete Access"/>
    <x v="552"/>
    <x v="0"/>
    <x v="74"/>
    <d v="1900-01-27T00:00:00"/>
    <n v="48"/>
    <x v="3"/>
    <x v="5"/>
  </r>
  <r>
    <x v="1190"/>
    <n v="-17.48"/>
    <x v="2527"/>
    <n v="467.06"/>
    <s v="Complete Access"/>
    <x v="177"/>
    <x v="1"/>
    <x v="1"/>
    <d v="1900-01-26T00:00:00"/>
    <n v="48"/>
    <x v="3"/>
    <x v="5"/>
  </r>
  <r>
    <x v="1190"/>
    <n v="-5000"/>
    <x v="2562"/>
    <n v="484.54"/>
    <s v="Complete Access"/>
    <x v="504"/>
    <x v="0"/>
    <x v="72"/>
    <d v="1900-01-26T00:00:00"/>
    <n v="48"/>
    <x v="3"/>
    <x v="5"/>
  </r>
  <r>
    <x v="1191"/>
    <n v="2143.4699999999998"/>
    <x v="2563"/>
    <n v="8013.54"/>
    <s v="Complete Access"/>
    <x v="14"/>
    <x v="6"/>
    <x v="9"/>
    <d v="1900-01-25T00:00:00"/>
    <n v="48"/>
    <x v="3"/>
    <x v="5"/>
  </r>
  <r>
    <x v="1191"/>
    <n v="-500"/>
    <x v="2294"/>
    <n v="7513.54"/>
    <s v="Complete Access"/>
    <x v="571"/>
    <x v="19"/>
    <x v="61"/>
    <d v="1900-01-25T00:00:00"/>
    <n v="48"/>
    <x v="3"/>
    <x v="5"/>
  </r>
  <r>
    <x v="1191"/>
    <n v="-24"/>
    <x v="2564"/>
    <n v="7489.54"/>
    <s v="Complete Access"/>
    <x v="434"/>
    <x v="8"/>
    <x v="29"/>
    <d v="1900-01-25T00:00:00"/>
    <n v="48"/>
    <x v="3"/>
    <x v="5"/>
  </r>
  <r>
    <x v="1191"/>
    <n v="-5"/>
    <x v="2565"/>
    <n v="7484.54"/>
    <s v="Complete Access"/>
    <x v="1"/>
    <x v="1"/>
    <x v="1"/>
    <d v="1900-01-25T00:00:00"/>
    <n v="48"/>
    <x v="3"/>
    <x v="5"/>
  </r>
  <r>
    <x v="1191"/>
    <n v="-2000"/>
    <x v="2566"/>
    <n v="5484.54"/>
    <s v="Complete Access"/>
    <x v="504"/>
    <x v="0"/>
    <x v="72"/>
    <d v="1900-01-25T00:00:00"/>
    <n v="48"/>
    <x v="3"/>
    <x v="5"/>
  </r>
  <r>
    <x v="1192"/>
    <n v="-24.99"/>
    <x v="2567"/>
    <n v="5870.07"/>
    <s v="Complete Access"/>
    <x v="8"/>
    <x v="1"/>
    <x v="5"/>
    <d v="1900-01-24T00:00:00"/>
    <n v="48"/>
    <x v="3"/>
    <x v="5"/>
  </r>
  <r>
    <x v="1192"/>
    <n v="-22.49"/>
    <x v="2568"/>
    <n v="5938.85"/>
    <s v="Complete Access"/>
    <x v="8"/>
    <x v="1"/>
    <x v="5"/>
    <d v="1900-01-24T00:00:00"/>
    <n v="48"/>
    <x v="3"/>
    <x v="5"/>
  </r>
  <r>
    <x v="1192"/>
    <n v="-27.89"/>
    <x v="2568"/>
    <n v="5961.34"/>
    <s v="Complete Access"/>
    <x v="8"/>
    <x v="1"/>
    <x v="5"/>
    <d v="1900-01-24T00:00:00"/>
    <n v="48"/>
    <x v="3"/>
    <x v="5"/>
  </r>
  <r>
    <x v="1192"/>
    <n v="-43.79"/>
    <x v="2569"/>
    <n v="5895.06"/>
    <s v="Complete Access"/>
    <x v="8"/>
    <x v="1"/>
    <x v="5"/>
    <d v="1900-01-24T00:00:00"/>
    <n v="48"/>
    <x v="3"/>
    <x v="5"/>
  </r>
  <r>
    <x v="1193"/>
    <n v="-20.68"/>
    <x v="2570"/>
    <n v="5989.23"/>
    <s v="Complete Access"/>
    <x v="34"/>
    <x v="9"/>
    <x v="12"/>
    <d v="1900-01-23T00:00:00"/>
    <n v="48"/>
    <x v="3"/>
    <x v="5"/>
  </r>
  <r>
    <x v="1194"/>
    <n v="-22.01"/>
    <x v="2135"/>
    <n v="6009.91"/>
    <s v="Complete Access"/>
    <x v="215"/>
    <x v="1"/>
    <x v="1"/>
    <d v="1900-01-22T00:00:00"/>
    <n v="48"/>
    <x v="3"/>
    <x v="5"/>
  </r>
  <r>
    <x v="1195"/>
    <n v="-40"/>
    <x v="2571"/>
    <n v="6031.92"/>
    <s v="Complete Access"/>
    <x v="601"/>
    <x v="0"/>
    <x v="0"/>
    <d v="1900-01-20T00:00:00"/>
    <n v="47"/>
    <x v="3"/>
    <x v="5"/>
  </r>
  <r>
    <x v="1195"/>
    <n v="-100"/>
    <x v="2274"/>
    <n v="6071.92"/>
    <s v="Complete Access"/>
    <x v="552"/>
    <x v="0"/>
    <x v="74"/>
    <d v="1900-01-20T00:00:00"/>
    <n v="47"/>
    <x v="3"/>
    <x v="5"/>
  </r>
  <r>
    <x v="1196"/>
    <n v="-273.08999999999997"/>
    <x v="2572"/>
    <n v="6171.92"/>
    <s v="Complete Access"/>
    <x v="295"/>
    <x v="14"/>
    <x v="66"/>
    <d v="1900-01-19T00:00:00"/>
    <n v="47"/>
    <x v="3"/>
    <x v="5"/>
  </r>
  <r>
    <x v="1197"/>
    <n v="-50.4"/>
    <x v="2573"/>
    <n v="6462.01"/>
    <s v="Complete Access"/>
    <x v="237"/>
    <x v="15"/>
    <x v="34"/>
    <d v="1900-01-18T00:00:00"/>
    <n v="47"/>
    <x v="3"/>
    <x v="5"/>
  </r>
  <r>
    <x v="1197"/>
    <n v="-5"/>
    <x v="2574"/>
    <n v="6445.01"/>
    <s v="Complete Access"/>
    <x v="1"/>
    <x v="1"/>
    <x v="1"/>
    <d v="1900-01-18T00:00:00"/>
    <n v="47"/>
    <x v="3"/>
    <x v="5"/>
  </r>
  <r>
    <x v="1197"/>
    <n v="-12"/>
    <x v="2575"/>
    <n v="6450.01"/>
    <s v="Complete Access"/>
    <x v="1"/>
    <x v="1"/>
    <x v="1"/>
    <d v="1900-01-18T00:00:00"/>
    <n v="47"/>
    <x v="3"/>
    <x v="5"/>
  </r>
  <r>
    <x v="1198"/>
    <n v="-39.49"/>
    <x v="2576"/>
    <n v="6565.19"/>
    <s v="Complete Access"/>
    <x v="8"/>
    <x v="1"/>
    <x v="5"/>
    <d v="1900-01-17T00:00:00"/>
    <n v="47"/>
    <x v="3"/>
    <x v="5"/>
  </r>
  <r>
    <x v="1198"/>
    <n v="-28.89"/>
    <x v="2577"/>
    <n v="6512.41"/>
    <s v="Complete Access"/>
    <x v="8"/>
    <x v="1"/>
    <x v="5"/>
    <d v="1900-01-17T00:00:00"/>
    <n v="47"/>
    <x v="3"/>
    <x v="5"/>
  </r>
  <r>
    <x v="1198"/>
    <n v="-23.89"/>
    <x v="2578"/>
    <n v="6541.3"/>
    <s v="Complete Access"/>
    <x v="8"/>
    <x v="1"/>
    <x v="5"/>
    <d v="1900-01-17T00:00:00"/>
    <n v="47"/>
    <x v="3"/>
    <x v="5"/>
  </r>
  <r>
    <x v="1199"/>
    <n v="-240"/>
    <x v="2579"/>
    <n v="6630.66"/>
    <s v="Complete Access"/>
    <x v="601"/>
    <x v="0"/>
    <x v="0"/>
    <d v="1900-01-16T00:00:00"/>
    <n v="47"/>
    <x v="3"/>
    <x v="5"/>
  </r>
  <r>
    <x v="1199"/>
    <n v="-25.14"/>
    <x v="2580"/>
    <n v="7012.85"/>
    <s v="Complete Access"/>
    <x v="8"/>
    <x v="1"/>
    <x v="5"/>
    <d v="1900-01-16T00:00:00"/>
    <n v="47"/>
    <x v="3"/>
    <x v="5"/>
  </r>
  <r>
    <x v="1199"/>
    <n v="-2.5"/>
    <x v="72"/>
    <n v="6628.16"/>
    <s v="Complete Access"/>
    <x v="37"/>
    <x v="0"/>
    <x v="0"/>
    <d v="1900-01-16T00:00:00"/>
    <n v="47"/>
    <x v="3"/>
    <x v="5"/>
  </r>
  <r>
    <x v="1199"/>
    <n v="-4.1399999999999997"/>
    <x v="2581"/>
    <n v="6870.66"/>
    <s v="Complete Access"/>
    <x v="10"/>
    <x v="0"/>
    <x v="0"/>
    <d v="1900-01-16T00:00:00"/>
    <n v="47"/>
    <x v="3"/>
    <x v="5"/>
  </r>
  <r>
    <x v="1199"/>
    <n v="-138.05000000000001"/>
    <x v="2582"/>
    <n v="6874.8"/>
    <s v="Complete Access"/>
    <x v="615"/>
    <x v="4"/>
    <x v="73"/>
    <d v="1900-01-16T00:00:00"/>
    <n v="47"/>
    <x v="3"/>
    <x v="5"/>
  </r>
  <r>
    <x v="1199"/>
    <n v="-23.48"/>
    <x v="2105"/>
    <n v="6604.68"/>
    <s v="Complete Access"/>
    <x v="4"/>
    <x v="1"/>
    <x v="1"/>
    <d v="1900-01-16T00:00:00"/>
    <n v="47"/>
    <x v="3"/>
    <x v="5"/>
  </r>
  <r>
    <x v="1200"/>
    <n v="-10.1"/>
    <x v="2583"/>
    <n v="7086.51"/>
    <s v="Complete Access"/>
    <x v="616"/>
    <x v="1"/>
    <x v="1"/>
    <d v="1900-01-15T00:00:00"/>
    <n v="47"/>
    <x v="3"/>
    <x v="5"/>
  </r>
  <r>
    <x v="1200"/>
    <n v="-48.52"/>
    <x v="2135"/>
    <n v="7037.99"/>
    <s v="Complete Access"/>
    <x v="215"/>
    <x v="1"/>
    <x v="1"/>
    <d v="1900-01-15T00:00:00"/>
    <n v="47"/>
    <x v="3"/>
    <x v="5"/>
  </r>
  <r>
    <x v="1201"/>
    <n v="-40"/>
    <x v="2584"/>
    <n v="7099.11"/>
    <s v="Complete Access"/>
    <x v="601"/>
    <x v="0"/>
    <x v="0"/>
    <d v="1900-01-13T00:00:00"/>
    <n v="46"/>
    <x v="3"/>
    <x v="5"/>
  </r>
  <r>
    <x v="1201"/>
    <n v="-350"/>
    <x v="2584"/>
    <n v="7141.61"/>
    <s v="Complete Access"/>
    <x v="601"/>
    <x v="0"/>
    <x v="0"/>
    <d v="1900-01-13T00:00:00"/>
    <n v="46"/>
    <x v="3"/>
    <x v="5"/>
  </r>
  <r>
    <x v="1201"/>
    <n v="-2.5"/>
    <x v="72"/>
    <n v="7096.61"/>
    <s v="Complete Access"/>
    <x v="37"/>
    <x v="0"/>
    <x v="0"/>
    <d v="1900-01-13T00:00:00"/>
    <n v="46"/>
    <x v="3"/>
    <x v="5"/>
  </r>
  <r>
    <x v="1201"/>
    <n v="-2.5"/>
    <x v="72"/>
    <n v="7139.11"/>
    <s v="Complete Access"/>
    <x v="37"/>
    <x v="0"/>
    <x v="0"/>
    <d v="1900-01-13T00:00:00"/>
    <n v="46"/>
    <x v="3"/>
    <x v="5"/>
  </r>
  <r>
    <x v="1201"/>
    <n v="-100"/>
    <x v="2274"/>
    <n v="7491.61"/>
    <s v="Complete Access"/>
    <x v="552"/>
    <x v="0"/>
    <x v="74"/>
    <d v="1900-01-13T00:00:00"/>
    <n v="46"/>
    <x v="3"/>
    <x v="5"/>
  </r>
  <r>
    <x v="1202"/>
    <n v="-32.9"/>
    <x v="2585"/>
    <n v="7591.61"/>
    <s v="Complete Access"/>
    <x v="8"/>
    <x v="1"/>
    <x v="5"/>
    <d v="1900-01-12T00:00:00"/>
    <n v="46"/>
    <x v="3"/>
    <x v="5"/>
  </r>
  <r>
    <x v="1202"/>
    <n v="-174.2"/>
    <x v="2586"/>
    <n v="7624.51"/>
    <s v="Complete Access"/>
    <x v="438"/>
    <x v="12"/>
    <x v="21"/>
    <d v="1900-01-12T00:00:00"/>
    <n v="46"/>
    <x v="3"/>
    <x v="5"/>
  </r>
  <r>
    <x v="1203"/>
    <n v="2227.4699999999998"/>
    <x v="2520"/>
    <n v="8240.7099999999991"/>
    <s v="Complete Access"/>
    <x v="14"/>
    <x v="6"/>
    <x v="9"/>
    <d v="1900-01-11T00:00:00"/>
    <n v="46"/>
    <x v="3"/>
    <x v="5"/>
  </r>
  <r>
    <x v="1203"/>
    <n v="-500"/>
    <x v="2294"/>
    <n v="7740.71"/>
    <s v="Complete Access"/>
    <x v="571"/>
    <x v="19"/>
    <x v="61"/>
    <d v="1900-01-11T00:00:00"/>
    <n v="46"/>
    <x v="3"/>
    <x v="5"/>
  </r>
  <r>
    <x v="1203"/>
    <n v="58"/>
    <x v="2282"/>
    <n v="7798.71"/>
    <s v="Complete Access"/>
    <x v="567"/>
    <x v="0"/>
    <x v="69"/>
    <d v="1900-01-11T00:00:00"/>
    <n v="46"/>
    <x v="3"/>
    <x v="5"/>
  </r>
  <r>
    <x v="1204"/>
    <n v="-40.799999999999997"/>
    <x v="2587"/>
    <n v="5979.24"/>
    <s v="Complete Access"/>
    <x v="8"/>
    <x v="1"/>
    <x v="5"/>
    <d v="1900-01-10T00:00:00"/>
    <n v="46"/>
    <x v="3"/>
    <x v="5"/>
  </r>
  <r>
    <x v="1204"/>
    <n v="-32.799999999999997"/>
    <x v="2588"/>
    <n v="6020.04"/>
    <s v="Complete Access"/>
    <x v="8"/>
    <x v="1"/>
    <x v="5"/>
    <d v="1900-01-10T00:00:00"/>
    <n v="46"/>
    <x v="3"/>
    <x v="5"/>
  </r>
  <r>
    <x v="1204"/>
    <n v="34"/>
    <x v="2589"/>
    <n v="6013.24"/>
    <s v="Complete Access"/>
    <x v="0"/>
    <x v="0"/>
    <x v="0"/>
    <d v="1900-01-10T00:00:00"/>
    <n v="46"/>
    <x v="3"/>
    <x v="5"/>
  </r>
  <r>
    <x v="1205"/>
    <n v="-43.79"/>
    <x v="2590"/>
    <n v="6142.34"/>
    <s v="Complete Access"/>
    <x v="8"/>
    <x v="1"/>
    <x v="5"/>
    <d v="1900-01-09T00:00:00"/>
    <n v="46"/>
    <x v="3"/>
    <x v="5"/>
  </r>
  <r>
    <x v="1205"/>
    <n v="-33"/>
    <x v="2591"/>
    <n v="6109.34"/>
    <s v="Complete Access"/>
    <x v="8"/>
    <x v="1"/>
    <x v="5"/>
    <d v="1900-01-09T00:00:00"/>
    <n v="46"/>
    <x v="3"/>
    <x v="5"/>
  </r>
  <r>
    <x v="1205"/>
    <n v="-56.5"/>
    <x v="2135"/>
    <n v="6052.84"/>
    <s v="Complete Access"/>
    <x v="215"/>
    <x v="1"/>
    <x v="1"/>
    <d v="1900-01-09T00:00:00"/>
    <n v="46"/>
    <x v="3"/>
    <x v="5"/>
  </r>
  <r>
    <x v="1206"/>
    <n v="30"/>
    <x v="2589"/>
    <n v="6245.13"/>
    <s v="Complete Access"/>
    <x v="0"/>
    <x v="0"/>
    <x v="0"/>
    <d v="1900-01-08T00:00:00"/>
    <n v="46"/>
    <x v="3"/>
    <x v="5"/>
  </r>
  <r>
    <x v="1206"/>
    <n v="-20"/>
    <x v="2592"/>
    <n v="6215.13"/>
    <s v="Complete Access"/>
    <x v="0"/>
    <x v="0"/>
    <x v="0"/>
    <d v="1900-01-08T00:00:00"/>
    <n v="46"/>
    <x v="3"/>
    <x v="5"/>
  </r>
  <r>
    <x v="1206"/>
    <n v="-59"/>
    <x v="2543"/>
    <n v="6186.13"/>
    <s v="Complete Access"/>
    <x v="17"/>
    <x v="7"/>
    <x v="11"/>
    <d v="1900-01-08T00:00:00"/>
    <n v="46"/>
    <x v="3"/>
    <x v="5"/>
  </r>
  <r>
    <x v="1207"/>
    <n v="20"/>
    <x v="2593"/>
    <n v="6256.13"/>
    <s v="Complete Access"/>
    <x v="568"/>
    <x v="0"/>
    <x v="69"/>
    <d v="1900-01-07T00:00:00"/>
    <n v="46"/>
    <x v="3"/>
    <x v="5"/>
  </r>
  <r>
    <x v="1207"/>
    <n v="-20"/>
    <x v="2594"/>
    <n v="6236.13"/>
    <s v="Complete Access"/>
    <x v="0"/>
    <x v="0"/>
    <x v="0"/>
    <d v="1900-01-07T00:00:00"/>
    <n v="46"/>
    <x v="3"/>
    <x v="5"/>
  </r>
  <r>
    <x v="1207"/>
    <n v="-21"/>
    <x v="2346"/>
    <n v="6235.13"/>
    <s v="Complete Access"/>
    <x v="0"/>
    <x v="0"/>
    <x v="0"/>
    <d v="1900-01-07T00:00:00"/>
    <n v="46"/>
    <x v="3"/>
    <x v="5"/>
  </r>
  <r>
    <x v="1208"/>
    <n v="-10.99"/>
    <x v="2595"/>
    <n v="6357.99"/>
    <s v="Complete Access"/>
    <x v="373"/>
    <x v="8"/>
    <x v="7"/>
    <d v="1900-01-06T00:00:00"/>
    <n v="45"/>
    <x v="3"/>
    <x v="5"/>
  </r>
  <r>
    <x v="1208"/>
    <n v="-100"/>
    <x v="2274"/>
    <n v="6256.13"/>
    <s v="Complete Access"/>
    <x v="552"/>
    <x v="0"/>
    <x v="74"/>
    <d v="1900-01-06T00:00:00"/>
    <n v="45"/>
    <x v="3"/>
    <x v="5"/>
  </r>
  <r>
    <x v="1208"/>
    <n v="-1.86"/>
    <x v="2596"/>
    <n v="6356.13"/>
    <s v="Complete Access"/>
    <x v="44"/>
    <x v="4"/>
    <x v="27"/>
    <d v="1900-01-06T00:00:00"/>
    <n v="45"/>
    <x v="3"/>
    <x v="5"/>
  </r>
  <r>
    <x v="1209"/>
    <n v="-23.5"/>
    <x v="2597"/>
    <n v="6379.57"/>
    <s v="Complete Access"/>
    <x v="343"/>
    <x v="1"/>
    <x v="5"/>
    <d v="1900-01-03T00:00:00"/>
    <n v="45"/>
    <x v="3"/>
    <x v="5"/>
  </r>
  <r>
    <x v="1209"/>
    <n v="-10.59"/>
    <x v="2135"/>
    <n v="6368.98"/>
    <s v="Complete Access"/>
    <x v="215"/>
    <x v="1"/>
    <x v="1"/>
    <d v="1900-01-03T00:00:00"/>
    <n v="45"/>
    <x v="3"/>
    <x v="5"/>
  </r>
  <r>
    <x v="1210"/>
    <n v="-14.88"/>
    <x v="2135"/>
    <n v="6403.07"/>
    <s v="Complete Access"/>
    <x v="215"/>
    <x v="1"/>
    <x v="1"/>
    <d v="1900-01-02T00:00:00"/>
    <n v="45"/>
    <x v="3"/>
    <x v="5"/>
  </r>
  <r>
    <x v="1210"/>
    <n v="-14.99"/>
    <x v="2598"/>
    <n v="6417.95"/>
    <s v="Complete Access"/>
    <x v="222"/>
    <x v="11"/>
    <x v="14"/>
    <d v="1900-01-02T00:00:00"/>
    <n v="45"/>
    <x v="3"/>
    <x v="5"/>
  </r>
  <r>
    <x v="1211"/>
    <n v="-172.99"/>
    <x v="2599"/>
    <n v="6432.94"/>
    <s v="Complete Access"/>
    <x v="76"/>
    <x v="2"/>
    <x v="2"/>
    <d v="1900-01-01T00:00:00"/>
    <n v="45"/>
    <x v="3"/>
    <x v="5"/>
  </r>
  <r>
    <x v="1212"/>
    <n v="-20"/>
    <x v="2229"/>
    <n v="6642.39"/>
    <s v="Complete Access"/>
    <x v="557"/>
    <x v="7"/>
    <x v="53"/>
    <d v="1899-12-31T00:00:00"/>
    <n v="45"/>
    <x v="3"/>
    <x v="5"/>
  </r>
  <r>
    <x v="1212"/>
    <n v="-36.46"/>
    <x v="2135"/>
    <n v="6605.93"/>
    <s v="Complete Access"/>
    <x v="215"/>
    <x v="1"/>
    <x v="1"/>
    <d v="1899-12-31T00:00:00"/>
    <n v="45"/>
    <x v="3"/>
    <x v="5"/>
  </r>
  <r>
    <x v="1213"/>
    <n v="-31.15"/>
    <x v="2600"/>
    <n v="6662.39"/>
    <s v="Complete Access"/>
    <x v="551"/>
    <x v="1"/>
    <x v="5"/>
    <d v="1900-01-30T00:00:00"/>
    <n v="44"/>
    <x v="4"/>
    <x v="5"/>
  </r>
  <r>
    <x v="1213"/>
    <n v="-100"/>
    <x v="2274"/>
    <n v="6693.54"/>
    <s v="Complete Access"/>
    <x v="552"/>
    <x v="0"/>
    <x v="74"/>
    <d v="1900-01-30T00:00:00"/>
    <n v="44"/>
    <x v="4"/>
    <x v="5"/>
  </r>
  <r>
    <x v="1214"/>
    <n v="-7.53"/>
    <x v="2601"/>
    <n v="6793.54"/>
    <s v="Complete Access"/>
    <x v="1"/>
    <x v="1"/>
    <x v="1"/>
    <d v="1900-01-29T00:00:00"/>
    <n v="44"/>
    <x v="4"/>
    <x v="5"/>
  </r>
  <r>
    <x v="1215"/>
    <n v="2101.4699999999998"/>
    <x v="2602"/>
    <n v="7301.07"/>
    <s v="Complete Access"/>
    <x v="14"/>
    <x v="6"/>
    <x v="9"/>
    <d v="1900-01-28T00:00:00"/>
    <n v="44"/>
    <x v="4"/>
    <x v="5"/>
  </r>
  <r>
    <x v="1215"/>
    <n v="-500"/>
    <x v="2294"/>
    <n v="6801.07"/>
    <s v="Complete Access"/>
    <x v="571"/>
    <x v="19"/>
    <x v="61"/>
    <d v="1900-01-28T00:00:00"/>
    <n v="44"/>
    <x v="4"/>
    <x v="5"/>
  </r>
  <r>
    <x v="1216"/>
    <n v="-23.89"/>
    <x v="2603"/>
    <n v="5251.96"/>
    <s v="Complete Access"/>
    <x v="8"/>
    <x v="1"/>
    <x v="5"/>
    <d v="1900-01-27T00:00:00"/>
    <n v="44"/>
    <x v="4"/>
    <x v="5"/>
  </r>
  <r>
    <x v="1216"/>
    <n v="-23.89"/>
    <x v="2604"/>
    <n v="5275.85"/>
    <s v="Complete Access"/>
    <x v="8"/>
    <x v="1"/>
    <x v="5"/>
    <d v="1900-01-27T00:00:00"/>
    <n v="44"/>
    <x v="4"/>
    <x v="5"/>
  </r>
  <r>
    <x v="1216"/>
    <n v="-30"/>
    <x v="2605"/>
    <n v="5299.74"/>
    <s v="Complete Access"/>
    <x v="104"/>
    <x v="1"/>
    <x v="5"/>
    <d v="1900-01-27T00:00:00"/>
    <n v="44"/>
    <x v="4"/>
    <x v="5"/>
  </r>
  <r>
    <x v="1216"/>
    <n v="-52.36"/>
    <x v="2105"/>
    <n v="5199.6000000000004"/>
    <s v="Complete Access"/>
    <x v="4"/>
    <x v="1"/>
    <x v="1"/>
    <d v="1900-01-27T00:00:00"/>
    <n v="44"/>
    <x v="4"/>
    <x v="5"/>
  </r>
  <r>
    <x v="1217"/>
    <n v="-100"/>
    <x v="2359"/>
    <n v="5329.74"/>
    <s v="Complete Access"/>
    <x v="0"/>
    <x v="0"/>
    <x v="0"/>
    <d v="1900-01-25T00:00:00"/>
    <n v="44"/>
    <x v="4"/>
    <x v="5"/>
  </r>
  <r>
    <x v="1217"/>
    <n v="-28.63"/>
    <x v="2135"/>
    <n v="5429.74"/>
    <s v="Complete Access"/>
    <x v="215"/>
    <x v="1"/>
    <x v="1"/>
    <d v="1900-01-25T00:00:00"/>
    <n v="44"/>
    <x v="4"/>
    <x v="5"/>
  </r>
  <r>
    <x v="1218"/>
    <n v="-25.99"/>
    <x v="2606"/>
    <n v="5542.37"/>
    <s v="Complete Access"/>
    <x v="8"/>
    <x v="1"/>
    <x v="5"/>
    <d v="1900-01-23T00:00:00"/>
    <n v="43"/>
    <x v="4"/>
    <x v="5"/>
  </r>
  <r>
    <x v="1218"/>
    <n v="-100"/>
    <x v="2274"/>
    <n v="5442.37"/>
    <s v="Complete Access"/>
    <x v="552"/>
    <x v="0"/>
    <x v="74"/>
    <d v="1900-01-23T00:00:00"/>
    <n v="43"/>
    <x v="4"/>
    <x v="5"/>
  </r>
  <r>
    <x v="1218"/>
    <n v="16"/>
    <x v="2607"/>
    <n v="5458.37"/>
    <s v="Complete Access"/>
    <x v="0"/>
    <x v="0"/>
    <x v="0"/>
    <d v="1900-01-23T00:00:00"/>
    <n v="43"/>
    <x v="4"/>
    <x v="5"/>
  </r>
  <r>
    <x v="1219"/>
    <n v="-53.8"/>
    <x v="2608"/>
    <n v="5568.36"/>
    <s v="Complete Access"/>
    <x v="56"/>
    <x v="9"/>
    <x v="31"/>
    <d v="1900-01-20T00:00:00"/>
    <n v="43"/>
    <x v="4"/>
    <x v="5"/>
  </r>
  <r>
    <x v="1220"/>
    <n v="-23.89"/>
    <x v="2609"/>
    <n v="5586.22"/>
    <s v="Complete Access"/>
    <x v="8"/>
    <x v="1"/>
    <x v="5"/>
    <d v="1900-01-19T00:00:00"/>
    <n v="43"/>
    <x v="4"/>
    <x v="5"/>
  </r>
  <r>
    <x v="1220"/>
    <n v="20.12"/>
    <x v="2610"/>
    <n v="5610.11"/>
    <s v="Complete Access"/>
    <x v="617"/>
    <x v="4"/>
    <x v="73"/>
    <d v="1900-01-19T00:00:00"/>
    <n v="43"/>
    <x v="4"/>
    <x v="5"/>
  </r>
  <r>
    <x v="1220"/>
    <n v="63"/>
    <x v="2556"/>
    <n v="5622.16"/>
    <s v="Complete Access"/>
    <x v="583"/>
    <x v="0"/>
    <x v="69"/>
    <d v="1900-01-19T00:00:00"/>
    <n v="43"/>
    <x v="4"/>
    <x v="5"/>
  </r>
  <r>
    <x v="1220"/>
    <n v="-27.06"/>
    <x v="2611"/>
    <n v="5559.16"/>
    <s v="Complete Access"/>
    <x v="4"/>
    <x v="1"/>
    <x v="1"/>
    <d v="1900-01-19T00:00:00"/>
    <n v="43"/>
    <x v="4"/>
    <x v="5"/>
  </r>
  <r>
    <x v="1221"/>
    <n v="-22"/>
    <x v="2612"/>
    <n v="5754.99"/>
    <s v="Complete Access"/>
    <x v="0"/>
    <x v="0"/>
    <x v="0"/>
    <d v="1900-01-18T00:00:00"/>
    <n v="43"/>
    <x v="4"/>
    <x v="5"/>
  </r>
  <r>
    <x v="1221"/>
    <n v="-165"/>
    <x v="2613"/>
    <n v="5589.99"/>
    <s v="Complete Access"/>
    <x v="504"/>
    <x v="0"/>
    <x v="72"/>
    <d v="1900-01-18T00:00:00"/>
    <n v="43"/>
    <x v="4"/>
    <x v="5"/>
  </r>
  <r>
    <x v="1222"/>
    <n v="-22"/>
    <x v="2614"/>
    <n v="5776.99"/>
    <s v="Complete Access"/>
    <x v="0"/>
    <x v="0"/>
    <x v="0"/>
    <d v="1900-01-16T00:00:00"/>
    <n v="42"/>
    <x v="4"/>
    <x v="5"/>
  </r>
  <r>
    <x v="1222"/>
    <n v="-100"/>
    <x v="2274"/>
    <n v="5798.99"/>
    <s v="Complete Access"/>
    <x v="552"/>
    <x v="0"/>
    <x v="74"/>
    <d v="1900-01-16T00:00:00"/>
    <n v="42"/>
    <x v="4"/>
    <x v="5"/>
  </r>
  <r>
    <x v="1223"/>
    <n v="-67.08"/>
    <x v="2615"/>
    <n v="5927.99"/>
    <s v="Complete Access"/>
    <x v="8"/>
    <x v="1"/>
    <x v="5"/>
    <d v="1900-01-15T00:00:00"/>
    <n v="42"/>
    <x v="4"/>
    <x v="5"/>
  </r>
  <r>
    <x v="1223"/>
    <n v="-23.89"/>
    <x v="2615"/>
    <n v="5995.07"/>
    <s v="Complete Access"/>
    <x v="8"/>
    <x v="1"/>
    <x v="5"/>
    <d v="1900-01-15T00:00:00"/>
    <n v="42"/>
    <x v="4"/>
    <x v="5"/>
  </r>
  <r>
    <x v="1223"/>
    <n v="-29"/>
    <x v="2616"/>
    <n v="5898.99"/>
    <s v="Complete Access"/>
    <x v="1"/>
    <x v="1"/>
    <x v="1"/>
    <d v="1900-01-15T00:00:00"/>
    <n v="42"/>
    <x v="4"/>
    <x v="5"/>
  </r>
  <r>
    <x v="1224"/>
    <n v="2101.4699999999998"/>
    <x v="2617"/>
    <n v="6518.96"/>
    <s v="Complete Access"/>
    <x v="14"/>
    <x v="6"/>
    <x v="9"/>
    <d v="1900-01-14T00:00:00"/>
    <n v="42"/>
    <x v="4"/>
    <x v="5"/>
  </r>
  <r>
    <x v="1224"/>
    <n v="-500"/>
    <x v="2294"/>
    <n v="6018.96"/>
    <s v="Complete Access"/>
    <x v="571"/>
    <x v="19"/>
    <x v="61"/>
    <d v="1900-01-14T00:00:00"/>
    <n v="42"/>
    <x v="4"/>
    <x v="5"/>
  </r>
  <r>
    <x v="1225"/>
    <n v="-23.89"/>
    <x v="2618"/>
    <n v="4417.49"/>
    <s v="Complete Access"/>
    <x v="8"/>
    <x v="1"/>
    <x v="5"/>
    <d v="1900-01-13T00:00:00"/>
    <n v="42"/>
    <x v="4"/>
    <x v="5"/>
  </r>
  <r>
    <x v="1225"/>
    <n v="-28.49"/>
    <x v="2618"/>
    <n v="4441.38"/>
    <s v="Complete Access"/>
    <x v="8"/>
    <x v="1"/>
    <x v="5"/>
    <d v="1900-01-13T00:00:00"/>
    <n v="42"/>
    <x v="4"/>
    <x v="5"/>
  </r>
  <r>
    <x v="1226"/>
    <n v="-180"/>
    <x v="2619"/>
    <n v="4469.87"/>
    <s v="Complete Access"/>
    <x v="618"/>
    <x v="8"/>
    <x v="29"/>
    <d v="1900-01-12T00:00:00"/>
    <n v="42"/>
    <x v="4"/>
    <x v="5"/>
  </r>
  <r>
    <x v="1226"/>
    <n v="-117"/>
    <x v="2619"/>
    <n v="4649.87"/>
    <s v="Complete Access"/>
    <x v="618"/>
    <x v="8"/>
    <x v="29"/>
    <d v="1900-01-12T00:00:00"/>
    <n v="42"/>
    <x v="4"/>
    <x v="5"/>
  </r>
  <r>
    <x v="1227"/>
    <n v="-42.48"/>
    <x v="2135"/>
    <n v="4826.37"/>
    <s v="Complete Access"/>
    <x v="215"/>
    <x v="1"/>
    <x v="1"/>
    <d v="1900-01-11T00:00:00"/>
    <n v="42"/>
    <x v="4"/>
    <x v="5"/>
  </r>
  <r>
    <x v="1227"/>
    <n v="-59.5"/>
    <x v="2543"/>
    <n v="4766.87"/>
    <s v="Complete Access"/>
    <x v="17"/>
    <x v="7"/>
    <x v="11"/>
    <d v="1900-01-11T00:00:00"/>
    <n v="42"/>
    <x v="4"/>
    <x v="5"/>
  </r>
  <r>
    <x v="1228"/>
    <n v="-100"/>
    <x v="2274"/>
    <n v="4850.8500000000004"/>
    <s v="Complete Access"/>
    <x v="552"/>
    <x v="0"/>
    <x v="74"/>
    <d v="1900-01-09T00:00:00"/>
    <n v="41"/>
    <x v="4"/>
    <x v="5"/>
  </r>
  <r>
    <x v="1228"/>
    <n v="18"/>
    <x v="2620"/>
    <n v="4868.8500000000004"/>
    <s v="Complete Access"/>
    <x v="0"/>
    <x v="0"/>
    <x v="0"/>
    <d v="1900-01-09T00:00:00"/>
    <n v="41"/>
    <x v="4"/>
    <x v="5"/>
  </r>
  <r>
    <x v="1229"/>
    <n v="-8"/>
    <x v="2409"/>
    <n v="4950.8500000000004"/>
    <s v="Complete Access"/>
    <x v="0"/>
    <x v="0"/>
    <x v="0"/>
    <d v="1900-01-08T00:00:00"/>
    <n v="41"/>
    <x v="4"/>
    <x v="5"/>
  </r>
  <r>
    <x v="1229"/>
    <n v="-16.600000000000001"/>
    <x v="1965"/>
    <n v="4958.8500000000004"/>
    <s v="Complete Access"/>
    <x v="304"/>
    <x v="1"/>
    <x v="5"/>
    <d v="1900-01-08T00:00:00"/>
    <n v="41"/>
    <x v="4"/>
    <x v="5"/>
  </r>
  <r>
    <x v="1230"/>
    <n v="-33.5"/>
    <x v="2621"/>
    <n v="4975.45"/>
    <s v="Complete Access"/>
    <x v="61"/>
    <x v="1"/>
    <x v="1"/>
    <d v="1900-01-07T00:00:00"/>
    <n v="41"/>
    <x v="4"/>
    <x v="5"/>
  </r>
  <r>
    <x v="1230"/>
    <n v="-24.26"/>
    <x v="2621"/>
    <n v="5008.95"/>
    <s v="Complete Access"/>
    <x v="61"/>
    <x v="1"/>
    <x v="1"/>
    <d v="1900-01-07T00:00:00"/>
    <n v="41"/>
    <x v="4"/>
    <x v="5"/>
  </r>
  <r>
    <x v="1230"/>
    <n v="-33.5"/>
    <x v="2622"/>
    <n v="4975.45"/>
    <s v="Complete Access"/>
    <x v="61"/>
    <x v="1"/>
    <x v="1"/>
    <d v="1900-01-07T00:00:00"/>
    <n v="41"/>
    <x v="4"/>
    <x v="5"/>
  </r>
  <r>
    <x v="1230"/>
    <n v="-24.26"/>
    <x v="2622"/>
    <n v="5008.95"/>
    <s v="Complete Access"/>
    <x v="61"/>
    <x v="1"/>
    <x v="1"/>
    <d v="1900-01-07T00:00:00"/>
    <n v="41"/>
    <x v="4"/>
    <x v="5"/>
  </r>
  <r>
    <x v="1230"/>
    <n v="-9.99"/>
    <x v="2623"/>
    <n v="5033.21"/>
    <s v="Complete Access"/>
    <x v="373"/>
    <x v="8"/>
    <x v="7"/>
    <d v="1900-01-07T00:00:00"/>
    <n v="41"/>
    <x v="4"/>
    <x v="5"/>
  </r>
  <r>
    <x v="1230"/>
    <n v="-9.99"/>
    <x v="2624"/>
    <n v="5033.21"/>
    <s v="Complete Access"/>
    <x v="373"/>
    <x v="8"/>
    <x v="7"/>
    <d v="1900-01-07T00:00:00"/>
    <n v="41"/>
    <x v="4"/>
    <x v="5"/>
  </r>
  <r>
    <x v="1231"/>
    <n v="-23.29"/>
    <x v="2625"/>
    <n v="5271.54"/>
    <s v="Complete Access"/>
    <x v="8"/>
    <x v="1"/>
    <x v="5"/>
    <d v="1900-01-06T00:00:00"/>
    <n v="41"/>
    <x v="4"/>
    <x v="5"/>
  </r>
  <r>
    <x v="1231"/>
    <n v="-21.9"/>
    <x v="2625"/>
    <n v="5294.83"/>
    <s v="Complete Access"/>
    <x v="8"/>
    <x v="1"/>
    <x v="5"/>
    <d v="1900-01-06T00:00:00"/>
    <n v="41"/>
    <x v="4"/>
    <x v="5"/>
  </r>
  <r>
    <x v="1231"/>
    <n v="-23.89"/>
    <x v="2625"/>
    <n v="5316.73"/>
    <s v="Complete Access"/>
    <x v="8"/>
    <x v="1"/>
    <x v="5"/>
    <d v="1900-01-06T00:00:00"/>
    <n v="41"/>
    <x v="4"/>
    <x v="5"/>
  </r>
  <r>
    <x v="1231"/>
    <n v="-24.34"/>
    <x v="2626"/>
    <n v="5247.2"/>
    <s v="Complete Access"/>
    <x v="8"/>
    <x v="1"/>
    <x v="5"/>
    <d v="1900-01-06T00:00:00"/>
    <n v="41"/>
    <x v="4"/>
    <x v="5"/>
  </r>
  <r>
    <x v="1231"/>
    <n v="-54"/>
    <x v="2627"/>
    <n v="5113.2"/>
    <s v="Complete Access"/>
    <x v="35"/>
    <x v="1"/>
    <x v="23"/>
    <d v="1900-01-06T00:00:00"/>
    <n v="41"/>
    <x v="4"/>
    <x v="5"/>
  </r>
  <r>
    <x v="1231"/>
    <n v="-70"/>
    <x v="2628"/>
    <n v="5043.2"/>
    <s v="Complete Access"/>
    <x v="0"/>
    <x v="0"/>
    <x v="0"/>
    <d v="1900-01-06T00:00:00"/>
    <n v="41"/>
    <x v="4"/>
    <x v="5"/>
  </r>
  <r>
    <x v="1231"/>
    <n v="-60"/>
    <x v="2629"/>
    <n v="5167.2"/>
    <s v="Complete Access"/>
    <x v="619"/>
    <x v="3"/>
    <x v="15"/>
    <d v="1900-01-06T00:00:00"/>
    <n v="41"/>
    <x v="4"/>
    <x v="5"/>
  </r>
  <r>
    <x v="1231"/>
    <n v="-20"/>
    <x v="2630"/>
    <n v="5227.2"/>
    <s v="Complete Access"/>
    <x v="620"/>
    <x v="3"/>
    <x v="15"/>
    <d v="1900-01-06T00:00:00"/>
    <n v="41"/>
    <x v="4"/>
    <x v="5"/>
  </r>
  <r>
    <x v="1232"/>
    <n v="-36.29"/>
    <x v="2631"/>
    <n v="5347.62"/>
    <s v="Complete Access"/>
    <x v="8"/>
    <x v="1"/>
    <x v="5"/>
    <d v="1900-01-05T00:00:00"/>
    <n v="41"/>
    <x v="4"/>
    <x v="5"/>
  </r>
  <r>
    <x v="1232"/>
    <n v="-4"/>
    <x v="2632"/>
    <n v="5343.62"/>
    <s v="Complete Access"/>
    <x v="621"/>
    <x v="3"/>
    <x v="15"/>
    <d v="1900-01-05T00:00:00"/>
    <n v="41"/>
    <x v="4"/>
    <x v="5"/>
  </r>
  <r>
    <x v="1232"/>
    <n v="-186.15"/>
    <x v="2633"/>
    <n v="5383.91"/>
    <s v="Complete Access"/>
    <x v="438"/>
    <x v="12"/>
    <x v="21"/>
    <d v="1900-01-05T00:00:00"/>
    <n v="41"/>
    <x v="4"/>
    <x v="5"/>
  </r>
  <r>
    <x v="1232"/>
    <n v="-3"/>
    <x v="2634"/>
    <n v="5340.62"/>
    <s v="Complete Access"/>
    <x v="622"/>
    <x v="1"/>
    <x v="23"/>
    <d v="1900-01-05T00:00:00"/>
    <n v="41"/>
    <x v="4"/>
    <x v="5"/>
  </r>
  <r>
    <x v="1233"/>
    <n v="-35"/>
    <x v="2635"/>
    <n v="5623.58"/>
    <s v="Complete Access"/>
    <x v="623"/>
    <x v="1"/>
    <x v="5"/>
    <d v="1900-01-04T00:00:00"/>
    <n v="41"/>
    <x v="4"/>
    <x v="5"/>
  </r>
  <r>
    <x v="1233"/>
    <n v="-5"/>
    <x v="2636"/>
    <n v="5581.51"/>
    <s v="Complete Access"/>
    <x v="624"/>
    <x v="9"/>
    <x v="12"/>
    <d v="1900-01-04T00:00:00"/>
    <n v="41"/>
    <x v="4"/>
    <x v="5"/>
  </r>
  <r>
    <x v="1233"/>
    <n v="-37.07"/>
    <x v="2636"/>
    <n v="5586.51"/>
    <s v="Complete Access"/>
    <x v="624"/>
    <x v="9"/>
    <x v="12"/>
    <d v="1900-01-04T00:00:00"/>
    <n v="41"/>
    <x v="4"/>
    <x v="5"/>
  </r>
  <r>
    <x v="1233"/>
    <n v="-11.45"/>
    <x v="2637"/>
    <n v="5570.06"/>
    <s v="Complete Access"/>
    <x v="625"/>
    <x v="1"/>
    <x v="5"/>
    <d v="1900-01-04T00:00:00"/>
    <n v="41"/>
    <x v="4"/>
    <x v="5"/>
  </r>
  <r>
    <x v="1233"/>
    <n v="-6.5"/>
    <x v="2638"/>
    <n v="5718.58"/>
    <s v="Complete Access"/>
    <x v="304"/>
    <x v="1"/>
    <x v="5"/>
    <d v="1900-01-04T00:00:00"/>
    <n v="41"/>
    <x v="4"/>
    <x v="5"/>
  </r>
  <r>
    <x v="1233"/>
    <n v="-60"/>
    <x v="2639"/>
    <n v="5658.58"/>
    <s v="Complete Access"/>
    <x v="4"/>
    <x v="1"/>
    <x v="1"/>
    <d v="1900-01-04T00:00:00"/>
    <n v="41"/>
    <x v="4"/>
    <x v="5"/>
  </r>
  <r>
    <x v="1234"/>
    <n v="-90"/>
    <x v="2640"/>
    <n v="5733.27"/>
    <s v="Complete Access"/>
    <x v="601"/>
    <x v="0"/>
    <x v="0"/>
    <d v="1900-01-02T00:00:00"/>
    <n v="40"/>
    <x v="4"/>
    <x v="5"/>
  </r>
  <r>
    <x v="1234"/>
    <n v="-5"/>
    <x v="2641"/>
    <n v="5881.17"/>
    <s v="Complete Access"/>
    <x v="507"/>
    <x v="1"/>
    <x v="1"/>
    <d v="1900-01-02T00:00:00"/>
    <n v="40"/>
    <x v="4"/>
    <x v="5"/>
  </r>
  <r>
    <x v="1234"/>
    <n v="-55"/>
    <x v="2642"/>
    <n v="5823.27"/>
    <s v="Complete Access"/>
    <x v="626"/>
    <x v="3"/>
    <x v="15"/>
    <d v="1900-01-02T00:00:00"/>
    <n v="40"/>
    <x v="4"/>
    <x v="5"/>
  </r>
  <r>
    <x v="1234"/>
    <n v="-8.19"/>
    <x v="2643"/>
    <n v="5725.08"/>
    <s v="Complete Access"/>
    <x v="215"/>
    <x v="1"/>
    <x v="1"/>
    <d v="1900-01-02T00:00:00"/>
    <n v="40"/>
    <x v="4"/>
    <x v="5"/>
  </r>
  <r>
    <x v="1234"/>
    <n v="-100"/>
    <x v="2274"/>
    <n v="5886.17"/>
    <s v="Complete Access"/>
    <x v="552"/>
    <x v="0"/>
    <x v="74"/>
    <d v="1900-01-02T00:00:00"/>
    <n v="40"/>
    <x v="4"/>
    <x v="5"/>
  </r>
  <r>
    <x v="1234"/>
    <n v="-2.9"/>
    <x v="2644"/>
    <n v="5878.27"/>
    <s v="Complete Access"/>
    <x v="1"/>
    <x v="1"/>
    <x v="1"/>
    <d v="1900-01-02T00:00:00"/>
    <n v="40"/>
    <x v="4"/>
    <x v="5"/>
  </r>
  <r>
    <x v="1235"/>
    <n v="62"/>
    <x v="2282"/>
    <n v="5986.17"/>
    <s v="Complete Access"/>
    <x v="567"/>
    <x v="0"/>
    <x v="69"/>
    <d v="1900-01-01T00:00:00"/>
    <n v="40"/>
    <x v="4"/>
    <x v="5"/>
  </r>
  <r>
    <x v="1236"/>
    <n v="-31.4"/>
    <x v="2645"/>
    <n v="6635.86"/>
    <s v="Complete Access"/>
    <x v="8"/>
    <x v="1"/>
    <x v="5"/>
    <d v="1899-12-31T00:00:00"/>
    <n v="40"/>
    <x v="4"/>
    <x v="5"/>
  </r>
  <r>
    <x v="1236"/>
    <n v="2101.4699999999998"/>
    <x v="2646"/>
    <n v="6756.75"/>
    <s v="Complete Access"/>
    <x v="14"/>
    <x v="6"/>
    <x v="9"/>
    <d v="1899-12-31T00:00:00"/>
    <n v="40"/>
    <x v="4"/>
    <x v="5"/>
  </r>
  <r>
    <x v="1236"/>
    <n v="-500"/>
    <x v="2294"/>
    <n v="6135.86"/>
    <s v="Complete Access"/>
    <x v="571"/>
    <x v="19"/>
    <x v="61"/>
    <d v="1899-12-31T00:00:00"/>
    <n v="40"/>
    <x v="4"/>
    <x v="5"/>
  </r>
  <r>
    <x v="1236"/>
    <n v="-26.8"/>
    <x v="2647"/>
    <n v="6667.26"/>
    <s v="Complete Access"/>
    <x v="627"/>
    <x v="8"/>
    <x v="29"/>
    <d v="1899-12-31T00:00:00"/>
    <n v="40"/>
    <x v="4"/>
    <x v="5"/>
  </r>
  <r>
    <x v="1236"/>
    <n v="-23"/>
    <x v="2647"/>
    <n v="6694.06"/>
    <s v="Complete Access"/>
    <x v="627"/>
    <x v="8"/>
    <x v="29"/>
    <d v="1899-12-31T00:00:00"/>
    <n v="40"/>
    <x v="4"/>
    <x v="5"/>
  </r>
  <r>
    <x v="1236"/>
    <n v="-20"/>
    <x v="2229"/>
    <n v="6115.86"/>
    <s v="Complete Access"/>
    <x v="557"/>
    <x v="7"/>
    <x v="53"/>
    <d v="1899-12-31T00:00:00"/>
    <n v="40"/>
    <x v="4"/>
    <x v="5"/>
  </r>
  <r>
    <x v="1236"/>
    <n v="-39.69"/>
    <x v="2648"/>
    <n v="6717.06"/>
    <s v="Complete Access"/>
    <x v="237"/>
    <x v="15"/>
    <x v="34"/>
    <d v="1899-12-31T00:00:00"/>
    <n v="40"/>
    <x v="4"/>
    <x v="5"/>
  </r>
  <r>
    <x v="1236"/>
    <n v="-172.3"/>
    <x v="2649"/>
    <n v="5924.17"/>
    <s v="Complete Access"/>
    <x v="76"/>
    <x v="2"/>
    <x v="2"/>
    <d v="1899-12-31T00:00:00"/>
    <n v="40"/>
    <x v="4"/>
    <x v="5"/>
  </r>
  <r>
    <x v="1236"/>
    <n v="-19.39"/>
    <x v="2639"/>
    <n v="6096.47"/>
    <s v="Complete Access"/>
    <x v="4"/>
    <x v="1"/>
    <x v="1"/>
    <d v="1899-12-31T00:00:00"/>
    <n v="40"/>
    <x v="4"/>
    <x v="5"/>
  </r>
  <r>
    <x v="1237"/>
    <n v="-30.64"/>
    <x v="2650"/>
    <n v="4679.17"/>
    <s v="Complete Access"/>
    <x v="8"/>
    <x v="1"/>
    <x v="5"/>
    <d v="1900-01-29T00:00:00"/>
    <n v="40"/>
    <x v="5"/>
    <x v="5"/>
  </r>
  <r>
    <x v="1237"/>
    <n v="-23.89"/>
    <x v="2651"/>
    <n v="4655.28"/>
    <s v="Complete Access"/>
    <x v="8"/>
    <x v="1"/>
    <x v="5"/>
    <d v="1900-01-29T00:00:00"/>
    <n v="40"/>
    <x v="5"/>
    <x v="5"/>
  </r>
  <r>
    <x v="1238"/>
    <n v="-27.79"/>
    <x v="2652"/>
    <n v="4776.51"/>
    <s v="Complete Access"/>
    <x v="8"/>
    <x v="1"/>
    <x v="5"/>
    <d v="1900-01-28T00:00:00"/>
    <n v="40"/>
    <x v="5"/>
    <x v="5"/>
  </r>
  <r>
    <x v="1238"/>
    <n v="-47.7"/>
    <x v="2643"/>
    <n v="4709.8100000000004"/>
    <s v="Complete Access"/>
    <x v="215"/>
    <x v="1"/>
    <x v="1"/>
    <d v="1900-01-28T00:00:00"/>
    <n v="40"/>
    <x v="5"/>
    <x v="5"/>
  </r>
  <r>
    <x v="1238"/>
    <n v="-19"/>
    <x v="2653"/>
    <n v="4757.51"/>
    <s v="Complete Access"/>
    <x v="34"/>
    <x v="9"/>
    <x v="12"/>
    <d v="1900-01-28T00:00:00"/>
    <n v="40"/>
    <x v="5"/>
    <x v="5"/>
  </r>
  <r>
    <x v="1239"/>
    <n v="-560"/>
    <x v="2654"/>
    <n v="4804.3"/>
    <s v="Complete Access"/>
    <x v="532"/>
    <x v="17"/>
    <x v="43"/>
    <d v="1900-01-26T00:00:00"/>
    <n v="40"/>
    <x v="5"/>
    <x v="5"/>
  </r>
  <r>
    <x v="1240"/>
    <n v="-100"/>
    <x v="2274"/>
    <n v="5364.3"/>
    <s v="Complete Access"/>
    <x v="552"/>
    <x v="0"/>
    <x v="74"/>
    <d v="1900-01-25T00:00:00"/>
    <n v="39"/>
    <x v="5"/>
    <x v="5"/>
  </r>
  <r>
    <x v="1241"/>
    <n v="-17.53"/>
    <x v="2643"/>
    <n v="5464.3"/>
    <s v="Complete Access"/>
    <x v="215"/>
    <x v="1"/>
    <x v="1"/>
    <d v="1900-01-23T00:00:00"/>
    <n v="39"/>
    <x v="5"/>
    <x v="5"/>
  </r>
  <r>
    <x v="1242"/>
    <n v="-22.89"/>
    <x v="2655"/>
    <n v="5481.83"/>
    <s v="Complete Access"/>
    <x v="8"/>
    <x v="1"/>
    <x v="5"/>
    <d v="1900-01-22T00:00:00"/>
    <n v="39"/>
    <x v="5"/>
    <x v="5"/>
  </r>
  <r>
    <x v="1242"/>
    <n v="-33.299999999999997"/>
    <x v="2656"/>
    <n v="5504.72"/>
    <s v="Complete Access"/>
    <x v="8"/>
    <x v="1"/>
    <x v="5"/>
    <d v="1900-01-22T00:00:00"/>
    <n v="39"/>
    <x v="5"/>
    <x v="5"/>
  </r>
  <r>
    <x v="1243"/>
    <n v="-47.49"/>
    <x v="2657"/>
    <n v="5538.02"/>
    <s v="Complete Access"/>
    <x v="8"/>
    <x v="1"/>
    <x v="5"/>
    <d v="1900-01-21T00:00:00"/>
    <n v="39"/>
    <x v="5"/>
    <x v="5"/>
  </r>
  <r>
    <x v="1244"/>
    <n v="-21"/>
    <x v="2612"/>
    <n v="5585.51"/>
    <s v="Complete Access"/>
    <x v="0"/>
    <x v="0"/>
    <x v="0"/>
    <d v="1900-01-20T00:00:00"/>
    <n v="39"/>
    <x v="5"/>
    <x v="5"/>
  </r>
  <r>
    <x v="1245"/>
    <n v="-100"/>
    <x v="2274"/>
    <n v="5606.51"/>
    <s v="Complete Access"/>
    <x v="552"/>
    <x v="0"/>
    <x v="74"/>
    <d v="1900-01-18T00:00:00"/>
    <n v="38"/>
    <x v="5"/>
    <x v="5"/>
  </r>
  <r>
    <x v="1246"/>
    <n v="30"/>
    <x v="2593"/>
    <n v="5706.51"/>
    <s v="Complete Access"/>
    <x v="568"/>
    <x v="0"/>
    <x v="69"/>
    <d v="1900-01-17T00:00:00"/>
    <n v="38"/>
    <x v="5"/>
    <x v="5"/>
  </r>
  <r>
    <x v="1246"/>
    <n v="-30"/>
    <x v="2658"/>
    <n v="5676.51"/>
    <s v="Complete Access"/>
    <x v="0"/>
    <x v="0"/>
    <x v="0"/>
    <d v="1900-01-17T00:00:00"/>
    <n v="38"/>
    <x v="5"/>
    <x v="5"/>
  </r>
  <r>
    <x v="1246"/>
    <n v="-13.98"/>
    <x v="2659"/>
    <n v="5706.51"/>
    <s v="Complete Access"/>
    <x v="1"/>
    <x v="1"/>
    <x v="1"/>
    <d v="1900-01-17T00:00:00"/>
    <n v="38"/>
    <x v="5"/>
    <x v="5"/>
  </r>
  <r>
    <x v="1247"/>
    <n v="-88.79"/>
    <x v="2660"/>
    <n v="6220.49"/>
    <s v="Complete Access"/>
    <x v="8"/>
    <x v="1"/>
    <x v="5"/>
    <d v="1900-01-16T00:00:00"/>
    <n v="38"/>
    <x v="5"/>
    <x v="5"/>
  </r>
  <r>
    <x v="1247"/>
    <n v="2101.4699999999998"/>
    <x v="2661"/>
    <n v="6309.28"/>
    <s v="Complete Access"/>
    <x v="14"/>
    <x v="6"/>
    <x v="9"/>
    <d v="1900-01-16T00:00:00"/>
    <n v="38"/>
    <x v="5"/>
    <x v="5"/>
  </r>
  <r>
    <x v="1247"/>
    <n v="-500"/>
    <x v="2294"/>
    <n v="5720.49"/>
    <s v="Complete Access"/>
    <x v="571"/>
    <x v="19"/>
    <x v="61"/>
    <d v="1900-01-16T00:00:00"/>
    <n v="38"/>
    <x v="5"/>
    <x v="5"/>
  </r>
  <r>
    <x v="1248"/>
    <n v="-31.69"/>
    <x v="2662"/>
    <n v="4267.78"/>
    <s v="Complete Access"/>
    <x v="8"/>
    <x v="1"/>
    <x v="5"/>
    <d v="1900-01-15T00:00:00"/>
    <n v="38"/>
    <x v="5"/>
    <x v="5"/>
  </r>
  <r>
    <x v="1248"/>
    <n v="-23.89"/>
    <x v="2663"/>
    <n v="4243.8900000000003"/>
    <s v="Complete Access"/>
    <x v="8"/>
    <x v="1"/>
    <x v="5"/>
    <d v="1900-01-15T00:00:00"/>
    <n v="38"/>
    <x v="5"/>
    <x v="5"/>
  </r>
  <r>
    <x v="1248"/>
    <n v="-4"/>
    <x v="2664"/>
    <n v="4239.8900000000003"/>
    <s v="Complete Access"/>
    <x v="1"/>
    <x v="1"/>
    <x v="1"/>
    <d v="1900-01-15T00:00:00"/>
    <n v="38"/>
    <x v="5"/>
    <x v="5"/>
  </r>
  <r>
    <x v="1248"/>
    <n v="-32.08"/>
    <x v="2639"/>
    <n v="4207.8100000000004"/>
    <s v="Complete Access"/>
    <x v="4"/>
    <x v="1"/>
    <x v="1"/>
    <d v="1900-01-15T00:00:00"/>
    <n v="38"/>
    <x v="5"/>
    <x v="5"/>
  </r>
  <r>
    <x v="1249"/>
    <n v="63.5"/>
    <x v="2556"/>
    <n v="4299.47"/>
    <s v="Complete Access"/>
    <x v="583"/>
    <x v="0"/>
    <x v="69"/>
    <d v="1900-01-13T00:00:00"/>
    <n v="38"/>
    <x v="5"/>
    <x v="5"/>
  </r>
  <r>
    <x v="1249"/>
    <n v="-11.15"/>
    <x v="2639"/>
    <n v="4235.97"/>
    <s v="Complete Access"/>
    <x v="4"/>
    <x v="1"/>
    <x v="1"/>
    <d v="1900-01-13T00:00:00"/>
    <n v="38"/>
    <x v="5"/>
    <x v="5"/>
  </r>
  <r>
    <x v="1250"/>
    <n v="-3.29"/>
    <x v="2643"/>
    <n v="4247.12"/>
    <s v="Complete Access"/>
    <x v="215"/>
    <x v="1"/>
    <x v="1"/>
    <d v="1900-01-11T00:00:00"/>
    <n v="37"/>
    <x v="5"/>
    <x v="5"/>
  </r>
  <r>
    <x v="1250"/>
    <n v="-100"/>
    <x v="2274"/>
    <n v="4250.41"/>
    <s v="Complete Access"/>
    <x v="552"/>
    <x v="0"/>
    <x v="74"/>
    <d v="1900-01-11T00:00:00"/>
    <n v="37"/>
    <x v="5"/>
    <x v="5"/>
  </r>
  <r>
    <x v="1251"/>
    <n v="-191.63"/>
    <x v="2665"/>
    <n v="4350.41"/>
    <s v="Complete Access"/>
    <x v="438"/>
    <x v="12"/>
    <x v="21"/>
    <d v="1900-01-09T00:00:00"/>
    <n v="37"/>
    <x v="5"/>
    <x v="5"/>
  </r>
  <r>
    <x v="1252"/>
    <n v="-32.99"/>
    <x v="2666"/>
    <n v="5021.12"/>
    <s v="Complete Access"/>
    <x v="8"/>
    <x v="1"/>
    <x v="5"/>
    <d v="1900-01-08T00:00:00"/>
    <n v="37"/>
    <x v="5"/>
    <x v="5"/>
  </r>
  <r>
    <x v="1252"/>
    <n v="-290"/>
    <x v="2543"/>
    <n v="4542.04"/>
    <s v="Complete Access"/>
    <x v="17"/>
    <x v="7"/>
    <x v="11"/>
    <d v="1900-01-08T00:00:00"/>
    <n v="37"/>
    <x v="5"/>
    <x v="5"/>
  </r>
  <r>
    <x v="1252"/>
    <n v="-84.38"/>
    <x v="2667"/>
    <n v="4936.74"/>
    <s v="Complete Access"/>
    <x v="222"/>
    <x v="11"/>
    <x v="14"/>
    <d v="1900-01-08T00:00:00"/>
    <n v="37"/>
    <x v="5"/>
    <x v="5"/>
  </r>
  <r>
    <x v="1252"/>
    <n v="-100"/>
    <x v="2668"/>
    <n v="4832.04"/>
    <s v="Complete Access"/>
    <x v="0"/>
    <x v="0"/>
    <x v="0"/>
    <d v="1900-01-08T00:00:00"/>
    <n v="37"/>
    <x v="5"/>
    <x v="5"/>
  </r>
  <r>
    <x v="1252"/>
    <n v="-4.7"/>
    <x v="2669"/>
    <n v="4932.04"/>
    <s v="Complete Access"/>
    <x v="1"/>
    <x v="1"/>
    <x v="1"/>
    <d v="1900-01-08T00:00:00"/>
    <n v="37"/>
    <x v="5"/>
    <x v="5"/>
  </r>
  <r>
    <x v="1252"/>
    <n v="-26.44"/>
    <x v="2670"/>
    <n v="5054.1099999999997"/>
    <s v="Complete Access"/>
    <x v="1"/>
    <x v="1"/>
    <x v="1"/>
    <d v="1900-01-08T00:00:00"/>
    <n v="37"/>
    <x v="5"/>
    <x v="5"/>
  </r>
  <r>
    <x v="1253"/>
    <n v="-9.99"/>
    <x v="2671"/>
    <n v="5032.55"/>
    <s v="Complete Access"/>
    <x v="373"/>
    <x v="8"/>
    <x v="7"/>
    <d v="1900-01-07T00:00:00"/>
    <n v="37"/>
    <x v="5"/>
    <x v="5"/>
  </r>
  <r>
    <x v="1253"/>
    <n v="48"/>
    <x v="2672"/>
    <n v="5080.55"/>
    <s v="Complete Access"/>
    <x v="584"/>
    <x v="0"/>
    <x v="69"/>
    <d v="1900-01-07T00:00:00"/>
    <n v="37"/>
    <x v="5"/>
    <x v="5"/>
  </r>
  <r>
    <x v="1254"/>
    <n v="-25.6"/>
    <x v="2639"/>
    <n v="5042.54"/>
    <s v="Complete Access"/>
    <x v="4"/>
    <x v="1"/>
    <x v="1"/>
    <d v="1900-01-06T00:00:00"/>
    <n v="37"/>
    <x v="5"/>
    <x v="5"/>
  </r>
  <r>
    <x v="1255"/>
    <n v="-10"/>
    <x v="2673"/>
    <n v="5068.1400000000003"/>
    <s v="Complete Access"/>
    <x v="213"/>
    <x v="1"/>
    <x v="23"/>
    <d v="1900-01-05T00:00:00"/>
    <n v="37"/>
    <x v="5"/>
    <x v="5"/>
  </r>
  <r>
    <x v="1255"/>
    <n v="-89.31"/>
    <x v="2639"/>
    <n v="5078.1400000000003"/>
    <s v="Complete Access"/>
    <x v="4"/>
    <x v="1"/>
    <x v="1"/>
    <d v="1900-01-05T00:00:00"/>
    <n v="37"/>
    <x v="5"/>
    <x v="5"/>
  </r>
  <r>
    <x v="1256"/>
    <n v="16"/>
    <x v="2674"/>
    <n v="5167.45"/>
    <s v="Complete Access"/>
    <x v="628"/>
    <x v="0"/>
    <x v="69"/>
    <d v="1900-01-04T00:00:00"/>
    <n v="36"/>
    <x v="5"/>
    <x v="5"/>
  </r>
  <r>
    <x v="1256"/>
    <n v="-100"/>
    <x v="2274"/>
    <n v="5466.59"/>
    <s v="Complete Access"/>
    <x v="552"/>
    <x v="0"/>
    <x v="74"/>
    <d v="1900-01-04T00:00:00"/>
    <n v="36"/>
    <x v="5"/>
    <x v="5"/>
  </r>
  <r>
    <x v="1256"/>
    <n v="-28"/>
    <x v="2675"/>
    <n v="5151.45"/>
    <s v="Complete Access"/>
    <x v="0"/>
    <x v="0"/>
    <x v="0"/>
    <d v="1900-01-04T00:00:00"/>
    <n v="36"/>
    <x v="5"/>
    <x v="5"/>
  </r>
  <r>
    <x v="1256"/>
    <n v="-277"/>
    <x v="2676"/>
    <n v="5179.45"/>
    <s v="Complete Access"/>
    <x v="629"/>
    <x v="1"/>
    <x v="5"/>
    <d v="1900-01-04T00:00:00"/>
    <n v="36"/>
    <x v="5"/>
    <x v="5"/>
  </r>
  <r>
    <x v="1256"/>
    <n v="-10.14"/>
    <x v="2677"/>
    <n v="5456.45"/>
    <s v="Complete Access"/>
    <x v="34"/>
    <x v="9"/>
    <x v="12"/>
    <d v="1900-01-04T00:00:00"/>
    <n v="36"/>
    <x v="5"/>
    <x v="5"/>
  </r>
  <r>
    <x v="1257"/>
    <n v="-21.95"/>
    <x v="2678"/>
    <n v="5566.59"/>
    <s v="Complete Access"/>
    <x v="617"/>
    <x v="4"/>
    <x v="73"/>
    <d v="1900-01-03T00:00:00"/>
    <n v="36"/>
    <x v="5"/>
    <x v="5"/>
  </r>
  <r>
    <x v="1258"/>
    <n v="2063.09"/>
    <x v="2679"/>
    <n v="5950.54"/>
    <s v="Complete Access"/>
    <x v="14"/>
    <x v="6"/>
    <x v="9"/>
    <d v="1900-01-02T00:00:00"/>
    <n v="36"/>
    <x v="5"/>
    <x v="5"/>
  </r>
  <r>
    <x v="1258"/>
    <n v="-500"/>
    <x v="2294"/>
    <n v="5450.54"/>
    <s v="Complete Access"/>
    <x v="571"/>
    <x v="19"/>
    <x v="61"/>
    <d v="1900-01-02T00:00:00"/>
    <n v="36"/>
    <x v="5"/>
    <x v="5"/>
  </r>
  <r>
    <x v="1258"/>
    <n v="138"/>
    <x v="2266"/>
    <n v="5588.54"/>
    <s v="Complete Access"/>
    <x v="27"/>
    <x v="1"/>
    <x v="5"/>
    <d v="1900-01-02T00:00:00"/>
    <n v="36"/>
    <x v="5"/>
    <x v="5"/>
  </r>
  <r>
    <x v="1259"/>
    <n v="-32.89"/>
    <x v="2680"/>
    <n v="3916.05"/>
    <s v="Complete Access"/>
    <x v="8"/>
    <x v="1"/>
    <x v="5"/>
    <d v="1900-01-01T00:00:00"/>
    <n v="36"/>
    <x v="5"/>
    <x v="5"/>
  </r>
  <r>
    <x v="1259"/>
    <n v="-3.21"/>
    <x v="2681"/>
    <n v="3887.45"/>
    <s v="Complete Access"/>
    <x v="8"/>
    <x v="1"/>
    <x v="5"/>
    <d v="1900-01-01T00:00:00"/>
    <n v="36"/>
    <x v="5"/>
    <x v="5"/>
  </r>
  <r>
    <x v="1259"/>
    <n v="-25.39"/>
    <x v="2681"/>
    <n v="3890.66"/>
    <s v="Complete Access"/>
    <x v="8"/>
    <x v="1"/>
    <x v="5"/>
    <d v="1900-01-01T00:00:00"/>
    <n v="36"/>
    <x v="5"/>
    <x v="5"/>
  </r>
  <r>
    <x v="1260"/>
    <n v="-20"/>
    <x v="2229"/>
    <n v="4171.24"/>
    <s v="Complete Access"/>
    <x v="557"/>
    <x v="7"/>
    <x v="53"/>
    <d v="1899-12-31T00:00:00"/>
    <n v="36"/>
    <x v="5"/>
    <x v="5"/>
  </r>
  <r>
    <x v="1260"/>
    <n v="-172.3"/>
    <x v="2682"/>
    <n v="3948.94"/>
    <s v="Complete Access"/>
    <x v="76"/>
    <x v="2"/>
    <x v="2"/>
    <d v="1899-12-31T00:00:00"/>
    <n v="36"/>
    <x v="5"/>
    <x v="5"/>
  </r>
  <r>
    <x v="1260"/>
    <n v="-50"/>
    <x v="2668"/>
    <n v="4121.24"/>
    <s v="Complete Access"/>
    <x v="0"/>
    <x v="0"/>
    <x v="0"/>
    <d v="1899-12-31T00:00:00"/>
    <n v="36"/>
    <x v="5"/>
    <x v="5"/>
  </r>
  <r>
    <x v="1261"/>
    <n v="-100"/>
    <x v="2274"/>
    <n v="4191.24"/>
    <s v="Complete Access"/>
    <x v="552"/>
    <x v="0"/>
    <x v="74"/>
    <d v="1900-01-28T00:00:00"/>
    <n v="35"/>
    <x v="6"/>
    <x v="5"/>
  </r>
  <r>
    <x v="1262"/>
    <n v="-31"/>
    <x v="2683"/>
    <n v="4291.24"/>
    <s v="Complete Access"/>
    <x v="1"/>
    <x v="1"/>
    <x v="1"/>
    <d v="1900-01-26T00:00:00"/>
    <n v="35"/>
    <x v="6"/>
    <x v="5"/>
  </r>
  <r>
    <x v="1263"/>
    <n v="-66.19"/>
    <x v="2684"/>
    <n v="4267.05"/>
    <s v="Complete Access"/>
    <x v="8"/>
    <x v="1"/>
    <x v="5"/>
    <d v="1900-01-25T00:00:00"/>
    <n v="35"/>
    <x v="6"/>
    <x v="5"/>
  </r>
  <r>
    <x v="1263"/>
    <n v="70"/>
    <x v="2685"/>
    <n v="4322.24"/>
    <s v="Complete Access"/>
    <x v="584"/>
    <x v="0"/>
    <x v="69"/>
    <d v="1900-01-25T00:00:00"/>
    <n v="35"/>
    <x v="6"/>
    <x v="5"/>
  </r>
  <r>
    <x v="1263"/>
    <n v="-14.81"/>
    <x v="2686"/>
    <n v="4252.24"/>
    <s v="Complete Access"/>
    <x v="34"/>
    <x v="9"/>
    <x v="12"/>
    <d v="1900-01-25T00:00:00"/>
    <n v="35"/>
    <x v="6"/>
    <x v="5"/>
  </r>
  <r>
    <x v="1264"/>
    <n v="-22.5"/>
    <x v="2687"/>
    <n v="4445.57"/>
    <s v="Complete Access"/>
    <x v="243"/>
    <x v="1"/>
    <x v="23"/>
    <d v="1900-01-24T00:00:00"/>
    <n v="35"/>
    <x v="6"/>
    <x v="5"/>
  </r>
  <r>
    <x v="1264"/>
    <n v="-112.33"/>
    <x v="2639"/>
    <n v="4333.24"/>
    <s v="Complete Access"/>
    <x v="4"/>
    <x v="1"/>
    <x v="1"/>
    <d v="1900-01-24T00:00:00"/>
    <n v="35"/>
    <x v="6"/>
    <x v="5"/>
  </r>
  <r>
    <x v="1265"/>
    <n v="-38.51"/>
    <x v="2688"/>
    <n v="4468.07"/>
    <s v="Complete Access"/>
    <x v="177"/>
    <x v="1"/>
    <x v="1"/>
    <d v="1900-01-22T00:00:00"/>
    <n v="35"/>
    <x v="6"/>
    <x v="5"/>
  </r>
  <r>
    <x v="1266"/>
    <n v="-100"/>
    <x v="2274"/>
    <n v="4506.58"/>
    <s v="Complete Access"/>
    <x v="552"/>
    <x v="0"/>
    <x v="74"/>
    <d v="1900-01-21T00:00:00"/>
    <n v="34"/>
    <x v="6"/>
    <x v="5"/>
  </r>
  <r>
    <x v="1267"/>
    <n v="2053.4899999999998"/>
    <x v="388"/>
    <n v="5106.58"/>
    <s v="Complete Access"/>
    <x v="14"/>
    <x v="6"/>
    <x v="9"/>
    <d v="1900-01-19T00:00:00"/>
    <n v="34"/>
    <x v="6"/>
    <x v="5"/>
  </r>
  <r>
    <x v="1267"/>
    <n v="-500"/>
    <x v="2294"/>
    <n v="4606.58"/>
    <s v="Complete Access"/>
    <x v="571"/>
    <x v="19"/>
    <x v="61"/>
    <d v="1900-01-19T00:00:00"/>
    <n v="34"/>
    <x v="6"/>
    <x v="5"/>
  </r>
  <r>
    <x v="1268"/>
    <n v="-35.79"/>
    <x v="2689"/>
    <n v="3089.76"/>
    <s v="Complete Access"/>
    <x v="8"/>
    <x v="1"/>
    <x v="5"/>
    <d v="1900-01-18T00:00:00"/>
    <n v="34"/>
    <x v="6"/>
    <x v="5"/>
  </r>
  <r>
    <x v="1268"/>
    <n v="-27.4"/>
    <x v="2690"/>
    <n v="3165.55"/>
    <s v="Complete Access"/>
    <x v="343"/>
    <x v="1"/>
    <x v="5"/>
    <d v="1900-01-18T00:00:00"/>
    <n v="34"/>
    <x v="6"/>
    <x v="5"/>
  </r>
  <r>
    <x v="1268"/>
    <n v="-40"/>
    <x v="2691"/>
    <n v="3125.55"/>
    <s v="Complete Access"/>
    <x v="343"/>
    <x v="1"/>
    <x v="5"/>
    <d v="1900-01-18T00:00:00"/>
    <n v="34"/>
    <x v="6"/>
    <x v="5"/>
  </r>
  <r>
    <x v="1268"/>
    <n v="-9.65"/>
    <x v="2692"/>
    <n v="3080.11"/>
    <s v="Complete Access"/>
    <x v="630"/>
    <x v="1"/>
    <x v="5"/>
    <d v="1900-01-18T00:00:00"/>
    <n v="34"/>
    <x v="6"/>
    <x v="5"/>
  </r>
  <r>
    <x v="1268"/>
    <n v="-27.02"/>
    <x v="2693"/>
    <n v="3053.09"/>
    <s v="Complete Access"/>
    <x v="1"/>
    <x v="1"/>
    <x v="1"/>
    <d v="1900-01-18T00:00:00"/>
    <n v="34"/>
    <x v="6"/>
    <x v="5"/>
  </r>
  <r>
    <x v="1269"/>
    <n v="-27"/>
    <x v="2694"/>
    <n v="3221.8"/>
    <s v="Complete Access"/>
    <x v="343"/>
    <x v="1"/>
    <x v="5"/>
    <d v="1900-01-17T00:00:00"/>
    <n v="34"/>
    <x v="6"/>
    <x v="5"/>
  </r>
  <r>
    <x v="1269"/>
    <n v="-19.2"/>
    <x v="2695"/>
    <n v="3192.95"/>
    <s v="Complete Access"/>
    <x v="630"/>
    <x v="1"/>
    <x v="5"/>
    <d v="1900-01-17T00:00:00"/>
    <n v="34"/>
    <x v="6"/>
    <x v="5"/>
  </r>
  <r>
    <x v="1269"/>
    <n v="-9.65"/>
    <x v="2695"/>
    <n v="3212.15"/>
    <s v="Complete Access"/>
    <x v="630"/>
    <x v="1"/>
    <x v="5"/>
    <d v="1900-01-17T00:00:00"/>
    <n v="34"/>
    <x v="6"/>
    <x v="5"/>
  </r>
  <r>
    <x v="1270"/>
    <n v="-58"/>
    <x v="2639"/>
    <n v="3248.8"/>
    <s v="Complete Access"/>
    <x v="4"/>
    <x v="1"/>
    <x v="1"/>
    <d v="1900-01-16T00:00:00"/>
    <n v="34"/>
    <x v="6"/>
    <x v="5"/>
  </r>
  <r>
    <x v="1271"/>
    <n v="-4.07"/>
    <x v="2696"/>
    <n v="3473.11"/>
    <s v="Complete Access"/>
    <x v="631"/>
    <x v="8"/>
    <x v="29"/>
    <d v="1900-01-14T00:00:00"/>
    <n v="33"/>
    <x v="6"/>
    <x v="5"/>
  </r>
  <r>
    <x v="1271"/>
    <n v="-15"/>
    <x v="2697"/>
    <n v="3477.18"/>
    <s v="Complete Access"/>
    <x v="632"/>
    <x v="1"/>
    <x v="5"/>
    <d v="1900-01-14T00:00:00"/>
    <n v="33"/>
    <x v="6"/>
    <x v="5"/>
  </r>
  <r>
    <x v="1271"/>
    <n v="-24.14"/>
    <x v="2698"/>
    <n v="3420.3"/>
    <s v="Complete Access"/>
    <x v="633"/>
    <x v="8"/>
    <x v="29"/>
    <d v="1900-01-14T00:00:00"/>
    <n v="33"/>
    <x v="6"/>
    <x v="5"/>
  </r>
  <r>
    <x v="1271"/>
    <n v="-28.67"/>
    <x v="2698"/>
    <n v="3444.44"/>
    <s v="Complete Access"/>
    <x v="633"/>
    <x v="8"/>
    <x v="29"/>
    <d v="1900-01-14T00:00:00"/>
    <n v="33"/>
    <x v="6"/>
    <x v="5"/>
  </r>
  <r>
    <x v="1271"/>
    <n v="20"/>
    <x v="2699"/>
    <n v="3306.8"/>
    <s v="Complete Access"/>
    <x v="634"/>
    <x v="1"/>
    <x v="5"/>
    <d v="1900-01-14T00:00:00"/>
    <n v="33"/>
    <x v="6"/>
    <x v="5"/>
  </r>
  <r>
    <x v="1271"/>
    <n v="-100"/>
    <x v="2274"/>
    <n v="3320.3"/>
    <s v="Complete Access"/>
    <x v="552"/>
    <x v="0"/>
    <x v="74"/>
    <d v="1900-01-14T00:00:00"/>
    <n v="33"/>
    <x v="6"/>
    <x v="5"/>
  </r>
  <r>
    <x v="1271"/>
    <n v="-33.5"/>
    <x v="2700"/>
    <n v="3286.8"/>
    <s v="Complete Access"/>
    <x v="243"/>
    <x v="1"/>
    <x v="23"/>
    <d v="1900-01-14T00:00:00"/>
    <n v="33"/>
    <x v="6"/>
    <x v="5"/>
  </r>
  <r>
    <x v="1272"/>
    <n v="-7.8"/>
    <x v="2701"/>
    <n v="3376"/>
    <s v="Complete Access"/>
    <x v="47"/>
    <x v="1"/>
    <x v="5"/>
    <d v="1900-01-13T00:00:00"/>
    <n v="33"/>
    <x v="6"/>
    <x v="5"/>
  </r>
  <r>
    <x v="1272"/>
    <n v="112.56"/>
    <x v="2282"/>
    <n v="3488.56"/>
    <s v="Complete Access"/>
    <x v="567"/>
    <x v="0"/>
    <x v="69"/>
    <d v="1900-01-13T00:00:00"/>
    <n v="33"/>
    <x v="6"/>
    <x v="5"/>
  </r>
  <r>
    <x v="1272"/>
    <n v="3.62"/>
    <x v="2702"/>
    <n v="3492.18"/>
    <s v="Complete Access"/>
    <x v="6"/>
    <x v="4"/>
    <x v="4"/>
    <d v="1900-01-13T00:00:00"/>
    <n v="33"/>
    <x v="6"/>
    <x v="5"/>
  </r>
  <r>
    <x v="1272"/>
    <n v="-23.99"/>
    <x v="2703"/>
    <n v="3387.4"/>
    <s v="Complete Access"/>
    <x v="635"/>
    <x v="1"/>
    <x v="23"/>
    <d v="1900-01-13T00:00:00"/>
    <n v="33"/>
    <x v="6"/>
    <x v="5"/>
  </r>
  <r>
    <x v="1272"/>
    <n v="-3.6"/>
    <x v="2704"/>
    <n v="3383.8"/>
    <s v="Complete Access"/>
    <x v="91"/>
    <x v="9"/>
    <x v="12"/>
    <d v="1900-01-13T00:00:00"/>
    <n v="33"/>
    <x v="6"/>
    <x v="5"/>
  </r>
  <r>
    <x v="1273"/>
    <n v="-19"/>
    <x v="2705"/>
    <n v="3417.39"/>
    <s v="Complete Access"/>
    <x v="636"/>
    <x v="8"/>
    <x v="29"/>
    <d v="1900-01-12T00:00:00"/>
    <n v="33"/>
    <x v="6"/>
    <x v="5"/>
  </r>
  <r>
    <x v="1273"/>
    <n v="-6"/>
    <x v="2706"/>
    <n v="3411.39"/>
    <s v="Complete Access"/>
    <x v="637"/>
    <x v="1"/>
    <x v="5"/>
    <d v="1900-01-12T00:00:00"/>
    <n v="33"/>
    <x v="6"/>
    <x v="5"/>
  </r>
  <r>
    <x v="1274"/>
    <n v="-17.5"/>
    <x v="2707"/>
    <n v="3709.11"/>
    <s v="Complete Access"/>
    <x v="593"/>
    <x v="1"/>
    <x v="5"/>
    <d v="1900-01-11T00:00:00"/>
    <n v="33"/>
    <x v="6"/>
    <x v="5"/>
  </r>
  <r>
    <x v="1274"/>
    <n v="-11.45"/>
    <x v="2708"/>
    <n v="3506.39"/>
    <s v="Complete Access"/>
    <x v="638"/>
    <x v="1"/>
    <x v="5"/>
    <d v="1900-01-11T00:00:00"/>
    <n v="33"/>
    <x v="6"/>
    <x v="5"/>
  </r>
  <r>
    <x v="1274"/>
    <n v="-70"/>
    <x v="2675"/>
    <n v="3436.39"/>
    <s v="Complete Access"/>
    <x v="0"/>
    <x v="0"/>
    <x v="0"/>
    <d v="1900-01-11T00:00:00"/>
    <n v="33"/>
    <x v="6"/>
    <x v="5"/>
  </r>
  <r>
    <x v="1274"/>
    <n v="-191.27"/>
    <x v="2709"/>
    <n v="3517.84"/>
    <s v="Complete Access"/>
    <x v="639"/>
    <x v="4"/>
    <x v="20"/>
    <d v="1900-01-11T00:00:00"/>
    <n v="33"/>
    <x v="6"/>
    <x v="5"/>
  </r>
  <r>
    <x v="1275"/>
    <n v="-47.75"/>
    <x v="2710"/>
    <n v="3726.61"/>
    <s v="Complete Access"/>
    <x v="61"/>
    <x v="1"/>
    <x v="1"/>
    <d v="1900-01-10T00:00:00"/>
    <n v="33"/>
    <x v="6"/>
    <x v="5"/>
  </r>
  <r>
    <x v="1275"/>
    <n v="-25.2"/>
    <x v="2711"/>
    <n v="3783.86"/>
    <s v="Complete Access"/>
    <x v="104"/>
    <x v="1"/>
    <x v="5"/>
    <d v="1900-01-10T00:00:00"/>
    <n v="33"/>
    <x v="6"/>
    <x v="5"/>
  </r>
  <r>
    <x v="1275"/>
    <n v="-9.5"/>
    <x v="2675"/>
    <n v="3774.36"/>
    <s v="Complete Access"/>
    <x v="0"/>
    <x v="0"/>
    <x v="0"/>
    <d v="1900-01-10T00:00:00"/>
    <n v="33"/>
    <x v="6"/>
    <x v="5"/>
  </r>
  <r>
    <x v="1275"/>
    <n v="-12.96"/>
    <x v="2712"/>
    <n v="3809.06"/>
    <s v="Complete Access"/>
    <x v="1"/>
    <x v="1"/>
    <x v="1"/>
    <d v="1900-01-10T00:00:00"/>
    <n v="33"/>
    <x v="6"/>
    <x v="5"/>
  </r>
  <r>
    <x v="1276"/>
    <n v="-8.5"/>
    <x v="2713"/>
    <n v="3910.07"/>
    <s v="Complete Access"/>
    <x v="640"/>
    <x v="8"/>
    <x v="22"/>
    <d v="1900-01-09T00:00:00"/>
    <n v="33"/>
    <x v="6"/>
    <x v="5"/>
  </r>
  <r>
    <x v="1276"/>
    <n v="-16.8"/>
    <x v="2713"/>
    <n v="3918.57"/>
    <s v="Complete Access"/>
    <x v="640"/>
    <x v="8"/>
    <x v="22"/>
    <d v="1900-01-09T00:00:00"/>
    <n v="33"/>
    <x v="6"/>
    <x v="5"/>
  </r>
  <r>
    <x v="1276"/>
    <n v="-28.55"/>
    <x v="2714"/>
    <n v="3881.52"/>
    <s v="Complete Access"/>
    <x v="641"/>
    <x v="1"/>
    <x v="5"/>
    <d v="1900-01-09T00:00:00"/>
    <n v="33"/>
    <x v="6"/>
    <x v="5"/>
  </r>
  <r>
    <x v="1276"/>
    <n v="-59.5"/>
    <x v="2543"/>
    <n v="3822.02"/>
    <s v="Complete Access"/>
    <x v="17"/>
    <x v="7"/>
    <x v="11"/>
    <d v="1900-01-09T00:00:00"/>
    <n v="33"/>
    <x v="6"/>
    <x v="5"/>
  </r>
  <r>
    <x v="1277"/>
    <n v="-24.2"/>
    <x v="2715"/>
    <n v="3935.37"/>
    <s v="Complete Access"/>
    <x v="642"/>
    <x v="8"/>
    <x v="29"/>
    <d v="1900-01-08T00:00:00"/>
    <n v="33"/>
    <x v="6"/>
    <x v="5"/>
  </r>
  <r>
    <x v="1277"/>
    <n v="-6.3"/>
    <x v="2715"/>
    <n v="3959.57"/>
    <s v="Complete Access"/>
    <x v="642"/>
    <x v="8"/>
    <x v="29"/>
    <d v="1900-01-08T00:00:00"/>
    <n v="33"/>
    <x v="6"/>
    <x v="5"/>
  </r>
  <r>
    <x v="1277"/>
    <n v="-3"/>
    <x v="2716"/>
    <n v="3965.87"/>
    <s v="Complete Access"/>
    <x v="47"/>
    <x v="1"/>
    <x v="5"/>
    <d v="1900-01-08T00:00:00"/>
    <n v="33"/>
    <x v="6"/>
    <x v="5"/>
  </r>
  <r>
    <x v="1278"/>
    <n v="-100"/>
    <x v="2274"/>
    <n v="3991.8"/>
    <s v="Complete Access"/>
    <x v="552"/>
    <x v="0"/>
    <x v="74"/>
    <d v="1900-01-07T00:00:00"/>
    <n v="32"/>
    <x v="6"/>
    <x v="5"/>
  </r>
  <r>
    <x v="1278"/>
    <n v="-22.93"/>
    <x v="2639"/>
    <n v="3968.87"/>
    <s v="Complete Access"/>
    <x v="4"/>
    <x v="1"/>
    <x v="1"/>
    <d v="1900-01-07T00:00:00"/>
    <n v="32"/>
    <x v="6"/>
    <x v="5"/>
  </r>
  <r>
    <x v="1279"/>
    <n v="-185"/>
    <x v="2717"/>
    <n v="4091.8"/>
    <s v="Complete Access"/>
    <x v="643"/>
    <x v="4"/>
    <x v="20"/>
    <d v="1900-01-06T00:00:00"/>
    <n v="32"/>
    <x v="6"/>
    <x v="5"/>
  </r>
  <r>
    <x v="1279"/>
    <n v="-14.95"/>
    <x v="2718"/>
    <n v="4276.8"/>
    <s v="Complete Access"/>
    <x v="47"/>
    <x v="1"/>
    <x v="5"/>
    <d v="1900-01-06T00:00:00"/>
    <n v="32"/>
    <x v="6"/>
    <x v="5"/>
  </r>
  <r>
    <x v="1279"/>
    <n v="-70"/>
    <x v="2719"/>
    <n v="4291.75"/>
    <s v="Complete Access"/>
    <x v="30"/>
    <x v="4"/>
    <x v="20"/>
    <d v="1900-01-06T00:00:00"/>
    <n v="32"/>
    <x v="6"/>
    <x v="5"/>
  </r>
  <r>
    <x v="1280"/>
    <n v="-337.7"/>
    <x v="2720"/>
    <n v="4871.74"/>
    <s v="Complete Access"/>
    <x v="438"/>
    <x v="12"/>
    <x v="21"/>
    <d v="1900-01-05T00:00:00"/>
    <n v="32"/>
    <x v="6"/>
    <x v="5"/>
  </r>
  <r>
    <x v="1280"/>
    <n v="2053.4899999999998"/>
    <x v="2721"/>
    <n v="5209.4399999999996"/>
    <s v="Complete Access"/>
    <x v="14"/>
    <x v="6"/>
    <x v="9"/>
    <d v="1900-01-05T00:00:00"/>
    <n v="32"/>
    <x v="6"/>
    <x v="5"/>
  </r>
  <r>
    <x v="1280"/>
    <n v="-500"/>
    <x v="2294"/>
    <n v="4361.75"/>
    <s v="Complete Access"/>
    <x v="571"/>
    <x v="19"/>
    <x v="61"/>
    <d v="1900-01-05T00:00:00"/>
    <n v="32"/>
    <x v="6"/>
    <x v="5"/>
  </r>
  <r>
    <x v="1280"/>
    <n v="-9.99"/>
    <x v="2722"/>
    <n v="4861.75"/>
    <s v="Complete Access"/>
    <x v="373"/>
    <x v="8"/>
    <x v="7"/>
    <d v="1900-01-05T00:00:00"/>
    <n v="32"/>
    <x v="6"/>
    <x v="5"/>
  </r>
  <r>
    <x v="1281"/>
    <n v="-28.53"/>
    <x v="2723"/>
    <n v="3324.95"/>
    <s v="Complete Access"/>
    <x v="8"/>
    <x v="1"/>
    <x v="5"/>
    <d v="1900-01-04T00:00:00"/>
    <n v="32"/>
    <x v="6"/>
    <x v="5"/>
  </r>
  <r>
    <x v="1281"/>
    <n v="-169"/>
    <x v="2724"/>
    <n v="3155.95"/>
    <s v="Complete Access"/>
    <x v="50"/>
    <x v="4"/>
    <x v="25"/>
    <d v="1900-01-04T00:00:00"/>
    <n v="32"/>
    <x v="6"/>
    <x v="5"/>
  </r>
  <r>
    <x v="1282"/>
    <n v="-23.55"/>
    <x v="2643"/>
    <n v="3525.78"/>
    <s v="Complete Access"/>
    <x v="215"/>
    <x v="1"/>
    <x v="1"/>
    <d v="1900-01-02T00:00:00"/>
    <n v="32"/>
    <x v="6"/>
    <x v="5"/>
  </r>
  <r>
    <x v="1282"/>
    <n v="-172.3"/>
    <x v="2725"/>
    <n v="3353.48"/>
    <s v="Complete Access"/>
    <x v="76"/>
    <x v="2"/>
    <x v="2"/>
    <d v="1900-01-02T00:00:00"/>
    <n v="32"/>
    <x v="6"/>
    <x v="5"/>
  </r>
  <r>
    <x v="1283"/>
    <n v="-20"/>
    <x v="2726"/>
    <n v="3659.33"/>
    <s v="Complete Access"/>
    <x v="27"/>
    <x v="1"/>
    <x v="5"/>
    <d v="1899-12-31T00:00:00"/>
    <n v="31"/>
    <x v="6"/>
    <x v="5"/>
  </r>
  <r>
    <x v="1283"/>
    <n v="-20"/>
    <x v="2229"/>
    <n v="3698.33"/>
    <s v="Complete Access"/>
    <x v="557"/>
    <x v="7"/>
    <x v="53"/>
    <d v="1899-12-31T00:00:00"/>
    <n v="31"/>
    <x v="6"/>
    <x v="5"/>
  </r>
  <r>
    <x v="1283"/>
    <n v="-100"/>
    <x v="2274"/>
    <n v="3718.33"/>
    <s v="Complete Access"/>
    <x v="552"/>
    <x v="0"/>
    <x v="74"/>
    <d v="1899-12-31T00:00:00"/>
    <n v="31"/>
    <x v="6"/>
    <x v="5"/>
  </r>
  <r>
    <x v="1283"/>
    <n v="-110"/>
    <x v="2668"/>
    <n v="3549.33"/>
    <s v="Complete Access"/>
    <x v="0"/>
    <x v="0"/>
    <x v="0"/>
    <d v="1899-12-31T00:00:00"/>
    <n v="31"/>
    <x v="6"/>
    <x v="5"/>
  </r>
  <r>
    <x v="1283"/>
    <n v="-19"/>
    <x v="2700"/>
    <n v="3679.33"/>
    <s v="Complete Access"/>
    <x v="243"/>
    <x v="1"/>
    <x v="23"/>
    <d v="1899-12-31T00:00:00"/>
    <n v="31"/>
    <x v="6"/>
    <x v="5"/>
  </r>
  <r>
    <x v="1284"/>
    <n v="-70"/>
    <x v="2727"/>
    <n v="3840.13"/>
    <s v="Complete Access"/>
    <x v="215"/>
    <x v="1"/>
    <x v="1"/>
    <d v="1900-01-30T00:00:00"/>
    <n v="31"/>
    <x v="7"/>
    <x v="5"/>
  </r>
  <r>
    <x v="1284"/>
    <n v="-2.8"/>
    <x v="72"/>
    <n v="3837.33"/>
    <s v="Complete Access"/>
    <x v="37"/>
    <x v="0"/>
    <x v="0"/>
    <d v="1900-01-30T00:00:00"/>
    <n v="31"/>
    <x v="7"/>
    <x v="5"/>
  </r>
  <r>
    <x v="1284"/>
    <n v="-19"/>
    <x v="2700"/>
    <n v="3818.33"/>
    <s v="Complete Access"/>
    <x v="243"/>
    <x v="1"/>
    <x v="23"/>
    <d v="1900-01-30T00:00:00"/>
    <n v="31"/>
    <x v="7"/>
    <x v="5"/>
  </r>
  <r>
    <x v="1285"/>
    <n v="-45.89"/>
    <x v="2728"/>
    <n v="3930.88"/>
    <s v="Complete Access"/>
    <x v="237"/>
    <x v="15"/>
    <x v="34"/>
    <d v="1900-01-29T00:00:00"/>
    <n v="31"/>
    <x v="7"/>
    <x v="5"/>
  </r>
  <r>
    <x v="1285"/>
    <n v="-40.11"/>
    <x v="2729"/>
    <n v="3976.77"/>
    <s v="Complete Access"/>
    <x v="237"/>
    <x v="15"/>
    <x v="34"/>
    <d v="1900-01-29T00:00:00"/>
    <n v="31"/>
    <x v="7"/>
    <x v="5"/>
  </r>
  <r>
    <x v="1285"/>
    <n v="-20.75"/>
    <x v="2730"/>
    <n v="3910.13"/>
    <s v="Complete Access"/>
    <x v="1"/>
    <x v="1"/>
    <x v="1"/>
    <d v="1900-01-29T00:00:00"/>
    <n v="31"/>
    <x v="7"/>
    <x v="5"/>
  </r>
  <r>
    <x v="1285"/>
    <n v="-21.5"/>
    <x v="2731"/>
    <n v="4016.88"/>
    <s v="Complete Access"/>
    <x v="644"/>
    <x v="1"/>
    <x v="23"/>
    <d v="1900-01-29T00:00:00"/>
    <n v="31"/>
    <x v="7"/>
    <x v="5"/>
  </r>
  <r>
    <x v="1286"/>
    <n v="-7.5"/>
    <x v="2675"/>
    <n v="4038.38"/>
    <s v="Complete Access"/>
    <x v="0"/>
    <x v="0"/>
    <x v="0"/>
    <d v="1900-01-28T00:00:00"/>
    <n v="31"/>
    <x v="7"/>
    <x v="5"/>
  </r>
  <r>
    <x v="1287"/>
    <n v="-30"/>
    <x v="2732"/>
    <n v="4369.26"/>
    <s v="Complete Access"/>
    <x v="0"/>
    <x v="0"/>
    <x v="0"/>
    <d v="1900-01-27T00:00:00"/>
    <n v="31"/>
    <x v="7"/>
    <x v="5"/>
  </r>
  <r>
    <x v="1287"/>
    <n v="-250"/>
    <x v="2628"/>
    <n v="4119.26"/>
    <s v="Complete Access"/>
    <x v="0"/>
    <x v="0"/>
    <x v="0"/>
    <d v="1900-01-27T00:00:00"/>
    <n v="31"/>
    <x v="7"/>
    <x v="5"/>
  </r>
  <r>
    <x v="1287"/>
    <n v="-73.38"/>
    <x v="2639"/>
    <n v="4045.88"/>
    <s v="Complete Access"/>
    <x v="4"/>
    <x v="1"/>
    <x v="1"/>
    <d v="1900-01-27T00:00:00"/>
    <n v="31"/>
    <x v="7"/>
    <x v="5"/>
  </r>
  <r>
    <x v="1288"/>
    <n v="-100"/>
    <x v="2274"/>
    <n v="4429.26"/>
    <s v="Complete Access"/>
    <x v="552"/>
    <x v="0"/>
    <x v="74"/>
    <d v="1900-01-24T00:00:00"/>
    <n v="30"/>
    <x v="7"/>
    <x v="5"/>
  </r>
  <r>
    <x v="1288"/>
    <n v="-30"/>
    <x v="2733"/>
    <n v="4399.26"/>
    <s v="Complete Access"/>
    <x v="504"/>
    <x v="0"/>
    <x v="72"/>
    <d v="1900-01-24T00:00:00"/>
    <n v="30"/>
    <x v="7"/>
    <x v="5"/>
  </r>
  <r>
    <x v="1289"/>
    <n v="2053.4899999999998"/>
    <x v="2734"/>
    <n v="5029.26"/>
    <s v="Complete Access"/>
    <x v="14"/>
    <x v="6"/>
    <x v="9"/>
    <d v="1900-01-22T00:00:00"/>
    <n v="30"/>
    <x v="7"/>
    <x v="5"/>
  </r>
  <r>
    <x v="1289"/>
    <n v="-500"/>
    <x v="2294"/>
    <n v="4529.26"/>
    <s v="Complete Access"/>
    <x v="571"/>
    <x v="19"/>
    <x v="61"/>
    <d v="1900-01-22T00:00:00"/>
    <n v="30"/>
    <x v="7"/>
    <x v="5"/>
  </r>
  <r>
    <x v="1290"/>
    <n v="-26.9"/>
    <x v="2735"/>
    <n v="3160.41"/>
    <s v="Complete Access"/>
    <x v="343"/>
    <x v="1"/>
    <x v="5"/>
    <d v="1900-01-21T00:00:00"/>
    <n v="30"/>
    <x v="7"/>
    <x v="5"/>
  </r>
  <r>
    <x v="1290"/>
    <n v="-143"/>
    <x v="2736"/>
    <n v="2975.77"/>
    <s v="Complete Access"/>
    <x v="0"/>
    <x v="0"/>
    <x v="0"/>
    <d v="1900-01-21T00:00:00"/>
    <n v="30"/>
    <x v="7"/>
    <x v="5"/>
  </r>
  <r>
    <x v="1290"/>
    <n v="-23.99"/>
    <x v="2737"/>
    <n v="3187.31"/>
    <s v="Complete Access"/>
    <x v="104"/>
    <x v="1"/>
    <x v="5"/>
    <d v="1900-01-21T00:00:00"/>
    <n v="30"/>
    <x v="7"/>
    <x v="5"/>
  </r>
  <r>
    <x v="1290"/>
    <n v="-41.64"/>
    <x v="2738"/>
    <n v="3118.77"/>
    <s v="Complete Access"/>
    <x v="1"/>
    <x v="1"/>
    <x v="1"/>
    <d v="1900-01-21T00:00:00"/>
    <n v="30"/>
    <x v="7"/>
    <x v="5"/>
  </r>
  <r>
    <x v="1291"/>
    <n v="20"/>
    <x v="2739"/>
    <n v="3211.3"/>
    <s v="Complete Access"/>
    <x v="645"/>
    <x v="0"/>
    <x v="69"/>
    <d v="1900-01-20T00:00:00"/>
    <n v="30"/>
    <x v="7"/>
    <x v="5"/>
  </r>
  <r>
    <x v="1291"/>
    <n v="-4.9000000000000004"/>
    <x v="2740"/>
    <n v="3191.3"/>
    <s v="Complete Access"/>
    <x v="646"/>
    <x v="1"/>
    <x v="1"/>
    <d v="1900-01-20T00:00:00"/>
    <n v="30"/>
    <x v="7"/>
    <x v="5"/>
  </r>
  <r>
    <x v="1292"/>
    <n v="-52.7"/>
    <x v="2639"/>
    <n v="3196.2"/>
    <s v="Complete Access"/>
    <x v="4"/>
    <x v="1"/>
    <x v="1"/>
    <d v="1900-01-19T00:00:00"/>
    <n v="30"/>
    <x v="7"/>
    <x v="5"/>
  </r>
  <r>
    <x v="1293"/>
    <n v="-20"/>
    <x v="2741"/>
    <n v="3248.9"/>
    <s v="Complete Access"/>
    <x v="645"/>
    <x v="0"/>
    <x v="69"/>
    <d v="1900-01-17T00:00:00"/>
    <n v="29"/>
    <x v="7"/>
    <x v="5"/>
  </r>
  <r>
    <x v="1293"/>
    <n v="-100"/>
    <x v="2274"/>
    <n v="3268.9"/>
    <s v="Complete Access"/>
    <x v="552"/>
    <x v="0"/>
    <x v="74"/>
    <d v="1900-01-17T00:00:00"/>
    <n v="29"/>
    <x v="7"/>
    <x v="5"/>
  </r>
  <r>
    <x v="1294"/>
    <n v="-13.4"/>
    <x v="2742"/>
    <n v="3368.9"/>
    <s v="Complete Access"/>
    <x v="267"/>
    <x v="1"/>
    <x v="1"/>
    <d v="1900-01-15T00:00:00"/>
    <n v="29"/>
    <x v="7"/>
    <x v="5"/>
  </r>
  <r>
    <x v="1294"/>
    <n v="-39.9"/>
    <x v="2743"/>
    <n v="3382.3"/>
    <s v="Complete Access"/>
    <x v="237"/>
    <x v="15"/>
    <x v="34"/>
    <d v="1900-01-15T00:00:00"/>
    <n v="29"/>
    <x v="7"/>
    <x v="5"/>
  </r>
  <r>
    <x v="1294"/>
    <n v="-15.75"/>
    <x v="2743"/>
    <n v="3422.2"/>
    <s v="Complete Access"/>
    <x v="237"/>
    <x v="15"/>
    <x v="34"/>
    <d v="1900-01-15T00:00:00"/>
    <n v="29"/>
    <x v="7"/>
    <x v="5"/>
  </r>
  <r>
    <x v="1295"/>
    <n v="-24"/>
    <x v="2744"/>
    <n v="3437.95"/>
    <s v="Complete Access"/>
    <x v="27"/>
    <x v="1"/>
    <x v="5"/>
    <d v="1900-01-14T00:00:00"/>
    <n v="29"/>
    <x v="7"/>
    <x v="5"/>
  </r>
  <r>
    <x v="1296"/>
    <n v="-211.12"/>
    <x v="2745"/>
    <n v="3461.95"/>
    <s v="Complete Access"/>
    <x v="647"/>
    <x v="1"/>
    <x v="5"/>
    <d v="1900-01-13T00:00:00"/>
    <n v="29"/>
    <x v="7"/>
    <x v="5"/>
  </r>
  <r>
    <x v="1296"/>
    <n v="-17.989999999999998"/>
    <x v="2746"/>
    <n v="3673.07"/>
    <s v="Complete Access"/>
    <x v="104"/>
    <x v="1"/>
    <x v="5"/>
    <d v="1900-01-13T00:00:00"/>
    <n v="29"/>
    <x v="7"/>
    <x v="5"/>
  </r>
  <r>
    <x v="1297"/>
    <n v="60"/>
    <x v="2747"/>
    <n v="3691.06"/>
    <s v="Complete Access"/>
    <x v="648"/>
    <x v="1"/>
    <x v="5"/>
    <d v="1900-01-12T00:00:00"/>
    <n v="29"/>
    <x v="7"/>
    <x v="5"/>
  </r>
  <r>
    <x v="1298"/>
    <n v="54"/>
    <x v="2748"/>
    <n v="3631.06"/>
    <s v="Complete Access"/>
    <x v="634"/>
    <x v="1"/>
    <x v="5"/>
    <d v="1900-01-10T00:00:00"/>
    <n v="28"/>
    <x v="7"/>
    <x v="5"/>
  </r>
  <r>
    <x v="1298"/>
    <n v="-100"/>
    <x v="2274"/>
    <n v="3577.06"/>
    <s v="Complete Access"/>
    <x v="552"/>
    <x v="0"/>
    <x v="74"/>
    <d v="1900-01-10T00:00:00"/>
    <n v="28"/>
    <x v="7"/>
    <x v="5"/>
  </r>
  <r>
    <x v="1299"/>
    <n v="-20"/>
    <x v="2749"/>
    <n v="3724.32"/>
    <s v="Complete Access"/>
    <x v="50"/>
    <x v="4"/>
    <x v="25"/>
    <d v="1900-01-09T00:00:00"/>
    <n v="28"/>
    <x v="7"/>
    <x v="5"/>
  </r>
  <r>
    <x v="1299"/>
    <n v="-47.26"/>
    <x v="2543"/>
    <n v="3677.06"/>
    <s v="Complete Access"/>
    <x v="17"/>
    <x v="7"/>
    <x v="11"/>
    <d v="1900-01-09T00:00:00"/>
    <n v="28"/>
    <x v="7"/>
    <x v="5"/>
  </r>
  <r>
    <x v="1300"/>
    <n v="-160.46"/>
    <x v="2750"/>
    <n v="4283.91"/>
    <s v="Complete Access"/>
    <x v="438"/>
    <x v="12"/>
    <x v="21"/>
    <d v="1900-01-08T00:00:00"/>
    <n v="28"/>
    <x v="7"/>
    <x v="5"/>
  </r>
  <r>
    <x v="1300"/>
    <n v="2053.4899999999998"/>
    <x v="2751"/>
    <n v="4444.37"/>
    <s v="Complete Access"/>
    <x v="14"/>
    <x v="6"/>
    <x v="9"/>
    <d v="1900-01-08T00:00:00"/>
    <n v="28"/>
    <x v="7"/>
    <x v="5"/>
  </r>
  <r>
    <x v="1300"/>
    <n v="-500"/>
    <x v="2294"/>
    <n v="3744.32"/>
    <s v="Complete Access"/>
    <x v="571"/>
    <x v="19"/>
    <x v="61"/>
    <d v="1900-01-08T00:00:00"/>
    <n v="28"/>
    <x v="7"/>
    <x v="5"/>
  </r>
  <r>
    <x v="1300"/>
    <n v="-8.6300000000000008"/>
    <x v="2752"/>
    <n v="4244.32"/>
    <s v="Complete Access"/>
    <x v="649"/>
    <x v="8"/>
    <x v="29"/>
    <d v="1900-01-08T00:00:00"/>
    <n v="28"/>
    <x v="7"/>
    <x v="5"/>
  </r>
  <r>
    <x v="1300"/>
    <n v="-30.96"/>
    <x v="2752"/>
    <n v="4252.95"/>
    <s v="Complete Access"/>
    <x v="649"/>
    <x v="8"/>
    <x v="29"/>
    <d v="1900-01-08T00:00:00"/>
    <n v="28"/>
    <x v="7"/>
    <x v="5"/>
  </r>
  <r>
    <x v="1301"/>
    <n v="-46.46"/>
    <x v="2753"/>
    <n v="2412.9499999999998"/>
    <s v="Complete Access"/>
    <x v="8"/>
    <x v="1"/>
    <x v="5"/>
    <d v="1900-01-07T00:00:00"/>
    <n v="28"/>
    <x v="7"/>
    <x v="5"/>
  </r>
  <r>
    <x v="1301"/>
    <n v="-22.07"/>
    <x v="2754"/>
    <n v="2390.88"/>
    <s v="Complete Access"/>
    <x v="1"/>
    <x v="1"/>
    <x v="1"/>
    <d v="1900-01-07T00:00:00"/>
    <n v="28"/>
    <x v="7"/>
    <x v="5"/>
  </r>
  <r>
    <x v="1302"/>
    <n v="-9.99"/>
    <x v="2755"/>
    <n v="2496.04"/>
    <s v="Complete Access"/>
    <x v="373"/>
    <x v="8"/>
    <x v="7"/>
    <d v="1900-01-06T00:00:00"/>
    <n v="28"/>
    <x v="7"/>
    <x v="5"/>
  </r>
  <r>
    <x v="1302"/>
    <n v="-36.630000000000003"/>
    <x v="2639"/>
    <n v="2459.41"/>
    <s v="Complete Access"/>
    <x v="4"/>
    <x v="1"/>
    <x v="1"/>
    <d v="1900-01-06T00:00:00"/>
    <n v="28"/>
    <x v="7"/>
    <x v="5"/>
  </r>
  <r>
    <x v="1303"/>
    <n v="53.48"/>
    <x v="2282"/>
    <n v="2484.52"/>
    <s v="Complete Access"/>
    <x v="567"/>
    <x v="0"/>
    <x v="69"/>
    <d v="1900-01-05T00:00:00"/>
    <n v="28"/>
    <x v="7"/>
    <x v="5"/>
  </r>
  <r>
    <x v="1303"/>
    <n v="53.3"/>
    <x v="2556"/>
    <n v="2537.8200000000002"/>
    <s v="Complete Access"/>
    <x v="583"/>
    <x v="0"/>
    <x v="69"/>
    <d v="1900-01-05T00:00:00"/>
    <n v="28"/>
    <x v="7"/>
    <x v="5"/>
  </r>
  <r>
    <x v="1303"/>
    <n v="-31.79"/>
    <x v="2639"/>
    <n v="2506.0300000000002"/>
    <s v="Complete Access"/>
    <x v="4"/>
    <x v="1"/>
    <x v="1"/>
    <d v="1900-01-05T00:00:00"/>
    <n v="28"/>
    <x v="7"/>
    <x v="5"/>
  </r>
  <r>
    <x v="1304"/>
    <n v="-100"/>
    <x v="2274"/>
    <n v="2431.04"/>
    <s v="Complete Access"/>
    <x v="552"/>
    <x v="0"/>
    <x v="74"/>
    <d v="1900-01-03T00:00:00"/>
    <n v="27"/>
    <x v="7"/>
    <x v="5"/>
  </r>
  <r>
    <x v="1305"/>
    <n v="-47.94"/>
    <x v="2756"/>
    <n v="2531.04"/>
    <s v="Complete Access"/>
    <x v="177"/>
    <x v="1"/>
    <x v="1"/>
    <d v="1900-01-01T00:00:00"/>
    <n v="27"/>
    <x v="7"/>
    <x v="5"/>
  </r>
  <r>
    <x v="1305"/>
    <n v="-8.33"/>
    <x v="2757"/>
    <n v="2578.98"/>
    <s v="Complete Access"/>
    <x v="1"/>
    <x v="1"/>
    <x v="1"/>
    <d v="1900-01-01T00:00:00"/>
    <n v="27"/>
    <x v="7"/>
    <x v="5"/>
  </r>
  <r>
    <x v="1306"/>
    <n v="-14.2"/>
    <x v="2758"/>
    <n v="2759.61"/>
    <s v="Complete Access"/>
    <x v="650"/>
    <x v="1"/>
    <x v="5"/>
    <d v="1899-12-31T00:00:00"/>
    <n v="27"/>
    <x v="7"/>
    <x v="5"/>
  </r>
  <r>
    <x v="1306"/>
    <n v="-20"/>
    <x v="2229"/>
    <n v="2773.81"/>
    <s v="Complete Access"/>
    <x v="557"/>
    <x v="7"/>
    <x v="53"/>
    <d v="1899-12-31T00:00:00"/>
    <n v="27"/>
    <x v="7"/>
    <x v="5"/>
  </r>
  <r>
    <x v="1306"/>
    <n v="-172.3"/>
    <x v="2759"/>
    <n v="2587.31"/>
    <s v="Complete Access"/>
    <x v="76"/>
    <x v="2"/>
    <x v="2"/>
    <d v="1899-12-31T00:00:00"/>
    <n v="27"/>
    <x v="7"/>
    <x v="5"/>
  </r>
  <r>
    <x v="1307"/>
    <n v="-27.5"/>
    <x v="2760"/>
    <n v="2862.27"/>
    <s v="Complete Access"/>
    <x v="645"/>
    <x v="0"/>
    <x v="69"/>
    <d v="1900-01-29T00:00:00"/>
    <n v="27"/>
    <x v="8"/>
    <x v="5"/>
  </r>
  <r>
    <x v="1307"/>
    <n v="-68.459999999999994"/>
    <x v="2639"/>
    <n v="2793.81"/>
    <s v="Complete Access"/>
    <x v="4"/>
    <x v="1"/>
    <x v="1"/>
    <d v="1900-01-29T00:00:00"/>
    <n v="27"/>
    <x v="8"/>
    <x v="5"/>
  </r>
  <r>
    <x v="1307"/>
    <n v="-33.19"/>
    <x v="2761"/>
    <n v="2889.77"/>
    <s v="Complete Access"/>
    <x v="34"/>
    <x v="9"/>
    <x v="12"/>
    <d v="1900-01-29T00:00:00"/>
    <n v="27"/>
    <x v="8"/>
    <x v="5"/>
  </r>
  <r>
    <x v="1308"/>
    <n v="-19.55"/>
    <x v="2762"/>
    <n v="2922.96"/>
    <s v="Complete Access"/>
    <x v="616"/>
    <x v="1"/>
    <x v="1"/>
    <d v="1900-01-28T00:00:00"/>
    <n v="27"/>
    <x v="8"/>
    <x v="5"/>
  </r>
  <r>
    <x v="1308"/>
    <n v="56"/>
    <x v="2763"/>
    <n v="2946.5"/>
    <s v="Complete Access"/>
    <x v="0"/>
    <x v="0"/>
    <x v="0"/>
    <d v="1900-01-28T00:00:00"/>
    <n v="27"/>
    <x v="8"/>
    <x v="5"/>
  </r>
  <r>
    <x v="1308"/>
    <n v="56"/>
    <x v="2764"/>
    <n v="2890.5"/>
    <s v="Complete Access"/>
    <x v="651"/>
    <x v="0"/>
    <x v="69"/>
    <d v="1900-01-28T00:00:00"/>
    <n v="27"/>
    <x v="8"/>
    <x v="5"/>
  </r>
  <r>
    <x v="1308"/>
    <n v="-210"/>
    <x v="2760"/>
    <n v="2834.5"/>
    <s v="Complete Access"/>
    <x v="645"/>
    <x v="0"/>
    <x v="69"/>
    <d v="1900-01-28T00:00:00"/>
    <n v="27"/>
    <x v="8"/>
    <x v="5"/>
  </r>
  <r>
    <x v="1308"/>
    <n v="-3.99"/>
    <x v="2643"/>
    <n v="2942.51"/>
    <s v="Complete Access"/>
    <x v="215"/>
    <x v="1"/>
    <x v="1"/>
    <d v="1900-01-28T00:00:00"/>
    <n v="27"/>
    <x v="8"/>
    <x v="5"/>
  </r>
  <r>
    <x v="1309"/>
    <n v="-100"/>
    <x v="2274"/>
    <n v="3078.38"/>
    <s v="Complete Access"/>
    <x v="552"/>
    <x v="0"/>
    <x v="74"/>
    <d v="1900-01-26T00:00:00"/>
    <n v="26"/>
    <x v="8"/>
    <x v="5"/>
  </r>
  <r>
    <x v="1309"/>
    <n v="-6.9"/>
    <x v="2765"/>
    <n v="3071.48"/>
    <s v="Complete Access"/>
    <x v="652"/>
    <x v="8"/>
    <x v="29"/>
    <d v="1900-01-26T00:00:00"/>
    <n v="26"/>
    <x v="8"/>
    <x v="5"/>
  </r>
  <r>
    <x v="1309"/>
    <n v="-26.98"/>
    <x v="2766"/>
    <n v="3044.5"/>
    <s v="Complete Access"/>
    <x v="215"/>
    <x v="1"/>
    <x v="1"/>
    <d v="1900-01-26T00:00:00"/>
    <n v="26"/>
    <x v="8"/>
    <x v="5"/>
  </r>
  <r>
    <x v="1310"/>
    <n v="-45.4"/>
    <x v="2767"/>
    <n v="3178.38"/>
    <s v="Complete Access"/>
    <x v="243"/>
    <x v="1"/>
    <x v="23"/>
    <d v="1900-01-25T00:00:00"/>
    <n v="26"/>
    <x v="8"/>
    <x v="5"/>
  </r>
  <r>
    <x v="1311"/>
    <n v="2053.4899999999998"/>
    <x v="2768"/>
    <n v="5950.4"/>
    <s v="Complete Access"/>
    <x v="14"/>
    <x v="6"/>
    <x v="9"/>
    <d v="1900-01-24T00:00:00"/>
    <n v="26"/>
    <x v="8"/>
    <x v="5"/>
  </r>
  <r>
    <x v="1311"/>
    <n v="-33.229999999999997"/>
    <x v="2769"/>
    <n v="3223.78"/>
    <s v="Complete Access"/>
    <x v="27"/>
    <x v="1"/>
    <x v="5"/>
    <d v="1900-01-24T00:00:00"/>
    <n v="26"/>
    <x v="8"/>
    <x v="5"/>
  </r>
  <r>
    <x v="1311"/>
    <n v="-500"/>
    <x v="2294"/>
    <n v="3359.01"/>
    <s v="Complete Access"/>
    <x v="571"/>
    <x v="19"/>
    <x v="61"/>
    <d v="1900-01-24T00:00:00"/>
    <n v="26"/>
    <x v="8"/>
    <x v="5"/>
  </r>
  <r>
    <x v="1311"/>
    <n v="-2056"/>
    <x v="2770"/>
    <n v="3859.01"/>
    <s v="Complete Access"/>
    <x v="50"/>
    <x v="4"/>
    <x v="25"/>
    <d v="1900-01-24T00:00:00"/>
    <n v="26"/>
    <x v="8"/>
    <x v="5"/>
  </r>
  <r>
    <x v="1311"/>
    <n v="-102"/>
    <x v="2771"/>
    <n v="3257.01"/>
    <s v="Complete Access"/>
    <x v="567"/>
    <x v="0"/>
    <x v="69"/>
    <d v="1900-01-24T00:00:00"/>
    <n v="26"/>
    <x v="8"/>
    <x v="5"/>
  </r>
  <r>
    <x v="1311"/>
    <n v="-35.39"/>
    <x v="2772"/>
    <n v="5915.01"/>
    <s v="Complete Access"/>
    <x v="237"/>
    <x v="15"/>
    <x v="34"/>
    <d v="1900-01-24T00:00:00"/>
    <n v="26"/>
    <x v="8"/>
    <x v="5"/>
  </r>
  <r>
    <x v="1312"/>
    <n v="-10.45"/>
    <x v="2773"/>
    <n v="3896.91"/>
    <s v="Complete Access"/>
    <x v="1"/>
    <x v="1"/>
    <x v="1"/>
    <d v="1900-01-23T00:00:00"/>
    <n v="26"/>
    <x v="8"/>
    <x v="5"/>
  </r>
  <r>
    <x v="1313"/>
    <n v="-5.08"/>
    <x v="2774"/>
    <n v="3907.36"/>
    <s v="Complete Access"/>
    <x v="213"/>
    <x v="1"/>
    <x v="23"/>
    <d v="1900-01-22T00:00:00"/>
    <n v="26"/>
    <x v="8"/>
    <x v="5"/>
  </r>
  <r>
    <x v="1314"/>
    <n v="-37.520000000000003"/>
    <x v="2639"/>
    <n v="3912.44"/>
    <s v="Complete Access"/>
    <x v="4"/>
    <x v="1"/>
    <x v="1"/>
    <d v="1900-01-21T00:00:00"/>
    <n v="26"/>
    <x v="8"/>
    <x v="5"/>
  </r>
  <r>
    <x v="1315"/>
    <n v="-250"/>
    <x v="2775"/>
    <n v="4052.76"/>
    <s v="Complete Access"/>
    <x v="601"/>
    <x v="0"/>
    <x v="0"/>
    <d v="1900-01-19T00:00:00"/>
    <n v="25"/>
    <x v="8"/>
    <x v="5"/>
  </r>
  <r>
    <x v="1315"/>
    <n v="-2.8"/>
    <x v="72"/>
    <n v="4049.96"/>
    <s v="Complete Access"/>
    <x v="37"/>
    <x v="0"/>
    <x v="0"/>
    <d v="1900-01-19T00:00:00"/>
    <n v="25"/>
    <x v="8"/>
    <x v="5"/>
  </r>
  <r>
    <x v="1315"/>
    <n v="-100"/>
    <x v="2776"/>
    <n v="3949.96"/>
    <s v="Complete Access"/>
    <x v="645"/>
    <x v="0"/>
    <x v="69"/>
    <d v="1900-01-19T00:00:00"/>
    <n v="25"/>
    <x v="8"/>
    <x v="5"/>
  </r>
  <r>
    <x v="1315"/>
    <n v="-100"/>
    <x v="2274"/>
    <n v="4350.76"/>
    <s v="Complete Access"/>
    <x v="552"/>
    <x v="0"/>
    <x v="74"/>
    <d v="1900-01-19T00:00:00"/>
    <n v="25"/>
    <x v="8"/>
    <x v="5"/>
  </r>
  <r>
    <x v="1315"/>
    <n v="-48"/>
    <x v="2700"/>
    <n v="4302.76"/>
    <s v="Complete Access"/>
    <x v="243"/>
    <x v="1"/>
    <x v="23"/>
    <d v="1900-01-19T00:00:00"/>
    <n v="25"/>
    <x v="8"/>
    <x v="5"/>
  </r>
  <r>
    <x v="1316"/>
    <n v="-42.19"/>
    <x v="2777"/>
    <n v="4450.76"/>
    <s v="Complete Access"/>
    <x v="1"/>
    <x v="1"/>
    <x v="1"/>
    <d v="1900-01-17T00:00:00"/>
    <n v="25"/>
    <x v="8"/>
    <x v="5"/>
  </r>
  <r>
    <x v="1317"/>
    <n v="-197.83"/>
    <x v="2778"/>
    <n v="4492.95"/>
    <s v="Complete Access"/>
    <x v="645"/>
    <x v="0"/>
    <x v="69"/>
    <d v="1900-01-16T00:00:00"/>
    <n v="25"/>
    <x v="8"/>
    <x v="5"/>
  </r>
  <r>
    <x v="1318"/>
    <n v="-33.99"/>
    <x v="2779"/>
    <n v="4711.55"/>
    <s v="Complete Access"/>
    <x v="104"/>
    <x v="1"/>
    <x v="5"/>
    <d v="1900-01-15T00:00:00"/>
    <n v="25"/>
    <x v="8"/>
    <x v="5"/>
  </r>
  <r>
    <x v="1318"/>
    <n v="-20.77"/>
    <x v="2639"/>
    <n v="4690.78"/>
    <s v="Complete Access"/>
    <x v="4"/>
    <x v="1"/>
    <x v="1"/>
    <d v="1900-01-15T00:00:00"/>
    <n v="25"/>
    <x v="8"/>
    <x v="5"/>
  </r>
  <r>
    <x v="1319"/>
    <n v="-100"/>
    <x v="2274"/>
    <n v="4745.54"/>
    <s v="Complete Access"/>
    <x v="552"/>
    <x v="0"/>
    <x v="74"/>
    <d v="1900-01-12T00:00:00"/>
    <n v="24"/>
    <x v="8"/>
    <x v="5"/>
  </r>
  <r>
    <x v="1320"/>
    <n v="16"/>
    <x v="2780"/>
    <n v="4845.54"/>
    <s v="Complete Access"/>
    <x v="568"/>
    <x v="0"/>
    <x v="69"/>
    <d v="1900-01-11T00:00:00"/>
    <n v="24"/>
    <x v="8"/>
    <x v="5"/>
  </r>
  <r>
    <x v="1320"/>
    <n v="-43"/>
    <x v="2700"/>
    <n v="4829.54"/>
    <s v="Complete Access"/>
    <x v="243"/>
    <x v="1"/>
    <x v="23"/>
    <d v="1900-01-11T00:00:00"/>
    <n v="24"/>
    <x v="8"/>
    <x v="5"/>
  </r>
  <r>
    <x v="1321"/>
    <n v="2053.4899999999998"/>
    <x v="2781"/>
    <n v="5514.77"/>
    <s v="Complete Access"/>
    <x v="14"/>
    <x v="6"/>
    <x v="9"/>
    <d v="1900-01-10T00:00:00"/>
    <n v="24"/>
    <x v="8"/>
    <x v="5"/>
  </r>
  <r>
    <x v="1321"/>
    <n v="-500"/>
    <x v="2294"/>
    <n v="5014.7700000000004"/>
    <s v="Complete Access"/>
    <x v="571"/>
    <x v="19"/>
    <x v="61"/>
    <d v="1900-01-10T00:00:00"/>
    <n v="24"/>
    <x v="8"/>
    <x v="5"/>
  </r>
  <r>
    <x v="1321"/>
    <n v="-73"/>
    <x v="2543"/>
    <n v="4872.54"/>
    <s v="Complete Access"/>
    <x v="17"/>
    <x v="7"/>
    <x v="11"/>
    <d v="1900-01-10T00:00:00"/>
    <n v="24"/>
    <x v="8"/>
    <x v="5"/>
  </r>
  <r>
    <x v="1321"/>
    <n v="-69.23"/>
    <x v="2782"/>
    <n v="4945.54"/>
    <s v="Complete Access"/>
    <x v="1"/>
    <x v="1"/>
    <x v="1"/>
    <d v="1900-01-10T00:00:00"/>
    <n v="24"/>
    <x v="8"/>
    <x v="5"/>
  </r>
  <r>
    <x v="1322"/>
    <n v="-8.6999999999999993"/>
    <x v="2783"/>
    <n v="3461.28"/>
    <s v="Complete Access"/>
    <x v="34"/>
    <x v="9"/>
    <x v="12"/>
    <d v="1900-01-09T00:00:00"/>
    <n v="24"/>
    <x v="8"/>
    <x v="5"/>
  </r>
  <r>
    <x v="1323"/>
    <n v="-9.99"/>
    <x v="2784"/>
    <n v="3469.98"/>
    <s v="Complete Access"/>
    <x v="373"/>
    <x v="8"/>
    <x v="7"/>
    <d v="1900-01-08T00:00:00"/>
    <n v="24"/>
    <x v="8"/>
    <x v="5"/>
  </r>
  <r>
    <x v="1324"/>
    <n v="-100"/>
    <x v="2274"/>
    <n v="3479.97"/>
    <s v="Complete Access"/>
    <x v="552"/>
    <x v="0"/>
    <x v="74"/>
    <d v="1900-01-05T00:00:00"/>
    <n v="23"/>
    <x v="8"/>
    <x v="5"/>
  </r>
  <r>
    <x v="1325"/>
    <n v="-181.02"/>
    <x v="2785"/>
    <n v="3579.97"/>
    <s v="Complete Access"/>
    <x v="438"/>
    <x v="12"/>
    <x v="21"/>
    <d v="1900-01-04T00:00:00"/>
    <n v="23"/>
    <x v="8"/>
    <x v="5"/>
  </r>
  <r>
    <x v="1326"/>
    <n v="-48"/>
    <x v="2786"/>
    <n v="3760.99"/>
    <s v="Complete Access"/>
    <x v="1"/>
    <x v="1"/>
    <x v="1"/>
    <d v="1900-01-03T00:00:00"/>
    <n v="23"/>
    <x v="8"/>
    <x v="5"/>
  </r>
  <r>
    <x v="1327"/>
    <n v="-15"/>
    <x v="2787"/>
    <n v="3808.99"/>
    <s v="Complete Access"/>
    <x v="347"/>
    <x v="3"/>
    <x v="62"/>
    <d v="1900-01-02T00:00:00"/>
    <n v="23"/>
    <x v="8"/>
    <x v="5"/>
  </r>
  <r>
    <x v="1327"/>
    <n v="-16.149999999999999"/>
    <x v="2788"/>
    <n v="3823.99"/>
    <s v="Complete Access"/>
    <x v="34"/>
    <x v="9"/>
    <x v="12"/>
    <d v="1900-01-02T00:00:00"/>
    <n v="23"/>
    <x v="8"/>
    <x v="5"/>
  </r>
  <r>
    <x v="1328"/>
    <n v="90"/>
    <x v="2282"/>
    <n v="3795.14"/>
    <s v="Complete Access"/>
    <x v="567"/>
    <x v="0"/>
    <x v="69"/>
    <d v="1900-01-01T00:00:00"/>
    <n v="23"/>
    <x v="8"/>
    <x v="5"/>
  </r>
  <r>
    <x v="1328"/>
    <n v="45"/>
    <x v="2556"/>
    <n v="3840.14"/>
    <s v="Complete Access"/>
    <x v="583"/>
    <x v="0"/>
    <x v="69"/>
    <d v="1900-01-01T00:00:00"/>
    <n v="23"/>
    <x v="8"/>
    <x v="5"/>
  </r>
  <r>
    <x v="1328"/>
    <n v="-32.090000000000003"/>
    <x v="2789"/>
    <n v="3705.14"/>
    <s v="Complete Access"/>
    <x v="1"/>
    <x v="1"/>
    <x v="1"/>
    <d v="1900-01-01T00:00:00"/>
    <n v="23"/>
    <x v="8"/>
    <x v="5"/>
  </r>
  <r>
    <x v="1329"/>
    <n v="-20"/>
    <x v="2229"/>
    <n v="3909.53"/>
    <s v="Complete Access"/>
    <x v="557"/>
    <x v="7"/>
    <x v="53"/>
    <d v="1899-12-31T00:00:00"/>
    <n v="23"/>
    <x v="8"/>
    <x v="5"/>
  </r>
  <r>
    <x v="1329"/>
    <n v="-172.3"/>
    <x v="2790"/>
    <n v="3737.23"/>
    <s v="Complete Access"/>
    <x v="76"/>
    <x v="2"/>
    <x v="2"/>
    <d v="1899-12-31T00:00:00"/>
    <n v="23"/>
    <x v="8"/>
    <x v="5"/>
  </r>
  <r>
    <x v="1330"/>
    <n v="-100"/>
    <x v="2274"/>
    <n v="3929.53"/>
    <s v="Complete Access"/>
    <x v="552"/>
    <x v="0"/>
    <x v="74"/>
    <d v="1900-01-29T00:00:00"/>
    <n v="22"/>
    <x v="9"/>
    <x v="5"/>
  </r>
  <r>
    <x v="1331"/>
    <n v="2053.4899999999998"/>
    <x v="2791"/>
    <n v="4529.53"/>
    <s v="Complete Access"/>
    <x v="14"/>
    <x v="6"/>
    <x v="9"/>
    <d v="1900-01-27T00:00:00"/>
    <n v="22"/>
    <x v="9"/>
    <x v="5"/>
  </r>
  <r>
    <x v="1331"/>
    <n v="-500"/>
    <x v="2294"/>
    <n v="4029.53"/>
    <s v="Complete Access"/>
    <x v="571"/>
    <x v="19"/>
    <x v="61"/>
    <d v="1900-01-27T00:00:00"/>
    <n v="22"/>
    <x v="9"/>
    <x v="5"/>
  </r>
  <r>
    <x v="1332"/>
    <n v="-17.5"/>
    <x v="2792"/>
    <n v="2550.16"/>
    <s v="Complete Access"/>
    <x v="593"/>
    <x v="1"/>
    <x v="5"/>
    <d v="1900-01-26T00:00:00"/>
    <n v="22"/>
    <x v="9"/>
    <x v="5"/>
  </r>
  <r>
    <x v="1332"/>
    <n v="-74.12"/>
    <x v="2793"/>
    <n v="2476.04"/>
    <s v="Complete Access"/>
    <x v="1"/>
    <x v="1"/>
    <x v="1"/>
    <d v="1900-01-26T00:00:00"/>
    <n v="22"/>
    <x v="9"/>
    <x v="5"/>
  </r>
  <r>
    <x v="1333"/>
    <n v="-322.41000000000003"/>
    <x v="2794"/>
    <n v="2567.66"/>
    <s v="Complete Access"/>
    <x v="95"/>
    <x v="14"/>
    <x v="38"/>
    <d v="1900-01-25T00:00:00"/>
    <n v="22"/>
    <x v="9"/>
    <x v="5"/>
  </r>
  <r>
    <x v="1333"/>
    <n v="-191.76"/>
    <x v="2795"/>
    <n v="2890.07"/>
    <s v="Complete Access"/>
    <x v="295"/>
    <x v="14"/>
    <x v="66"/>
    <d v="1900-01-25T00:00:00"/>
    <n v="22"/>
    <x v="9"/>
    <x v="5"/>
  </r>
  <r>
    <x v="1334"/>
    <n v="-21.66"/>
    <x v="2643"/>
    <n v="3081.83"/>
    <s v="Complete Access"/>
    <x v="215"/>
    <x v="1"/>
    <x v="1"/>
    <d v="1900-01-22T00:00:00"/>
    <n v="21"/>
    <x v="9"/>
    <x v="5"/>
  </r>
  <r>
    <x v="1334"/>
    <n v="-100"/>
    <x v="2274"/>
    <n v="3147.49"/>
    <s v="Complete Access"/>
    <x v="552"/>
    <x v="0"/>
    <x v="74"/>
    <d v="1900-01-22T00:00:00"/>
    <n v="21"/>
    <x v="9"/>
    <x v="5"/>
  </r>
  <r>
    <x v="1334"/>
    <n v="-44"/>
    <x v="2700"/>
    <n v="3103.49"/>
    <s v="Complete Access"/>
    <x v="243"/>
    <x v="1"/>
    <x v="23"/>
    <d v="1900-01-22T00:00:00"/>
    <n v="21"/>
    <x v="9"/>
    <x v="5"/>
  </r>
  <r>
    <x v="1335"/>
    <n v="-13.12"/>
    <x v="2796"/>
    <n v="3347.99"/>
    <s v="Complete Access"/>
    <x v="19"/>
    <x v="3"/>
    <x v="3"/>
    <d v="1900-01-19T00:00:00"/>
    <n v="21"/>
    <x v="9"/>
    <x v="5"/>
  </r>
  <r>
    <x v="1335"/>
    <n v="-21.9"/>
    <x v="2797"/>
    <n v="3302.7"/>
    <s v="Complete Access"/>
    <x v="343"/>
    <x v="1"/>
    <x v="5"/>
    <d v="1900-01-19T00:00:00"/>
    <n v="21"/>
    <x v="9"/>
    <x v="5"/>
  </r>
  <r>
    <x v="1335"/>
    <n v="-23.39"/>
    <x v="2798"/>
    <n v="3324.6"/>
    <s v="Complete Access"/>
    <x v="104"/>
    <x v="1"/>
    <x v="5"/>
    <d v="1900-01-19T00:00:00"/>
    <n v="21"/>
    <x v="9"/>
    <x v="5"/>
  </r>
  <r>
    <x v="1335"/>
    <n v="-55.21"/>
    <x v="2799"/>
    <n v="3247.49"/>
    <s v="Complete Access"/>
    <x v="1"/>
    <x v="1"/>
    <x v="1"/>
    <d v="1900-01-19T00:00:00"/>
    <n v="21"/>
    <x v="9"/>
    <x v="5"/>
  </r>
  <r>
    <x v="1336"/>
    <n v="-46"/>
    <x v="2800"/>
    <n v="3361.11"/>
    <s v="Complete Access"/>
    <x v="104"/>
    <x v="1"/>
    <x v="5"/>
    <d v="1900-01-18T00:00:00"/>
    <n v="21"/>
    <x v="9"/>
    <x v="5"/>
  </r>
  <r>
    <x v="1337"/>
    <n v="-100"/>
    <x v="2274"/>
    <n v="3407.11"/>
    <s v="Complete Access"/>
    <x v="552"/>
    <x v="0"/>
    <x v="74"/>
    <d v="1900-01-15T00:00:00"/>
    <n v="20"/>
    <x v="9"/>
    <x v="5"/>
  </r>
  <r>
    <x v="1338"/>
    <n v="2053.4899999999998"/>
    <x v="2801"/>
    <n v="4007.11"/>
    <s v="Complete Access"/>
    <x v="14"/>
    <x v="6"/>
    <x v="9"/>
    <d v="1900-01-13T00:00:00"/>
    <n v="20"/>
    <x v="9"/>
    <x v="5"/>
  </r>
  <r>
    <x v="1338"/>
    <n v="-500"/>
    <x v="2294"/>
    <n v="3507.11"/>
    <s v="Complete Access"/>
    <x v="571"/>
    <x v="19"/>
    <x v="61"/>
    <d v="1900-01-13T00:00:00"/>
    <n v="20"/>
    <x v="9"/>
    <x v="5"/>
  </r>
  <r>
    <x v="1339"/>
    <n v="-40"/>
    <x v="2802"/>
    <n v="1990.64"/>
    <s v="Complete Access"/>
    <x v="343"/>
    <x v="1"/>
    <x v="5"/>
    <d v="1900-01-12T00:00:00"/>
    <n v="20"/>
    <x v="9"/>
    <x v="5"/>
  </r>
  <r>
    <x v="1339"/>
    <n v="-37.020000000000003"/>
    <x v="2803"/>
    <n v="1953.62"/>
    <s v="Complete Access"/>
    <x v="1"/>
    <x v="1"/>
    <x v="1"/>
    <d v="1900-01-12T00:00:00"/>
    <n v="20"/>
    <x v="9"/>
    <x v="5"/>
  </r>
  <r>
    <x v="1340"/>
    <n v="-73"/>
    <x v="2543"/>
    <n v="2030.64"/>
    <s v="Complete Access"/>
    <x v="17"/>
    <x v="7"/>
    <x v="11"/>
    <d v="1900-01-10T00:00:00"/>
    <n v="20"/>
    <x v="9"/>
    <x v="5"/>
  </r>
  <r>
    <x v="1341"/>
    <n v="-85"/>
    <x v="2643"/>
    <n v="2115.36"/>
    <s v="Complete Access"/>
    <x v="215"/>
    <x v="1"/>
    <x v="1"/>
    <d v="1900-01-09T00:00:00"/>
    <n v="20"/>
    <x v="9"/>
    <x v="5"/>
  </r>
  <r>
    <x v="1341"/>
    <n v="-11.72"/>
    <x v="2688"/>
    <n v="2103.64"/>
    <s v="Complete Access"/>
    <x v="177"/>
    <x v="1"/>
    <x v="1"/>
    <d v="1900-01-09T00:00:00"/>
    <n v="20"/>
    <x v="9"/>
    <x v="5"/>
  </r>
  <r>
    <x v="1342"/>
    <n v="-100"/>
    <x v="2274"/>
    <n v="2200.36"/>
    <s v="Complete Access"/>
    <x v="552"/>
    <x v="0"/>
    <x v="74"/>
    <d v="1900-01-08T00:00:00"/>
    <n v="19"/>
    <x v="9"/>
    <x v="5"/>
  </r>
  <r>
    <x v="1343"/>
    <n v="-199.41"/>
    <x v="2804"/>
    <n v="2233.96"/>
    <s v="Complete Access"/>
    <x v="438"/>
    <x v="12"/>
    <x v="21"/>
    <d v="1900-01-07T00:00:00"/>
    <n v="19"/>
    <x v="9"/>
    <x v="5"/>
  </r>
  <r>
    <x v="1343"/>
    <n v="66.400000000000006"/>
    <x v="2282"/>
    <n v="2300.36"/>
    <s v="Complete Access"/>
    <x v="567"/>
    <x v="0"/>
    <x v="69"/>
    <d v="1900-01-07T00:00:00"/>
    <n v="19"/>
    <x v="9"/>
    <x v="5"/>
  </r>
  <r>
    <x v="1344"/>
    <n v="-9.99"/>
    <x v="2805"/>
    <n v="2720.97"/>
    <s v="Complete Access"/>
    <x v="373"/>
    <x v="8"/>
    <x v="7"/>
    <d v="1900-01-06T00:00:00"/>
    <n v="19"/>
    <x v="9"/>
    <x v="5"/>
  </r>
  <r>
    <x v="1344"/>
    <n v="-139"/>
    <x v="2806"/>
    <n v="2457.12"/>
    <s v="Complete Access"/>
    <x v="50"/>
    <x v="4"/>
    <x v="25"/>
    <d v="1900-01-06T00:00:00"/>
    <n v="19"/>
    <x v="9"/>
    <x v="5"/>
  </r>
  <r>
    <x v="1344"/>
    <n v="-17.25"/>
    <x v="2643"/>
    <n v="2433.37"/>
    <s v="Complete Access"/>
    <x v="215"/>
    <x v="1"/>
    <x v="1"/>
    <d v="1900-01-06T00:00:00"/>
    <n v="19"/>
    <x v="9"/>
    <x v="5"/>
  </r>
  <r>
    <x v="1344"/>
    <n v="-6.5"/>
    <x v="2700"/>
    <n v="2450.62"/>
    <s v="Complete Access"/>
    <x v="243"/>
    <x v="1"/>
    <x v="23"/>
    <d v="1900-01-06T00:00:00"/>
    <n v="19"/>
    <x v="9"/>
    <x v="5"/>
  </r>
  <r>
    <x v="1344"/>
    <n v="-124.85"/>
    <x v="2807"/>
    <n v="2596.12"/>
    <s v="Complete Access"/>
    <x v="653"/>
    <x v="4"/>
    <x v="20"/>
    <d v="1900-01-06T00:00:00"/>
    <n v="19"/>
    <x v="9"/>
    <x v="5"/>
  </r>
  <r>
    <x v="1345"/>
    <n v="-45"/>
    <x v="2808"/>
    <n v="2730.96"/>
    <s v="Complete Access"/>
    <x v="50"/>
    <x v="4"/>
    <x v="25"/>
    <d v="1900-01-05T00:00:00"/>
    <n v="19"/>
    <x v="9"/>
    <x v="5"/>
  </r>
  <r>
    <x v="1345"/>
    <n v="-95.75"/>
    <x v="2809"/>
    <n v="2775.96"/>
    <s v="Complete Access"/>
    <x v="645"/>
    <x v="0"/>
    <x v="69"/>
    <d v="1900-01-05T00:00:00"/>
    <n v="19"/>
    <x v="9"/>
    <x v="5"/>
  </r>
  <r>
    <x v="1345"/>
    <n v="-228.34"/>
    <x v="2810"/>
    <n v="2871.71"/>
    <s v="Complete Access"/>
    <x v="654"/>
    <x v="4"/>
    <x v="25"/>
    <d v="1900-01-05T00:00:00"/>
    <n v="19"/>
    <x v="9"/>
    <x v="5"/>
  </r>
  <r>
    <x v="1346"/>
    <n v="-34.869999999999997"/>
    <x v="2811"/>
    <n v="3100.05"/>
    <s v="Complete Access"/>
    <x v="61"/>
    <x v="1"/>
    <x v="1"/>
    <d v="1900-01-04T00:00:00"/>
    <n v="19"/>
    <x v="9"/>
    <x v="5"/>
  </r>
  <r>
    <x v="1347"/>
    <n v="-16.399999999999999"/>
    <x v="2643"/>
    <n v="3134.92"/>
    <s v="Complete Access"/>
    <x v="215"/>
    <x v="1"/>
    <x v="1"/>
    <d v="1900-01-03T00:00:00"/>
    <n v="19"/>
    <x v="9"/>
    <x v="5"/>
  </r>
  <r>
    <x v="1348"/>
    <n v="-16.25"/>
    <x v="2643"/>
    <n v="3151.32"/>
    <s v="Complete Access"/>
    <x v="215"/>
    <x v="1"/>
    <x v="1"/>
    <d v="1900-01-02T00:00:00"/>
    <n v="19"/>
    <x v="9"/>
    <x v="5"/>
  </r>
  <r>
    <x v="1349"/>
    <n v="-100"/>
    <x v="2274"/>
    <n v="3167.57"/>
    <s v="Complete Access"/>
    <x v="552"/>
    <x v="0"/>
    <x v="74"/>
    <d v="1900-01-01T00:00:00"/>
    <n v="18"/>
    <x v="9"/>
    <x v="5"/>
  </r>
  <r>
    <x v="1350"/>
    <n v="-20"/>
    <x v="2229"/>
    <n v="3458.87"/>
    <s v="Complete Access"/>
    <x v="557"/>
    <x v="7"/>
    <x v="53"/>
    <d v="1899-12-31T00:00:00"/>
    <n v="18"/>
    <x v="9"/>
    <x v="5"/>
  </r>
  <r>
    <x v="1350"/>
    <n v="-19"/>
    <x v="2494"/>
    <n v="3439.87"/>
    <s v="Complete Access"/>
    <x v="27"/>
    <x v="1"/>
    <x v="5"/>
    <d v="1899-12-31T00:00:00"/>
    <n v="18"/>
    <x v="9"/>
    <x v="5"/>
  </r>
  <r>
    <x v="1350"/>
    <n v="-172.3"/>
    <x v="2812"/>
    <n v="3267.57"/>
    <s v="Complete Access"/>
    <x v="76"/>
    <x v="2"/>
    <x v="2"/>
    <d v="1899-12-31T00:00:00"/>
    <n v="18"/>
    <x v="9"/>
    <x v="5"/>
  </r>
  <r>
    <x v="1351"/>
    <n v="2053.4899999999998"/>
    <x v="2813"/>
    <n v="4045.87"/>
    <s v="Complete Access"/>
    <x v="14"/>
    <x v="6"/>
    <x v="9"/>
    <d v="1900-01-29T00:00:00"/>
    <n v="18"/>
    <x v="10"/>
    <x v="5"/>
  </r>
  <r>
    <x v="1351"/>
    <n v="-500"/>
    <x v="2294"/>
    <n v="3478.87"/>
    <s v="Complete Access"/>
    <x v="571"/>
    <x v="19"/>
    <x v="61"/>
    <d v="1900-01-29T00:00:00"/>
    <n v="18"/>
    <x v="10"/>
    <x v="5"/>
  </r>
  <r>
    <x v="1351"/>
    <n v="-67"/>
    <x v="2814"/>
    <n v="3978.87"/>
    <s v="Complete Access"/>
    <x v="5"/>
    <x v="3"/>
    <x v="3"/>
    <d v="1900-01-29T00:00:00"/>
    <n v="18"/>
    <x v="10"/>
    <x v="5"/>
  </r>
  <r>
    <x v="1352"/>
    <n v="-1050.94"/>
    <x v="2815"/>
    <n v="2073.6"/>
    <s v="Complete Access"/>
    <x v="655"/>
    <x v="4"/>
    <x v="20"/>
    <d v="1900-01-28T00:00:00"/>
    <n v="18"/>
    <x v="10"/>
    <x v="5"/>
  </r>
  <r>
    <x v="1352"/>
    <n v="-31.53"/>
    <x v="2816"/>
    <n v="2042.07"/>
    <s v="Complete Access"/>
    <x v="10"/>
    <x v="0"/>
    <x v="0"/>
    <d v="1900-01-28T00:00:00"/>
    <n v="18"/>
    <x v="10"/>
    <x v="5"/>
  </r>
  <r>
    <x v="1352"/>
    <n v="-49.69"/>
    <x v="2817"/>
    <n v="1992.38"/>
    <s v="Complete Access"/>
    <x v="1"/>
    <x v="1"/>
    <x v="1"/>
    <d v="1900-01-28T00:00:00"/>
    <n v="18"/>
    <x v="10"/>
    <x v="5"/>
  </r>
  <r>
    <x v="1353"/>
    <n v="350"/>
    <x v="2818"/>
    <n v="3124.54"/>
    <s v="Complete Access"/>
    <x v="567"/>
    <x v="0"/>
    <x v="69"/>
    <d v="1900-01-27T00:00:00"/>
    <n v="18"/>
    <x v="10"/>
    <x v="5"/>
  </r>
  <r>
    <x v="1353"/>
    <n v="-1413.5"/>
    <x v="2819"/>
    <n v="2774.54"/>
    <s v="Complete Access"/>
    <x v="656"/>
    <x v="4"/>
    <x v="20"/>
    <d v="1900-01-27T00:00:00"/>
    <n v="18"/>
    <x v="10"/>
    <x v="5"/>
  </r>
  <r>
    <x v="1354"/>
    <n v="800"/>
    <x v="2820"/>
    <n v="4188.04"/>
    <s v="Complete Access"/>
    <x v="657"/>
    <x v="0"/>
    <x v="69"/>
    <d v="1900-01-26T00:00:00"/>
    <n v="18"/>
    <x v="10"/>
    <x v="5"/>
  </r>
  <r>
    <x v="1355"/>
    <n v="-8.4499999999999993"/>
    <x v="2643"/>
    <n v="3397.26"/>
    <s v="Complete Access"/>
    <x v="215"/>
    <x v="1"/>
    <x v="1"/>
    <d v="1900-01-25T00:00:00"/>
    <n v="18"/>
    <x v="10"/>
    <x v="5"/>
  </r>
  <r>
    <x v="1355"/>
    <n v="-9.2200000000000006"/>
    <x v="2688"/>
    <n v="3388.04"/>
    <s v="Complete Access"/>
    <x v="177"/>
    <x v="1"/>
    <x v="1"/>
    <d v="1900-01-25T00:00:00"/>
    <n v="18"/>
    <x v="10"/>
    <x v="5"/>
  </r>
  <r>
    <x v="1356"/>
    <n v="-8.2899999999999991"/>
    <x v="2643"/>
    <n v="3405.71"/>
    <s v="Complete Access"/>
    <x v="215"/>
    <x v="1"/>
    <x v="1"/>
    <d v="1900-01-24T00:00:00"/>
    <n v="17"/>
    <x v="10"/>
    <x v="5"/>
  </r>
  <r>
    <x v="1356"/>
    <n v="-100"/>
    <x v="2274"/>
    <n v="3414"/>
    <s v="Complete Access"/>
    <x v="552"/>
    <x v="0"/>
    <x v="74"/>
    <d v="1900-01-24T00:00:00"/>
    <n v="17"/>
    <x v="10"/>
    <x v="5"/>
  </r>
  <r>
    <x v="1357"/>
    <n v="-86.38"/>
    <x v="2821"/>
    <n v="3546.97"/>
    <s v="Complete Access"/>
    <x v="1"/>
    <x v="1"/>
    <x v="1"/>
    <d v="1900-01-21T00:00:00"/>
    <n v="17"/>
    <x v="10"/>
    <x v="5"/>
  </r>
  <r>
    <x v="1357"/>
    <n v="-32.97"/>
    <x v="2822"/>
    <n v="3514"/>
    <s v="Complete Access"/>
    <x v="34"/>
    <x v="9"/>
    <x v="12"/>
    <d v="1900-01-21T00:00:00"/>
    <n v="17"/>
    <x v="10"/>
    <x v="5"/>
  </r>
  <r>
    <x v="1358"/>
    <n v="-10.27"/>
    <x v="2823"/>
    <n v="3667.34"/>
    <s v="Complete Access"/>
    <x v="215"/>
    <x v="1"/>
    <x v="1"/>
    <d v="1900-01-20T00:00:00"/>
    <n v="17"/>
    <x v="10"/>
    <x v="5"/>
  </r>
  <r>
    <x v="1358"/>
    <n v="-33.99"/>
    <x v="2824"/>
    <n v="3633.35"/>
    <s v="Complete Access"/>
    <x v="34"/>
    <x v="9"/>
    <x v="12"/>
    <d v="1900-01-20T00:00:00"/>
    <n v="17"/>
    <x v="10"/>
    <x v="5"/>
  </r>
  <r>
    <x v="1359"/>
    <n v="-16.440000000000001"/>
    <x v="2688"/>
    <n v="3677.61"/>
    <s v="Complete Access"/>
    <x v="177"/>
    <x v="1"/>
    <x v="1"/>
    <d v="1900-01-18T00:00:00"/>
    <n v="17"/>
    <x v="10"/>
    <x v="5"/>
  </r>
  <r>
    <x v="1360"/>
    <n v="-185.33"/>
    <x v="2825"/>
    <n v="4372.04"/>
    <s v="Complete Access"/>
    <x v="438"/>
    <x v="12"/>
    <x v="21"/>
    <d v="1900-01-17T00:00:00"/>
    <n v="16"/>
    <x v="10"/>
    <x v="5"/>
  </r>
  <r>
    <x v="1360"/>
    <n v="-577.99"/>
    <x v="2826"/>
    <n v="3794.05"/>
    <s v="Complete Access"/>
    <x v="93"/>
    <x v="9"/>
    <x v="36"/>
    <d v="1900-01-17T00:00:00"/>
    <n v="16"/>
    <x v="10"/>
    <x v="5"/>
  </r>
  <r>
    <x v="1360"/>
    <n v="-100"/>
    <x v="2274"/>
    <n v="3694.05"/>
    <s v="Complete Access"/>
    <x v="552"/>
    <x v="0"/>
    <x v="74"/>
    <d v="1900-01-17T00:00:00"/>
    <n v="16"/>
    <x v="10"/>
    <x v="5"/>
  </r>
  <r>
    <x v="1361"/>
    <n v="-0.9"/>
    <x v="2643"/>
    <n v="4571.87"/>
    <s v="Complete Access"/>
    <x v="215"/>
    <x v="1"/>
    <x v="1"/>
    <d v="1900-01-16T00:00:00"/>
    <n v="16"/>
    <x v="10"/>
    <x v="5"/>
  </r>
  <r>
    <x v="1361"/>
    <n v="-14.5"/>
    <x v="2700"/>
    <n v="4557.37"/>
    <s v="Complete Access"/>
    <x v="243"/>
    <x v="1"/>
    <x v="23"/>
    <d v="1900-01-16T00:00:00"/>
    <n v="16"/>
    <x v="10"/>
    <x v="5"/>
  </r>
  <r>
    <x v="1362"/>
    <n v="2053.4899999999998"/>
    <x v="2827"/>
    <n v="5072.7700000000004"/>
    <s v="Complete Access"/>
    <x v="14"/>
    <x v="6"/>
    <x v="9"/>
    <d v="1900-01-15T00:00:00"/>
    <n v="16"/>
    <x v="10"/>
    <x v="5"/>
  </r>
  <r>
    <x v="1362"/>
    <n v="-500"/>
    <x v="2294"/>
    <n v="4572.7700000000004"/>
    <s v="Complete Access"/>
    <x v="571"/>
    <x v="19"/>
    <x v="61"/>
    <d v="1900-01-15T00:00:00"/>
    <n v="16"/>
    <x v="10"/>
    <x v="5"/>
  </r>
  <r>
    <x v="1363"/>
    <n v="-16"/>
    <x v="2828"/>
    <n v="2895.73"/>
    <s v="Complete Access"/>
    <x v="658"/>
    <x v="4"/>
    <x v="52"/>
    <d v="1900-01-14T00:00:00"/>
    <n v="16"/>
    <x v="10"/>
    <x v="5"/>
  </r>
  <r>
    <x v="1363"/>
    <n v="61.77"/>
    <x v="2282"/>
    <n v="2957.5"/>
    <s v="Complete Access"/>
    <x v="567"/>
    <x v="0"/>
    <x v="69"/>
    <d v="1900-01-14T00:00:00"/>
    <n v="16"/>
    <x v="10"/>
    <x v="5"/>
  </r>
  <r>
    <x v="1363"/>
    <n v="61.78"/>
    <x v="2556"/>
    <n v="3019.28"/>
    <s v="Complete Access"/>
    <x v="583"/>
    <x v="0"/>
    <x v="69"/>
    <d v="1900-01-14T00:00:00"/>
    <n v="16"/>
    <x v="10"/>
    <x v="5"/>
  </r>
  <r>
    <x v="1364"/>
    <n v="-50.9"/>
    <x v="2643"/>
    <n v="2911.73"/>
    <s v="Complete Access"/>
    <x v="215"/>
    <x v="1"/>
    <x v="1"/>
    <d v="1900-01-12T00:00:00"/>
    <n v="16"/>
    <x v="10"/>
    <x v="5"/>
  </r>
  <r>
    <x v="1365"/>
    <n v="-100"/>
    <x v="2274"/>
    <n v="2962.63"/>
    <s v="Complete Access"/>
    <x v="552"/>
    <x v="0"/>
    <x v="74"/>
    <d v="1900-01-10T00:00:00"/>
    <n v="15"/>
    <x v="10"/>
    <x v="5"/>
  </r>
  <r>
    <x v="1366"/>
    <n v="-65"/>
    <x v="2829"/>
    <n v="3062.63"/>
    <s v="Complete Access"/>
    <x v="27"/>
    <x v="1"/>
    <x v="5"/>
    <d v="1900-01-09T00:00:00"/>
    <n v="15"/>
    <x v="10"/>
    <x v="5"/>
  </r>
  <r>
    <x v="1366"/>
    <n v="-39.479999999999997"/>
    <x v="2643"/>
    <n v="3127.63"/>
    <s v="Complete Access"/>
    <x v="215"/>
    <x v="1"/>
    <x v="1"/>
    <d v="1900-01-09T00:00:00"/>
    <n v="15"/>
    <x v="10"/>
    <x v="5"/>
  </r>
  <r>
    <x v="1366"/>
    <n v="-29.95"/>
    <x v="2688"/>
    <n v="3167.11"/>
    <s v="Complete Access"/>
    <x v="177"/>
    <x v="1"/>
    <x v="1"/>
    <d v="1900-01-09T00:00:00"/>
    <n v="15"/>
    <x v="10"/>
    <x v="5"/>
  </r>
  <r>
    <x v="1367"/>
    <n v="-73.5"/>
    <x v="2830"/>
    <n v="3272.56"/>
    <s v="Complete Access"/>
    <x v="8"/>
    <x v="1"/>
    <x v="5"/>
    <d v="1900-01-07T00:00:00"/>
    <n v="15"/>
    <x v="10"/>
    <x v="5"/>
  </r>
  <r>
    <x v="1367"/>
    <n v="-75.5"/>
    <x v="2543"/>
    <n v="3197.06"/>
    <s v="Complete Access"/>
    <x v="17"/>
    <x v="7"/>
    <x v="11"/>
    <d v="1900-01-07T00:00:00"/>
    <n v="15"/>
    <x v="10"/>
    <x v="5"/>
  </r>
  <r>
    <x v="1368"/>
    <n v="13.5"/>
    <x v="2831"/>
    <n v="3346.06"/>
    <s v="Complete Access"/>
    <x v="0"/>
    <x v="0"/>
    <x v="0"/>
    <d v="1900-01-06T00:00:00"/>
    <n v="15"/>
    <x v="10"/>
    <x v="5"/>
  </r>
  <r>
    <x v="1368"/>
    <n v="-27.18"/>
    <x v="2832"/>
    <n v="3349.26"/>
    <s v="Complete Access"/>
    <x v="1"/>
    <x v="1"/>
    <x v="1"/>
    <d v="1900-01-06T00:00:00"/>
    <n v="15"/>
    <x v="10"/>
    <x v="5"/>
  </r>
  <r>
    <x v="1368"/>
    <n v="-16.7"/>
    <x v="2833"/>
    <n v="3332.56"/>
    <s v="Complete Access"/>
    <x v="34"/>
    <x v="9"/>
    <x v="12"/>
    <d v="1900-01-06T00:00:00"/>
    <n v="15"/>
    <x v="10"/>
    <x v="5"/>
  </r>
  <r>
    <x v="1369"/>
    <n v="-100"/>
    <x v="2274"/>
    <n v="3421.35"/>
    <s v="Complete Access"/>
    <x v="552"/>
    <x v="0"/>
    <x v="74"/>
    <d v="1900-01-03T00:00:00"/>
    <n v="14"/>
    <x v="10"/>
    <x v="5"/>
  </r>
  <r>
    <x v="1369"/>
    <n v="-44.91"/>
    <x v="2639"/>
    <n v="3376.44"/>
    <s v="Complete Access"/>
    <x v="4"/>
    <x v="1"/>
    <x v="1"/>
    <d v="1900-01-03T00:00:00"/>
    <n v="14"/>
    <x v="10"/>
    <x v="5"/>
  </r>
  <r>
    <x v="1370"/>
    <n v="-16"/>
    <x v="2834"/>
    <n v="4243.3500000000004"/>
    <s v="Complete Access"/>
    <x v="593"/>
    <x v="1"/>
    <x v="5"/>
    <d v="1900-01-01T00:00:00"/>
    <n v="14"/>
    <x v="10"/>
    <x v="5"/>
  </r>
  <r>
    <x v="1370"/>
    <n v="2053.4899999999998"/>
    <x v="2835"/>
    <n v="4299.3500000000004"/>
    <s v="Complete Access"/>
    <x v="14"/>
    <x v="6"/>
    <x v="9"/>
    <d v="1900-01-01T00:00:00"/>
    <n v="14"/>
    <x v="10"/>
    <x v="5"/>
  </r>
  <r>
    <x v="1370"/>
    <n v="-500"/>
    <x v="2294"/>
    <n v="3521.35"/>
    <s v="Complete Access"/>
    <x v="571"/>
    <x v="19"/>
    <x v="61"/>
    <d v="1900-01-01T00:00:00"/>
    <n v="14"/>
    <x v="10"/>
    <x v="5"/>
  </r>
  <r>
    <x v="1370"/>
    <n v="-40"/>
    <x v="2836"/>
    <n v="4259.3500000000004"/>
    <s v="Complete Access"/>
    <x v="104"/>
    <x v="1"/>
    <x v="5"/>
    <d v="1900-01-01T00:00:00"/>
    <n v="14"/>
    <x v="10"/>
    <x v="5"/>
  </r>
  <r>
    <x v="1370"/>
    <n v="-17"/>
    <x v="2837"/>
    <n v="4226.3500000000004"/>
    <s v="Complete Access"/>
    <x v="1"/>
    <x v="1"/>
    <x v="1"/>
    <d v="1900-01-01T00:00:00"/>
    <n v="14"/>
    <x v="10"/>
    <x v="5"/>
  </r>
  <r>
    <x v="1370"/>
    <n v="-205"/>
    <x v="2838"/>
    <n v="4021.35"/>
    <s v="Complete Access"/>
    <x v="659"/>
    <x v="4"/>
    <x v="30"/>
    <d v="1900-01-01T00:00:00"/>
    <n v="14"/>
    <x v="10"/>
    <x v="5"/>
  </r>
  <r>
    <x v="1371"/>
    <n v="-48.5"/>
    <x v="2839"/>
    <n v="2463.64"/>
    <s v="Complete Access"/>
    <x v="593"/>
    <x v="1"/>
    <x v="5"/>
    <d v="1899-12-31T00:00:00"/>
    <n v="14"/>
    <x v="10"/>
    <x v="5"/>
  </r>
  <r>
    <x v="1371"/>
    <n v="-61"/>
    <x v="2839"/>
    <n v="2512.14"/>
    <s v="Complete Access"/>
    <x v="593"/>
    <x v="1"/>
    <x v="5"/>
    <d v="1899-12-31T00:00:00"/>
    <n v="14"/>
    <x v="10"/>
    <x v="5"/>
  </r>
  <r>
    <x v="1371"/>
    <n v="-20"/>
    <x v="2229"/>
    <n v="2574.54"/>
    <s v="Complete Access"/>
    <x v="557"/>
    <x v="7"/>
    <x v="53"/>
    <d v="1899-12-31T00:00:00"/>
    <n v="14"/>
    <x v="10"/>
    <x v="5"/>
  </r>
  <r>
    <x v="1371"/>
    <n v="-1.4"/>
    <x v="2840"/>
    <n v="2573.14"/>
    <s v="Complete Access"/>
    <x v="104"/>
    <x v="1"/>
    <x v="5"/>
    <d v="1899-12-31T00:00:00"/>
    <n v="14"/>
    <x v="10"/>
    <x v="5"/>
  </r>
  <r>
    <x v="1371"/>
    <n v="-172.3"/>
    <x v="2841"/>
    <n v="2245.86"/>
    <s v="Complete Access"/>
    <x v="76"/>
    <x v="2"/>
    <x v="2"/>
    <d v="1899-12-31T00:00:00"/>
    <n v="14"/>
    <x v="10"/>
    <x v="5"/>
  </r>
  <r>
    <x v="1371"/>
    <n v="-45.48"/>
    <x v="2842"/>
    <n v="2418.16"/>
    <s v="Complete Access"/>
    <x v="34"/>
    <x v="9"/>
    <x v="12"/>
    <d v="1899-12-31T00:00:00"/>
    <n v="14"/>
    <x v="10"/>
    <x v="5"/>
  </r>
  <r>
    <x v="1372"/>
    <n v="-178"/>
    <x v="2843"/>
    <n v="2594.54"/>
    <s v="Complete Access"/>
    <x v="29"/>
    <x v="4"/>
    <x v="19"/>
    <d v="1900-01-30T00:00:00"/>
    <n v="14"/>
    <x v="11"/>
    <x v="5"/>
  </r>
  <r>
    <x v="1372"/>
    <n v="-1"/>
    <x v="2844"/>
    <n v="2772.54"/>
    <s v="Complete Access"/>
    <x v="27"/>
    <x v="1"/>
    <x v="5"/>
    <d v="1900-01-30T00:00:00"/>
    <n v="14"/>
    <x v="11"/>
    <x v="5"/>
  </r>
  <r>
    <x v="1373"/>
    <n v="-43.38"/>
    <x v="2756"/>
    <n v="2773.54"/>
    <s v="Complete Access"/>
    <x v="177"/>
    <x v="1"/>
    <x v="1"/>
    <d v="1900-01-29T00:00:00"/>
    <n v="14"/>
    <x v="11"/>
    <x v="5"/>
  </r>
  <r>
    <x v="1374"/>
    <n v="-15.5"/>
    <x v="2845"/>
    <n v="2868.92"/>
    <s v="Complete Access"/>
    <x v="8"/>
    <x v="1"/>
    <x v="5"/>
    <d v="1900-01-27T00:00:00"/>
    <n v="13"/>
    <x v="11"/>
    <x v="5"/>
  </r>
  <r>
    <x v="1374"/>
    <n v="-100"/>
    <x v="2274"/>
    <n v="2884.42"/>
    <s v="Complete Access"/>
    <x v="552"/>
    <x v="0"/>
    <x v="74"/>
    <d v="1900-01-27T00:00:00"/>
    <n v="13"/>
    <x v="11"/>
    <x v="5"/>
  </r>
  <r>
    <x v="1374"/>
    <n v="-52"/>
    <x v="2846"/>
    <n v="2816.92"/>
    <s v="Complete Access"/>
    <x v="104"/>
    <x v="1"/>
    <x v="5"/>
    <d v="1900-01-27T00:00:00"/>
    <n v="13"/>
    <x v="11"/>
    <x v="5"/>
  </r>
  <r>
    <x v="1375"/>
    <n v="-11.17"/>
    <x v="2847"/>
    <n v="3253.42"/>
    <s v="Complete Access"/>
    <x v="16"/>
    <x v="1"/>
    <x v="5"/>
    <d v="1900-01-26T00:00:00"/>
    <n v="13"/>
    <x v="11"/>
    <x v="5"/>
  </r>
  <r>
    <x v="1375"/>
    <n v="-9.99"/>
    <x v="2848"/>
    <n v="3264.59"/>
    <s v="Complete Access"/>
    <x v="373"/>
    <x v="8"/>
    <x v="7"/>
    <d v="1900-01-26T00:00:00"/>
    <n v="13"/>
    <x v="11"/>
    <x v="5"/>
  </r>
  <r>
    <x v="1375"/>
    <n v="-269"/>
    <x v="2849"/>
    <n v="2984.42"/>
    <s v="Complete Access"/>
    <x v="191"/>
    <x v="10"/>
    <x v="13"/>
    <d v="1900-01-26T00:00:00"/>
    <n v="13"/>
    <x v="11"/>
    <x v="5"/>
  </r>
  <r>
    <x v="1376"/>
    <n v="157.65"/>
    <x v="2850"/>
    <n v="3436.96"/>
    <s v="Complete Access"/>
    <x v="660"/>
    <x v="4"/>
    <x v="52"/>
    <d v="1900-01-25T00:00:00"/>
    <n v="13"/>
    <x v="11"/>
    <x v="5"/>
  </r>
  <r>
    <x v="1376"/>
    <n v="-157.65"/>
    <x v="2851"/>
    <n v="3279.31"/>
    <s v="Complete Access"/>
    <x v="660"/>
    <x v="4"/>
    <x v="52"/>
    <d v="1900-01-25T00:00:00"/>
    <n v="13"/>
    <x v="11"/>
    <x v="5"/>
  </r>
  <r>
    <x v="1376"/>
    <n v="-4.7300000000000004"/>
    <x v="2852"/>
    <n v="3274.58"/>
    <s v="Complete Access"/>
    <x v="10"/>
    <x v="0"/>
    <x v="0"/>
    <d v="1900-01-25T00:00:00"/>
    <n v="13"/>
    <x v="11"/>
    <x v="5"/>
  </r>
  <r>
    <x v="1377"/>
    <n v="-21.89"/>
    <x v="2853"/>
    <n v="3482.7"/>
    <s v="Complete Access"/>
    <x v="8"/>
    <x v="1"/>
    <x v="5"/>
    <d v="1900-01-24T00:00:00"/>
    <n v="13"/>
    <x v="11"/>
    <x v="5"/>
  </r>
  <r>
    <x v="1377"/>
    <n v="-17.420000000000002"/>
    <x v="2854"/>
    <n v="3300.28"/>
    <s v="Complete Access"/>
    <x v="8"/>
    <x v="1"/>
    <x v="5"/>
    <d v="1900-01-24T00:00:00"/>
    <n v="13"/>
    <x v="11"/>
    <x v="5"/>
  </r>
  <r>
    <x v="1377"/>
    <n v="-150"/>
    <x v="2855"/>
    <n v="3317.7"/>
    <s v="Complete Access"/>
    <x v="661"/>
    <x v="4"/>
    <x v="52"/>
    <d v="1900-01-24T00:00:00"/>
    <n v="13"/>
    <x v="11"/>
    <x v="5"/>
  </r>
  <r>
    <x v="1377"/>
    <n v="-11.17"/>
    <x v="2856"/>
    <n v="3289.11"/>
    <s v="Complete Access"/>
    <x v="16"/>
    <x v="1"/>
    <x v="5"/>
    <d v="1900-01-24T00:00:00"/>
    <n v="13"/>
    <x v="11"/>
    <x v="5"/>
  </r>
  <r>
    <x v="1377"/>
    <n v="-15"/>
    <x v="2857"/>
    <n v="3467.7"/>
    <s v="Complete Access"/>
    <x v="104"/>
    <x v="1"/>
    <x v="5"/>
    <d v="1900-01-24T00:00:00"/>
    <n v="13"/>
    <x v="11"/>
    <x v="5"/>
  </r>
  <r>
    <x v="1377"/>
    <n v="-9.8000000000000007"/>
    <x v="2858"/>
    <n v="3279.31"/>
    <s v="Complete Access"/>
    <x v="34"/>
    <x v="9"/>
    <x v="12"/>
    <d v="1900-01-24T00:00:00"/>
    <n v="13"/>
    <x v="11"/>
    <x v="5"/>
  </r>
  <r>
    <x v="1378"/>
    <n v="-3.69"/>
    <x v="2859"/>
    <n v="3519.59"/>
    <s v="Complete Access"/>
    <x v="61"/>
    <x v="1"/>
    <x v="1"/>
    <d v="1900-01-23T00:00:00"/>
    <n v="13"/>
    <x v="11"/>
    <x v="5"/>
  </r>
  <r>
    <x v="1378"/>
    <n v="-40"/>
    <x v="2860"/>
    <n v="3583.45"/>
    <s v="Complete Access"/>
    <x v="12"/>
    <x v="5"/>
    <x v="8"/>
    <d v="1900-01-23T00:00:00"/>
    <n v="13"/>
    <x v="11"/>
    <x v="5"/>
  </r>
  <r>
    <x v="1378"/>
    <n v="-11.17"/>
    <x v="2861"/>
    <n v="3523.28"/>
    <s v="Complete Access"/>
    <x v="16"/>
    <x v="1"/>
    <x v="5"/>
    <d v="1900-01-23T00:00:00"/>
    <n v="13"/>
    <x v="11"/>
    <x v="5"/>
  </r>
  <r>
    <x v="1378"/>
    <n v="-49"/>
    <x v="2862"/>
    <n v="3534.45"/>
    <s v="Complete Access"/>
    <x v="104"/>
    <x v="1"/>
    <x v="5"/>
    <d v="1900-01-23T00:00:00"/>
    <n v="13"/>
    <x v="11"/>
    <x v="5"/>
  </r>
  <r>
    <x v="1378"/>
    <n v="-15"/>
    <x v="2863"/>
    <n v="3504.59"/>
    <s v="Complete Access"/>
    <x v="186"/>
    <x v="1"/>
    <x v="5"/>
    <d v="1900-01-23T00:00:00"/>
    <n v="13"/>
    <x v="11"/>
    <x v="5"/>
  </r>
  <r>
    <x v="1379"/>
    <n v="-27.94"/>
    <x v="2864"/>
    <n v="3735.45"/>
    <s v="Complete Access"/>
    <x v="8"/>
    <x v="1"/>
    <x v="5"/>
    <d v="1900-01-20T00:00:00"/>
    <n v="12"/>
    <x v="11"/>
    <x v="5"/>
  </r>
  <r>
    <x v="1379"/>
    <n v="-100"/>
    <x v="2274"/>
    <n v="3623.45"/>
    <s v="Complete Access"/>
    <x v="552"/>
    <x v="0"/>
    <x v="74"/>
    <d v="1900-01-20T00:00:00"/>
    <n v="12"/>
    <x v="11"/>
    <x v="5"/>
  </r>
  <r>
    <x v="1379"/>
    <n v="-12"/>
    <x v="2865"/>
    <n v="3723.45"/>
    <s v="Complete Access"/>
    <x v="662"/>
    <x v="1"/>
    <x v="5"/>
    <d v="1900-01-20T00:00:00"/>
    <n v="12"/>
    <x v="11"/>
    <x v="5"/>
  </r>
  <r>
    <x v="1380"/>
    <n v="-0.94"/>
    <x v="2859"/>
    <n v="3781.44"/>
    <s v="Complete Access"/>
    <x v="61"/>
    <x v="1"/>
    <x v="1"/>
    <d v="1900-01-19T00:00:00"/>
    <n v="12"/>
    <x v="11"/>
    <x v="5"/>
  </r>
  <r>
    <x v="1380"/>
    <n v="-18.05"/>
    <x v="2762"/>
    <n v="3763.39"/>
    <s v="Complete Access"/>
    <x v="616"/>
    <x v="1"/>
    <x v="1"/>
    <d v="1900-01-19T00:00:00"/>
    <n v="12"/>
    <x v="11"/>
    <x v="5"/>
  </r>
  <r>
    <x v="1381"/>
    <n v="-3"/>
    <x v="2859"/>
    <n v="3782.38"/>
    <s v="Complete Access"/>
    <x v="61"/>
    <x v="1"/>
    <x v="1"/>
    <d v="1900-01-18T00:00:00"/>
    <n v="12"/>
    <x v="11"/>
    <x v="5"/>
  </r>
  <r>
    <x v="1381"/>
    <n v="2053.4899999999998"/>
    <x v="2866"/>
    <n v="4296.55"/>
    <s v="Complete Access"/>
    <x v="14"/>
    <x v="6"/>
    <x v="9"/>
    <d v="1900-01-18T00:00:00"/>
    <n v="12"/>
    <x v="11"/>
    <x v="5"/>
  </r>
  <r>
    <x v="1381"/>
    <n v="-500"/>
    <x v="2294"/>
    <n v="3796.55"/>
    <s v="Complete Access"/>
    <x v="571"/>
    <x v="19"/>
    <x v="61"/>
    <d v="1900-01-18T00:00:00"/>
    <n v="12"/>
    <x v="11"/>
    <x v="5"/>
  </r>
  <r>
    <x v="1381"/>
    <n v="-11.17"/>
    <x v="2867"/>
    <n v="3785.38"/>
    <s v="Complete Access"/>
    <x v="16"/>
    <x v="1"/>
    <x v="5"/>
    <d v="1900-01-18T00:00:00"/>
    <n v="12"/>
    <x v="11"/>
    <x v="5"/>
  </r>
  <r>
    <x v="1382"/>
    <n v="-3.32"/>
    <x v="2859"/>
    <n v="2257.56"/>
    <s v="Complete Access"/>
    <x v="61"/>
    <x v="1"/>
    <x v="1"/>
    <d v="1900-01-17T00:00:00"/>
    <n v="12"/>
    <x v="11"/>
    <x v="5"/>
  </r>
  <r>
    <x v="1382"/>
    <n v="-47.49"/>
    <x v="2868"/>
    <n v="2260.88"/>
    <s v="Complete Access"/>
    <x v="8"/>
    <x v="1"/>
    <x v="5"/>
    <d v="1900-01-17T00:00:00"/>
    <n v="12"/>
    <x v="11"/>
    <x v="5"/>
  </r>
  <r>
    <x v="1382"/>
    <n v="-23.49"/>
    <x v="2869"/>
    <n v="2323.37"/>
    <s v="Complete Access"/>
    <x v="8"/>
    <x v="1"/>
    <x v="5"/>
    <d v="1900-01-17T00:00:00"/>
    <n v="12"/>
    <x v="11"/>
    <x v="5"/>
  </r>
  <r>
    <x v="1382"/>
    <n v="-84.59"/>
    <x v="2870"/>
    <n v="2346.86"/>
    <s v="Complete Access"/>
    <x v="8"/>
    <x v="1"/>
    <x v="5"/>
    <d v="1900-01-17T00:00:00"/>
    <n v="12"/>
    <x v="11"/>
    <x v="5"/>
  </r>
  <r>
    <x v="1382"/>
    <n v="-40"/>
    <x v="2871"/>
    <n v="2431.4499999999998"/>
    <s v="Complete Access"/>
    <x v="12"/>
    <x v="5"/>
    <x v="8"/>
    <d v="1900-01-17T00:00:00"/>
    <n v="12"/>
    <x v="11"/>
    <x v="5"/>
  </r>
  <r>
    <x v="1382"/>
    <n v="-15"/>
    <x v="2872"/>
    <n v="2308.37"/>
    <s v="Complete Access"/>
    <x v="186"/>
    <x v="1"/>
    <x v="5"/>
    <d v="1900-01-17T00:00:00"/>
    <n v="12"/>
    <x v="11"/>
    <x v="5"/>
  </r>
  <r>
    <x v="1382"/>
    <n v="-14.5"/>
    <x v="2863"/>
    <n v="2243.06"/>
    <s v="Complete Access"/>
    <x v="186"/>
    <x v="1"/>
    <x v="5"/>
    <d v="1900-01-17T00:00:00"/>
    <n v="12"/>
    <x v="11"/>
    <x v="5"/>
  </r>
  <r>
    <x v="1383"/>
    <n v="-4"/>
    <x v="2859"/>
    <n v="2500.11"/>
    <s v="Complete Access"/>
    <x v="61"/>
    <x v="1"/>
    <x v="1"/>
    <d v="1900-01-16T00:00:00"/>
    <n v="12"/>
    <x v="11"/>
    <x v="5"/>
  </r>
  <r>
    <x v="1383"/>
    <n v="-1.17"/>
    <x v="2859"/>
    <n v="2504.11"/>
    <s v="Complete Access"/>
    <x v="61"/>
    <x v="1"/>
    <x v="1"/>
    <d v="1900-01-16T00:00:00"/>
    <n v="12"/>
    <x v="11"/>
    <x v="5"/>
  </r>
  <r>
    <x v="1383"/>
    <n v="-11.17"/>
    <x v="2873"/>
    <n v="2505.2800000000002"/>
    <s v="Complete Access"/>
    <x v="16"/>
    <x v="1"/>
    <x v="5"/>
    <d v="1900-01-16T00:00:00"/>
    <n v="12"/>
    <x v="11"/>
    <x v="5"/>
  </r>
  <r>
    <x v="1383"/>
    <n v="-15.61"/>
    <x v="2874"/>
    <n v="2484.5"/>
    <s v="Complete Access"/>
    <x v="663"/>
    <x v="1"/>
    <x v="1"/>
    <d v="1900-01-16T00:00:00"/>
    <n v="12"/>
    <x v="11"/>
    <x v="5"/>
  </r>
  <r>
    <x v="1383"/>
    <n v="-13.05"/>
    <x v="2688"/>
    <n v="2471.4499999999998"/>
    <s v="Complete Access"/>
    <x v="177"/>
    <x v="1"/>
    <x v="1"/>
    <d v="1900-01-16T00:00:00"/>
    <n v="12"/>
    <x v="11"/>
    <x v="5"/>
  </r>
  <r>
    <x v="1383"/>
    <n v="-12"/>
    <x v="2875"/>
    <n v="2516.4499999999998"/>
    <s v="Complete Access"/>
    <x v="664"/>
    <x v="1"/>
    <x v="5"/>
    <d v="1900-01-16T00:00:00"/>
    <n v="12"/>
    <x v="11"/>
    <x v="5"/>
  </r>
  <r>
    <x v="1384"/>
    <n v="-2.02"/>
    <x v="2859"/>
    <n v="2553.36"/>
    <s v="Complete Access"/>
    <x v="61"/>
    <x v="1"/>
    <x v="1"/>
    <d v="1900-01-15T00:00:00"/>
    <n v="12"/>
    <x v="11"/>
    <x v="5"/>
  </r>
  <r>
    <x v="1384"/>
    <n v="-8.35"/>
    <x v="2762"/>
    <n v="2541.02"/>
    <s v="Complete Access"/>
    <x v="616"/>
    <x v="1"/>
    <x v="1"/>
    <d v="1900-01-15T00:00:00"/>
    <n v="12"/>
    <x v="11"/>
    <x v="5"/>
  </r>
  <r>
    <x v="1384"/>
    <n v="-12.57"/>
    <x v="2643"/>
    <n v="2528.4499999999998"/>
    <s v="Complete Access"/>
    <x v="215"/>
    <x v="1"/>
    <x v="1"/>
    <d v="1900-01-15T00:00:00"/>
    <n v="12"/>
    <x v="11"/>
    <x v="5"/>
  </r>
  <r>
    <x v="1384"/>
    <n v="-3.99"/>
    <x v="2688"/>
    <n v="2549.37"/>
    <s v="Complete Access"/>
    <x v="177"/>
    <x v="1"/>
    <x v="1"/>
    <d v="1900-01-15T00:00:00"/>
    <n v="12"/>
    <x v="11"/>
    <x v="5"/>
  </r>
  <r>
    <x v="1385"/>
    <n v="13"/>
    <x v="2876"/>
    <n v="2555.38"/>
    <s v="Complete Access"/>
    <x v="27"/>
    <x v="1"/>
    <x v="5"/>
    <d v="1900-01-14T00:00:00"/>
    <n v="12"/>
    <x v="11"/>
    <x v="5"/>
  </r>
  <r>
    <x v="1386"/>
    <n v="-36"/>
    <x v="2877"/>
    <n v="2576.5500000000002"/>
    <s v="Complete Access"/>
    <x v="665"/>
    <x v="8"/>
    <x v="22"/>
    <d v="1900-01-13T00:00:00"/>
    <n v="11"/>
    <x v="11"/>
    <x v="5"/>
  </r>
  <r>
    <x v="1386"/>
    <n v="-45"/>
    <x v="2878"/>
    <n v="2520.38"/>
    <s v="Complete Access"/>
    <x v="666"/>
    <x v="8"/>
    <x v="22"/>
    <d v="1900-01-13T00:00:00"/>
    <n v="11"/>
    <x v="11"/>
    <x v="5"/>
  </r>
  <r>
    <x v="1386"/>
    <n v="-11.17"/>
    <x v="2879"/>
    <n v="2565.38"/>
    <s v="Complete Access"/>
    <x v="16"/>
    <x v="1"/>
    <x v="5"/>
    <d v="1900-01-13T00:00:00"/>
    <n v="11"/>
    <x v="11"/>
    <x v="5"/>
  </r>
  <r>
    <x v="1386"/>
    <n v="-100"/>
    <x v="2274"/>
    <n v="2612.5500000000002"/>
    <s v="Complete Access"/>
    <x v="552"/>
    <x v="0"/>
    <x v="74"/>
    <d v="1900-01-13T00:00:00"/>
    <n v="11"/>
    <x v="11"/>
    <x v="5"/>
  </r>
  <r>
    <x v="1386"/>
    <n v="48"/>
    <x v="2494"/>
    <n v="2542.38"/>
    <s v="Complete Access"/>
    <x v="27"/>
    <x v="1"/>
    <x v="5"/>
    <d v="1900-01-13T00:00:00"/>
    <n v="11"/>
    <x v="11"/>
    <x v="5"/>
  </r>
  <r>
    <x v="1386"/>
    <n v="-26"/>
    <x v="2880"/>
    <n v="2494.38"/>
    <s v="Complete Access"/>
    <x v="667"/>
    <x v="1"/>
    <x v="23"/>
    <d v="1900-01-13T00:00:00"/>
    <n v="11"/>
    <x v="11"/>
    <x v="5"/>
  </r>
  <r>
    <x v="1387"/>
    <n v="-39.99"/>
    <x v="2881"/>
    <n v="2757.66"/>
    <s v="Complete Access"/>
    <x v="8"/>
    <x v="1"/>
    <x v="5"/>
    <d v="1900-01-12T00:00:00"/>
    <n v="11"/>
    <x v="11"/>
    <x v="5"/>
  </r>
  <r>
    <x v="1387"/>
    <n v="-35.9"/>
    <x v="2882"/>
    <n v="2721.76"/>
    <s v="Complete Access"/>
    <x v="8"/>
    <x v="1"/>
    <x v="5"/>
    <d v="1900-01-12T00:00:00"/>
    <n v="11"/>
    <x v="11"/>
    <x v="5"/>
  </r>
  <r>
    <x v="1387"/>
    <n v="-9.2100000000000009"/>
    <x v="2643"/>
    <n v="2712.55"/>
    <s v="Complete Access"/>
    <x v="215"/>
    <x v="1"/>
    <x v="1"/>
    <d v="1900-01-12T00:00:00"/>
    <n v="11"/>
    <x v="11"/>
    <x v="5"/>
  </r>
  <r>
    <x v="1388"/>
    <n v="-31.5"/>
    <x v="2883"/>
    <n v="2815.71"/>
    <s v="Complete Access"/>
    <x v="668"/>
    <x v="15"/>
    <x v="34"/>
    <d v="1900-01-11T00:00:00"/>
    <n v="11"/>
    <x v="11"/>
    <x v="5"/>
  </r>
  <r>
    <x v="1388"/>
    <n v="-28.35"/>
    <x v="2884"/>
    <n v="2847.21"/>
    <s v="Complete Access"/>
    <x v="668"/>
    <x v="15"/>
    <x v="34"/>
    <d v="1900-01-11T00:00:00"/>
    <n v="11"/>
    <x v="11"/>
    <x v="5"/>
  </r>
  <r>
    <x v="1388"/>
    <n v="-18.059999999999999"/>
    <x v="2885"/>
    <n v="2797.65"/>
    <s v="Complete Access"/>
    <x v="237"/>
    <x v="15"/>
    <x v="34"/>
    <d v="1900-01-11T00:00:00"/>
    <n v="11"/>
    <x v="11"/>
    <x v="5"/>
  </r>
  <r>
    <x v="1389"/>
    <n v="-26.39"/>
    <x v="2886"/>
    <n v="3098.66"/>
    <s v="Complete Access"/>
    <x v="8"/>
    <x v="1"/>
    <x v="5"/>
    <d v="1900-01-10T00:00:00"/>
    <n v="11"/>
    <x v="11"/>
    <x v="5"/>
  </r>
  <r>
    <x v="1389"/>
    <n v="-11.25"/>
    <x v="2887"/>
    <n v="3223.43"/>
    <s v="Complete Access"/>
    <x v="8"/>
    <x v="1"/>
    <x v="5"/>
    <d v="1900-01-10T00:00:00"/>
    <n v="11"/>
    <x v="11"/>
    <x v="5"/>
  </r>
  <r>
    <x v="1389"/>
    <n v="-58.89"/>
    <x v="2888"/>
    <n v="3125.05"/>
    <s v="Complete Access"/>
    <x v="8"/>
    <x v="1"/>
    <x v="5"/>
    <d v="1900-01-10T00:00:00"/>
    <n v="11"/>
    <x v="11"/>
    <x v="5"/>
  </r>
  <r>
    <x v="1389"/>
    <n v="-39.49"/>
    <x v="2888"/>
    <n v="3183.94"/>
    <s v="Complete Access"/>
    <x v="8"/>
    <x v="1"/>
    <x v="5"/>
    <d v="1900-01-10T00:00:00"/>
    <n v="11"/>
    <x v="11"/>
    <x v="5"/>
  </r>
  <r>
    <x v="1389"/>
    <n v="-10.68"/>
    <x v="2889"/>
    <n v="3234.68"/>
    <s v="Complete Access"/>
    <x v="285"/>
    <x v="5"/>
    <x v="8"/>
    <d v="1900-01-10T00:00:00"/>
    <n v="11"/>
    <x v="11"/>
    <x v="5"/>
  </r>
  <r>
    <x v="1389"/>
    <n v="-40"/>
    <x v="2890"/>
    <n v="3245.36"/>
    <s v="Complete Access"/>
    <x v="12"/>
    <x v="5"/>
    <x v="8"/>
    <d v="1900-01-10T00:00:00"/>
    <n v="11"/>
    <x v="11"/>
    <x v="5"/>
  </r>
  <r>
    <x v="1389"/>
    <n v="-7"/>
    <x v="2891"/>
    <n v="3025.66"/>
    <s v="Complete Access"/>
    <x v="669"/>
    <x v="1"/>
    <x v="5"/>
    <d v="1900-01-10T00:00:00"/>
    <n v="11"/>
    <x v="11"/>
    <x v="5"/>
  </r>
  <r>
    <x v="1389"/>
    <n v="-40"/>
    <x v="2892"/>
    <n v="2985.66"/>
    <s v="Complete Access"/>
    <x v="670"/>
    <x v="8"/>
    <x v="29"/>
    <d v="1900-01-10T00:00:00"/>
    <n v="11"/>
    <x v="11"/>
    <x v="5"/>
  </r>
  <r>
    <x v="1389"/>
    <n v="-110.1"/>
    <x v="2543"/>
    <n v="2875.56"/>
    <s v="Complete Access"/>
    <x v="17"/>
    <x v="7"/>
    <x v="11"/>
    <d v="1900-01-10T00:00:00"/>
    <n v="11"/>
    <x v="11"/>
    <x v="5"/>
  </r>
  <r>
    <x v="1389"/>
    <n v="-33.5"/>
    <x v="2893"/>
    <n v="3032.66"/>
    <s v="Complete Access"/>
    <x v="425"/>
    <x v="8"/>
    <x v="29"/>
    <d v="1900-01-10T00:00:00"/>
    <n v="11"/>
    <x v="11"/>
    <x v="5"/>
  </r>
  <r>
    <x v="1389"/>
    <n v="-21"/>
    <x v="2893"/>
    <n v="3066.16"/>
    <s v="Complete Access"/>
    <x v="425"/>
    <x v="8"/>
    <x v="29"/>
    <d v="1900-01-10T00:00:00"/>
    <n v="11"/>
    <x v="11"/>
    <x v="5"/>
  </r>
  <r>
    <x v="1389"/>
    <n v="-11.5"/>
    <x v="2893"/>
    <n v="3087.16"/>
    <s v="Complete Access"/>
    <x v="425"/>
    <x v="8"/>
    <x v="29"/>
    <d v="1900-01-10T00:00:00"/>
    <n v="11"/>
    <x v="11"/>
    <x v="5"/>
  </r>
  <r>
    <x v="1390"/>
    <n v="-21.89"/>
    <x v="2894"/>
    <n v="3429.76"/>
    <s v="Complete Access"/>
    <x v="8"/>
    <x v="1"/>
    <x v="5"/>
    <d v="1900-01-09T00:00:00"/>
    <n v="11"/>
    <x v="11"/>
    <x v="5"/>
  </r>
  <r>
    <x v="1390"/>
    <n v="-26.94"/>
    <x v="2895"/>
    <n v="3451.65"/>
    <s v="Complete Access"/>
    <x v="8"/>
    <x v="1"/>
    <x v="5"/>
    <d v="1900-01-09T00:00:00"/>
    <n v="11"/>
    <x v="11"/>
    <x v="5"/>
  </r>
  <r>
    <x v="1390"/>
    <n v="-9.07"/>
    <x v="2896"/>
    <n v="3478.59"/>
    <s v="Complete Access"/>
    <x v="285"/>
    <x v="5"/>
    <x v="8"/>
    <d v="1900-01-09T00:00:00"/>
    <n v="11"/>
    <x v="11"/>
    <x v="5"/>
  </r>
  <r>
    <x v="1390"/>
    <n v="-31.5"/>
    <x v="2897"/>
    <n v="3285.36"/>
    <s v="Complete Access"/>
    <x v="559"/>
    <x v="20"/>
    <x v="63"/>
    <d v="1900-01-09T00:00:00"/>
    <n v="11"/>
    <x v="11"/>
    <x v="5"/>
  </r>
  <r>
    <x v="1390"/>
    <n v="-15"/>
    <x v="2898"/>
    <n v="3345.85"/>
    <s v="Complete Access"/>
    <x v="562"/>
    <x v="1"/>
    <x v="5"/>
    <d v="1900-01-09T00:00:00"/>
    <n v="11"/>
    <x v="11"/>
    <x v="5"/>
  </r>
  <r>
    <x v="1390"/>
    <n v="-11.17"/>
    <x v="2899"/>
    <n v="3360.85"/>
    <s v="Complete Access"/>
    <x v="16"/>
    <x v="1"/>
    <x v="5"/>
    <d v="1900-01-09T00:00:00"/>
    <n v="11"/>
    <x v="11"/>
    <x v="5"/>
  </r>
  <r>
    <x v="1390"/>
    <n v="-22.75"/>
    <x v="2900"/>
    <n v="3407.01"/>
    <s v="Complete Access"/>
    <x v="177"/>
    <x v="1"/>
    <x v="1"/>
    <d v="1900-01-09T00:00:00"/>
    <n v="11"/>
    <x v="11"/>
    <x v="5"/>
  </r>
  <r>
    <x v="1390"/>
    <n v="-34.99"/>
    <x v="2901"/>
    <n v="3372.02"/>
    <s v="Complete Access"/>
    <x v="587"/>
    <x v="8"/>
    <x v="22"/>
    <d v="1900-01-09T00:00:00"/>
    <n v="11"/>
    <x v="11"/>
    <x v="5"/>
  </r>
  <r>
    <x v="1390"/>
    <n v="-28.99"/>
    <x v="2902"/>
    <n v="3316.86"/>
    <s v="Complete Access"/>
    <x v="44"/>
    <x v="4"/>
    <x v="27"/>
    <d v="1900-01-09T00:00:00"/>
    <n v="11"/>
    <x v="11"/>
    <x v="5"/>
  </r>
  <r>
    <x v="1391"/>
    <n v="-16.600000000000001"/>
    <x v="2903"/>
    <n v="3487.66"/>
    <s v="Complete Access"/>
    <x v="671"/>
    <x v="8"/>
    <x v="29"/>
    <d v="1900-01-08T00:00:00"/>
    <n v="11"/>
    <x v="11"/>
    <x v="5"/>
  </r>
  <r>
    <x v="1391"/>
    <n v="-16.600000000000001"/>
    <x v="2903"/>
    <n v="3504.26"/>
    <s v="Complete Access"/>
    <x v="671"/>
    <x v="8"/>
    <x v="29"/>
    <d v="1900-01-08T00:00:00"/>
    <n v="11"/>
    <x v="11"/>
    <x v="5"/>
  </r>
  <r>
    <x v="1392"/>
    <n v="30"/>
    <x v="2904"/>
    <n v="3520.86"/>
    <s v="Complete Access"/>
    <x v="27"/>
    <x v="1"/>
    <x v="5"/>
    <d v="1900-01-06T00:00:00"/>
    <n v="10"/>
    <x v="11"/>
    <x v="5"/>
  </r>
  <r>
    <x v="1392"/>
    <n v="-100"/>
    <x v="2274"/>
    <n v="3498.46"/>
    <s v="Complete Access"/>
    <x v="552"/>
    <x v="0"/>
    <x v="74"/>
    <d v="1900-01-06T00:00:00"/>
    <n v="10"/>
    <x v="11"/>
    <x v="5"/>
  </r>
  <r>
    <x v="1392"/>
    <n v="-7.6"/>
    <x v="2905"/>
    <n v="3490.86"/>
    <s v="Complete Access"/>
    <x v="580"/>
    <x v="9"/>
    <x v="12"/>
    <d v="1900-01-06T00:00:00"/>
    <n v="10"/>
    <x v="11"/>
    <x v="5"/>
  </r>
  <r>
    <x v="1393"/>
    <n v="57.51"/>
    <x v="2282"/>
    <n v="3713.51"/>
    <s v="Complete Access"/>
    <x v="567"/>
    <x v="0"/>
    <x v="69"/>
    <d v="1900-01-05T00:00:00"/>
    <n v="10"/>
    <x v="11"/>
    <x v="5"/>
  </r>
  <r>
    <x v="1393"/>
    <n v="57.5"/>
    <x v="2556"/>
    <n v="3771.01"/>
    <s v="Complete Access"/>
    <x v="583"/>
    <x v="0"/>
    <x v="69"/>
    <d v="1900-01-05T00:00:00"/>
    <n v="10"/>
    <x v="11"/>
    <x v="5"/>
  </r>
  <r>
    <x v="1393"/>
    <n v="-172.55"/>
    <x v="2906"/>
    <n v="3598.46"/>
    <s v="Complete Access"/>
    <x v="438"/>
    <x v="12"/>
    <x v="21"/>
    <d v="1900-01-05T00:00:00"/>
    <n v="10"/>
    <x v="11"/>
    <x v="5"/>
  </r>
  <r>
    <x v="1393"/>
    <n v="-14"/>
    <x v="2907"/>
    <n v="3656"/>
    <s v="Complete Access"/>
    <x v="277"/>
    <x v="8"/>
    <x v="29"/>
    <d v="1900-01-05T00:00:00"/>
    <n v="10"/>
    <x v="11"/>
    <x v="5"/>
  </r>
  <r>
    <x v="1394"/>
    <n v="2053.4899999999998"/>
    <x v="2293"/>
    <n v="5106"/>
    <s v="Complete Access"/>
    <x v="14"/>
    <x v="6"/>
    <x v="9"/>
    <d v="1900-01-04T00:00:00"/>
    <n v="10"/>
    <x v="11"/>
    <x v="5"/>
  </r>
  <r>
    <x v="1394"/>
    <n v="-500"/>
    <x v="2294"/>
    <n v="4581"/>
    <s v="Complete Access"/>
    <x v="571"/>
    <x v="19"/>
    <x v="61"/>
    <d v="1900-01-04T00:00:00"/>
    <n v="10"/>
    <x v="11"/>
    <x v="5"/>
  </r>
  <r>
    <x v="1394"/>
    <n v="-911"/>
    <x v="2908"/>
    <n v="3670"/>
    <s v="Complete Access"/>
    <x v="0"/>
    <x v="0"/>
    <x v="0"/>
    <d v="1900-01-04T00:00:00"/>
    <n v="10"/>
    <x v="11"/>
    <x v="5"/>
  </r>
  <r>
    <x v="1394"/>
    <n v="-25"/>
    <x v="2909"/>
    <n v="5081"/>
    <s v="Complete Access"/>
    <x v="672"/>
    <x v="8"/>
    <x v="22"/>
    <d v="1900-01-04T00:00:00"/>
    <n v="10"/>
    <x v="11"/>
    <x v="5"/>
  </r>
  <r>
    <x v="1395"/>
    <n v="-4.24"/>
    <x v="2859"/>
    <n v="3057.52"/>
    <s v="Complete Access"/>
    <x v="61"/>
    <x v="1"/>
    <x v="1"/>
    <d v="1900-01-03T00:00:00"/>
    <n v="10"/>
    <x v="11"/>
    <x v="5"/>
  </r>
  <r>
    <x v="1395"/>
    <n v="-51.76"/>
    <x v="2910"/>
    <n v="3061.76"/>
    <s v="Complete Access"/>
    <x v="673"/>
    <x v="8"/>
    <x v="29"/>
    <d v="1900-01-03T00:00:00"/>
    <n v="10"/>
    <x v="11"/>
    <x v="5"/>
  </r>
  <r>
    <x v="1395"/>
    <n v="-18.68"/>
    <x v="2911"/>
    <n v="3158.41"/>
    <s v="Complete Access"/>
    <x v="8"/>
    <x v="1"/>
    <x v="5"/>
    <d v="1900-01-03T00:00:00"/>
    <n v="10"/>
    <x v="11"/>
    <x v="5"/>
  </r>
  <r>
    <x v="1395"/>
    <n v="-44.89"/>
    <x v="2912"/>
    <n v="3113.52"/>
    <s v="Complete Access"/>
    <x v="8"/>
    <x v="1"/>
    <x v="5"/>
    <d v="1900-01-03T00:00:00"/>
    <n v="10"/>
    <x v="11"/>
    <x v="5"/>
  </r>
  <r>
    <x v="1395"/>
    <n v="-11.17"/>
    <x v="2913"/>
    <n v="3177.09"/>
    <s v="Complete Access"/>
    <x v="16"/>
    <x v="1"/>
    <x v="5"/>
    <d v="1900-01-03T00:00:00"/>
    <n v="10"/>
    <x v="11"/>
    <x v="5"/>
  </r>
  <r>
    <x v="1395"/>
    <n v="-5.01"/>
    <x v="2643"/>
    <n v="3052.51"/>
    <s v="Complete Access"/>
    <x v="215"/>
    <x v="1"/>
    <x v="1"/>
    <d v="1900-01-03T00:00:00"/>
    <n v="10"/>
    <x v="11"/>
    <x v="5"/>
  </r>
  <r>
    <x v="1396"/>
    <n v="-1.72"/>
    <x v="2859"/>
    <n v="3225.31"/>
    <s v="Complete Access"/>
    <x v="61"/>
    <x v="1"/>
    <x v="1"/>
    <d v="1900-01-02T00:00:00"/>
    <n v="10"/>
    <x v="11"/>
    <x v="5"/>
  </r>
  <r>
    <x v="1396"/>
    <n v="-21.65"/>
    <x v="2762"/>
    <n v="3188.26"/>
    <s v="Complete Access"/>
    <x v="616"/>
    <x v="1"/>
    <x v="1"/>
    <d v="1900-01-02T00:00:00"/>
    <n v="10"/>
    <x v="11"/>
    <x v="5"/>
  </r>
  <r>
    <x v="1396"/>
    <n v="-15.4"/>
    <x v="2863"/>
    <n v="3209.91"/>
    <s v="Complete Access"/>
    <x v="186"/>
    <x v="1"/>
    <x v="5"/>
    <d v="1900-01-02T00:00:00"/>
    <n v="10"/>
    <x v="11"/>
    <x v="5"/>
  </r>
  <r>
    <x v="1396"/>
    <n v="-29.99"/>
    <x v="2914"/>
    <n v="3227.03"/>
    <s v="Complete Access"/>
    <x v="228"/>
    <x v="4"/>
    <x v="7"/>
    <d v="1900-01-02T00:00:00"/>
    <n v="10"/>
    <x v="11"/>
    <x v="5"/>
  </r>
  <r>
    <x v="1397"/>
    <n v="-10.62"/>
    <x v="2915"/>
    <n v="3429.32"/>
    <s v="Complete Access"/>
    <x v="674"/>
    <x v="8"/>
    <x v="29"/>
    <d v="1900-01-01T00:00:00"/>
    <n v="10"/>
    <x v="11"/>
    <x v="5"/>
  </r>
  <r>
    <x v="1397"/>
    <n v="-6.31"/>
    <x v="2859"/>
    <n v="3447.94"/>
    <s v="Complete Access"/>
    <x v="61"/>
    <x v="1"/>
    <x v="1"/>
    <d v="1900-01-01T00:00:00"/>
    <n v="10"/>
    <x v="11"/>
    <x v="5"/>
  </r>
  <r>
    <x v="1397"/>
    <n v="-8"/>
    <x v="2916"/>
    <n v="3439.94"/>
    <s v="Complete Access"/>
    <x v="675"/>
    <x v="1"/>
    <x v="5"/>
    <d v="1900-01-01T00:00:00"/>
    <n v="10"/>
    <x v="11"/>
    <x v="5"/>
  </r>
  <r>
    <x v="1397"/>
    <n v="-172.3"/>
    <x v="2917"/>
    <n v="3257.02"/>
    <s v="Complete Access"/>
    <x v="76"/>
    <x v="2"/>
    <x v="2"/>
    <d v="1900-01-01T00:00:00"/>
    <n v="10"/>
    <x v="11"/>
    <x v="5"/>
  </r>
  <r>
    <x v="1398"/>
    <n v="-40"/>
    <x v="2918"/>
    <n v="3454.25"/>
    <s v="Complete Access"/>
    <x v="601"/>
    <x v="0"/>
    <x v="0"/>
    <d v="1899-12-31T00:00:00"/>
    <n v="10"/>
    <x v="11"/>
    <x v="5"/>
  </r>
  <r>
    <x v="1398"/>
    <n v="-22"/>
    <x v="2919"/>
    <n v="3494.25"/>
    <s v="Complete Access"/>
    <x v="676"/>
    <x v="1"/>
    <x v="5"/>
    <d v="1899-12-31T00:00:00"/>
    <n v="10"/>
    <x v="11"/>
    <x v="5"/>
  </r>
  <r>
    <x v="1398"/>
    <n v="-20"/>
    <x v="2229"/>
    <n v="3516.25"/>
    <s v="Complete Access"/>
    <x v="557"/>
    <x v="7"/>
    <x v="53"/>
    <d v="1899-12-31T00:00:00"/>
    <n v="10"/>
    <x v="11"/>
    <x v="5"/>
  </r>
  <r>
    <x v="1399"/>
    <n v="-40"/>
    <x v="2920"/>
    <n v="3649.95"/>
    <s v="Complete Access"/>
    <x v="12"/>
    <x v="5"/>
    <x v="8"/>
    <d v="1900-01-28T00:00:00"/>
    <n v="9"/>
    <x v="0"/>
    <x v="5"/>
  </r>
  <r>
    <x v="1399"/>
    <n v="-4.5599999999999996"/>
    <x v="2921"/>
    <n v="3536.25"/>
    <s v="Complete Access"/>
    <x v="677"/>
    <x v="1"/>
    <x v="1"/>
    <d v="1900-01-28T00:00:00"/>
    <n v="9"/>
    <x v="0"/>
    <x v="5"/>
  </r>
  <r>
    <x v="1399"/>
    <n v="-9.14"/>
    <x v="2922"/>
    <n v="3640.81"/>
    <s v="Complete Access"/>
    <x v="16"/>
    <x v="1"/>
    <x v="5"/>
    <d v="1900-01-28T00:00:00"/>
    <n v="9"/>
    <x v="0"/>
    <x v="5"/>
  </r>
  <r>
    <x v="1399"/>
    <n v="-100"/>
    <x v="2274"/>
    <n v="3540.81"/>
    <s v="Complete Access"/>
    <x v="552"/>
    <x v="0"/>
    <x v="74"/>
    <d v="1900-01-28T00:00:00"/>
    <n v="9"/>
    <x v="0"/>
    <x v="5"/>
  </r>
  <r>
    <x v="1400"/>
    <n v="-5.96"/>
    <x v="2859"/>
    <n v="3705.74"/>
    <s v="Complete Access"/>
    <x v="61"/>
    <x v="1"/>
    <x v="1"/>
    <d v="1900-01-27T00:00:00"/>
    <n v="9"/>
    <x v="0"/>
    <x v="5"/>
  </r>
  <r>
    <x v="1400"/>
    <n v="-23.49"/>
    <x v="2923"/>
    <n v="3821.7"/>
    <s v="Complete Access"/>
    <x v="8"/>
    <x v="1"/>
    <x v="5"/>
    <d v="1900-01-27T00:00:00"/>
    <n v="9"/>
    <x v="0"/>
    <x v="5"/>
  </r>
  <r>
    <x v="1400"/>
    <n v="-110"/>
    <x v="2924"/>
    <n v="3711.7"/>
    <s v="Complete Access"/>
    <x v="160"/>
    <x v="17"/>
    <x v="43"/>
    <d v="1900-01-27T00:00:00"/>
    <n v="9"/>
    <x v="0"/>
    <x v="5"/>
  </r>
  <r>
    <x v="1400"/>
    <n v="-7.79"/>
    <x v="2643"/>
    <n v="3689.95"/>
    <s v="Complete Access"/>
    <x v="215"/>
    <x v="1"/>
    <x v="1"/>
    <d v="1900-01-27T00:00:00"/>
    <n v="9"/>
    <x v="0"/>
    <x v="5"/>
  </r>
  <r>
    <x v="1400"/>
    <n v="-8"/>
    <x v="2925"/>
    <n v="3697.74"/>
    <s v="Complete Access"/>
    <x v="678"/>
    <x v="20"/>
    <x v="63"/>
    <d v="1900-01-27T00:00:00"/>
    <n v="9"/>
    <x v="0"/>
    <x v="5"/>
  </r>
  <r>
    <x v="1401"/>
    <n v="-11.17"/>
    <x v="2926"/>
    <n v="4145.1899999999996"/>
    <s v="Complete Access"/>
    <x v="16"/>
    <x v="1"/>
    <x v="5"/>
    <d v="1900-01-26T00:00:00"/>
    <n v="9"/>
    <x v="0"/>
    <x v="5"/>
  </r>
  <r>
    <x v="1401"/>
    <n v="-9.99"/>
    <x v="2927"/>
    <n v="4190.07"/>
    <s v="Complete Access"/>
    <x v="373"/>
    <x v="8"/>
    <x v="7"/>
    <d v="1900-01-26T00:00:00"/>
    <n v="9"/>
    <x v="0"/>
    <x v="5"/>
  </r>
  <r>
    <x v="1401"/>
    <n v="300"/>
    <x v="2928"/>
    <n v="4145.1899999999996"/>
    <s v="Complete Access"/>
    <x v="679"/>
    <x v="0"/>
    <x v="69"/>
    <d v="1900-01-26T00:00:00"/>
    <n v="9"/>
    <x v="0"/>
    <x v="5"/>
  </r>
  <r>
    <x v="1401"/>
    <n v="-300"/>
    <x v="2929"/>
    <n v="3845.19"/>
    <s v="Complete Access"/>
    <x v="645"/>
    <x v="0"/>
    <x v="69"/>
    <d v="1900-01-26T00:00:00"/>
    <n v="9"/>
    <x v="0"/>
    <x v="5"/>
  </r>
  <r>
    <x v="1401"/>
    <n v="-33.71"/>
    <x v="2930"/>
    <n v="4156.3599999999997"/>
    <s v="Complete Access"/>
    <x v="237"/>
    <x v="15"/>
    <x v="34"/>
    <d v="1900-01-26T00:00:00"/>
    <n v="9"/>
    <x v="0"/>
    <x v="5"/>
  </r>
  <r>
    <x v="1401"/>
    <n v="-300"/>
    <x v="2931"/>
    <n v="3845.19"/>
    <s v="Complete Access"/>
    <x v="0"/>
    <x v="0"/>
    <x v="0"/>
    <d v="1900-01-26T00:00:00"/>
    <n v="9"/>
    <x v="0"/>
    <x v="5"/>
  </r>
  <r>
    <x v="1402"/>
    <n v="-75.989999999999995"/>
    <x v="2932"/>
    <n v="4261.3100000000004"/>
    <s v="Complete Access"/>
    <x v="8"/>
    <x v="1"/>
    <x v="5"/>
    <d v="1900-01-25T00:00:00"/>
    <n v="9"/>
    <x v="0"/>
    <x v="5"/>
  </r>
  <r>
    <x v="1402"/>
    <n v="-17.5"/>
    <x v="2933"/>
    <n v="4337.3"/>
    <s v="Complete Access"/>
    <x v="593"/>
    <x v="1"/>
    <x v="5"/>
    <d v="1900-01-25T00:00:00"/>
    <n v="9"/>
    <x v="0"/>
    <x v="5"/>
  </r>
  <r>
    <x v="1402"/>
    <n v="-17.13"/>
    <x v="2688"/>
    <n v="4200.0600000000004"/>
    <s v="Complete Access"/>
    <x v="177"/>
    <x v="1"/>
    <x v="1"/>
    <d v="1900-01-25T00:00:00"/>
    <n v="9"/>
    <x v="0"/>
    <x v="5"/>
  </r>
  <r>
    <x v="1402"/>
    <n v="-9.9"/>
    <x v="2863"/>
    <n v="4217.1899999999996"/>
    <s v="Complete Access"/>
    <x v="186"/>
    <x v="1"/>
    <x v="5"/>
    <d v="1900-01-25T00:00:00"/>
    <n v="9"/>
    <x v="0"/>
    <x v="5"/>
  </r>
  <r>
    <x v="1402"/>
    <n v="-34.22"/>
    <x v="2934"/>
    <n v="4227.09"/>
    <s v="Complete Access"/>
    <x v="34"/>
    <x v="9"/>
    <x v="12"/>
    <d v="1900-01-25T00:00:00"/>
    <n v="9"/>
    <x v="0"/>
    <x v="5"/>
  </r>
  <r>
    <x v="1403"/>
    <n v="-40"/>
    <x v="2935"/>
    <n v="4354.8"/>
    <s v="Complete Access"/>
    <x v="12"/>
    <x v="5"/>
    <x v="8"/>
    <d v="1900-01-24T00:00:00"/>
    <n v="9"/>
    <x v="0"/>
    <x v="5"/>
  </r>
  <r>
    <x v="1404"/>
    <n v="-2.5"/>
    <x v="2859"/>
    <n v="4435.29"/>
    <s v="Complete Access"/>
    <x v="61"/>
    <x v="1"/>
    <x v="1"/>
    <d v="1900-01-23T00:00:00"/>
    <n v="9"/>
    <x v="0"/>
    <x v="5"/>
  </r>
  <r>
    <x v="1404"/>
    <n v="-1.75"/>
    <x v="2859"/>
    <n v="4437.79"/>
    <s v="Complete Access"/>
    <x v="61"/>
    <x v="1"/>
    <x v="1"/>
    <d v="1900-01-23T00:00:00"/>
    <n v="9"/>
    <x v="0"/>
    <x v="5"/>
  </r>
  <r>
    <x v="1404"/>
    <n v="-20.49"/>
    <x v="2643"/>
    <n v="4394.8"/>
    <s v="Complete Access"/>
    <x v="215"/>
    <x v="1"/>
    <x v="1"/>
    <d v="1900-01-23T00:00:00"/>
    <n v="9"/>
    <x v="0"/>
    <x v="5"/>
  </r>
  <r>
    <x v="1404"/>
    <n v="-20"/>
    <x v="2936"/>
    <n v="4415.29"/>
    <s v="Complete Access"/>
    <x v="680"/>
    <x v="1"/>
    <x v="5"/>
    <d v="1900-01-23T00:00:00"/>
    <n v="9"/>
    <x v="0"/>
    <x v="5"/>
  </r>
  <r>
    <x v="1405"/>
    <n v="55"/>
    <x v="2937"/>
    <n v="4439.54"/>
    <s v="Complete Access"/>
    <x v="567"/>
    <x v="0"/>
    <x v="69"/>
    <d v="1900-01-22T00:00:00"/>
    <n v="9"/>
    <x v="0"/>
    <x v="5"/>
  </r>
  <r>
    <x v="1406"/>
    <n v="-6.09"/>
    <x v="2938"/>
    <n v="4692.75"/>
    <s v="Complete Access"/>
    <x v="16"/>
    <x v="1"/>
    <x v="5"/>
    <d v="1900-01-21T00:00:00"/>
    <n v="8"/>
    <x v="0"/>
    <x v="5"/>
  </r>
  <r>
    <x v="1406"/>
    <n v="-6.65"/>
    <x v="2643"/>
    <n v="4384.54"/>
    <s v="Complete Access"/>
    <x v="215"/>
    <x v="1"/>
    <x v="1"/>
    <d v="1900-01-21T00:00:00"/>
    <n v="8"/>
    <x v="0"/>
    <x v="5"/>
  </r>
  <r>
    <x v="1406"/>
    <n v="-19.489999999999998"/>
    <x v="2874"/>
    <n v="4434.2700000000004"/>
    <s v="Complete Access"/>
    <x v="663"/>
    <x v="1"/>
    <x v="1"/>
    <d v="1900-01-21T00:00:00"/>
    <n v="8"/>
    <x v="0"/>
    <x v="5"/>
  </r>
  <r>
    <x v="1406"/>
    <n v="-100"/>
    <x v="2274"/>
    <n v="4536.76"/>
    <s v="Complete Access"/>
    <x v="552"/>
    <x v="0"/>
    <x v="74"/>
    <d v="1900-01-21T00:00:00"/>
    <n v="8"/>
    <x v="0"/>
    <x v="5"/>
  </r>
  <r>
    <x v="1406"/>
    <n v="-43.08"/>
    <x v="2756"/>
    <n v="4391.1899999999996"/>
    <s v="Complete Access"/>
    <x v="177"/>
    <x v="1"/>
    <x v="1"/>
    <d v="1900-01-21T00:00:00"/>
    <n v="8"/>
    <x v="0"/>
    <x v="5"/>
  </r>
  <r>
    <x v="1406"/>
    <n v="-55.99"/>
    <x v="2939"/>
    <n v="4636.76"/>
    <s v="Complete Access"/>
    <x v="222"/>
    <x v="11"/>
    <x v="14"/>
    <d v="1900-01-21T00:00:00"/>
    <n v="8"/>
    <x v="0"/>
    <x v="5"/>
  </r>
  <r>
    <x v="1406"/>
    <n v="-83"/>
    <x v="2700"/>
    <n v="4453.76"/>
    <s v="Complete Access"/>
    <x v="243"/>
    <x v="1"/>
    <x v="23"/>
    <d v="1900-01-21T00:00:00"/>
    <n v="8"/>
    <x v="0"/>
    <x v="5"/>
  </r>
  <r>
    <x v="1407"/>
    <n v="-4"/>
    <x v="2859"/>
    <n v="4667.0200000000004"/>
    <s v="Complete Access"/>
    <x v="61"/>
    <x v="1"/>
    <x v="1"/>
    <d v="1900-01-20T00:00:00"/>
    <n v="8"/>
    <x v="0"/>
    <x v="5"/>
  </r>
  <r>
    <x v="1407"/>
    <n v="50"/>
    <x v="2940"/>
    <n v="4717.0200000000004"/>
    <s v="Complete Access"/>
    <x v="567"/>
    <x v="0"/>
    <x v="69"/>
    <d v="1900-01-20T00:00:00"/>
    <n v="8"/>
    <x v="0"/>
    <x v="5"/>
  </r>
  <r>
    <x v="1407"/>
    <n v="1.35"/>
    <x v="2941"/>
    <n v="4691.3"/>
    <s v="Complete Access"/>
    <x v="6"/>
    <x v="4"/>
    <x v="4"/>
    <d v="1900-01-20T00:00:00"/>
    <n v="8"/>
    <x v="0"/>
    <x v="5"/>
  </r>
  <r>
    <x v="1407"/>
    <n v="7.54"/>
    <x v="2702"/>
    <n v="4698.84"/>
    <s v="Complete Access"/>
    <x v="6"/>
    <x v="4"/>
    <x v="4"/>
    <d v="1900-01-20T00:00:00"/>
    <n v="8"/>
    <x v="0"/>
    <x v="5"/>
  </r>
  <r>
    <x v="1407"/>
    <n v="-18.18"/>
    <x v="2942"/>
    <n v="4689.95"/>
    <s v="Complete Access"/>
    <x v="681"/>
    <x v="1"/>
    <x v="5"/>
    <d v="1900-01-20T00:00:00"/>
    <n v="8"/>
    <x v="0"/>
    <x v="5"/>
  </r>
  <r>
    <x v="1407"/>
    <n v="-8.89"/>
    <x v="2942"/>
    <n v="4708.13"/>
    <s v="Complete Access"/>
    <x v="681"/>
    <x v="1"/>
    <x v="5"/>
    <d v="1900-01-20T00:00:00"/>
    <n v="8"/>
    <x v="0"/>
    <x v="5"/>
  </r>
  <r>
    <x v="1408"/>
    <n v="2053.4899999999998"/>
    <x v="2943"/>
    <n v="5210.04"/>
    <s v="Complete Access"/>
    <x v="14"/>
    <x v="6"/>
    <x v="9"/>
    <d v="1900-01-19T00:00:00"/>
    <n v="8"/>
    <x v="0"/>
    <x v="5"/>
  </r>
  <r>
    <x v="1408"/>
    <n v="-500"/>
    <x v="2294"/>
    <n v="4676.0200000000004"/>
    <s v="Complete Access"/>
    <x v="571"/>
    <x v="19"/>
    <x v="61"/>
    <d v="1900-01-19T00:00:00"/>
    <n v="8"/>
    <x v="0"/>
    <x v="5"/>
  </r>
  <r>
    <x v="1408"/>
    <n v="-6.09"/>
    <x v="2944"/>
    <n v="5176.0200000000004"/>
    <s v="Complete Access"/>
    <x v="16"/>
    <x v="1"/>
    <x v="5"/>
    <d v="1900-01-19T00:00:00"/>
    <n v="8"/>
    <x v="0"/>
    <x v="5"/>
  </r>
  <r>
    <x v="1408"/>
    <n v="-27.93"/>
    <x v="2945"/>
    <n v="5182.1099999999997"/>
    <s v="Complete Access"/>
    <x v="668"/>
    <x v="15"/>
    <x v="34"/>
    <d v="1900-01-19T00:00:00"/>
    <n v="8"/>
    <x v="0"/>
    <x v="5"/>
  </r>
  <r>
    <x v="1408"/>
    <n v="-5"/>
    <x v="2643"/>
    <n v="4671.0200000000004"/>
    <s v="Complete Access"/>
    <x v="215"/>
    <x v="1"/>
    <x v="1"/>
    <d v="1900-01-19T00:00:00"/>
    <n v="8"/>
    <x v="0"/>
    <x v="5"/>
  </r>
  <r>
    <x v="1409"/>
    <n v="-0.93"/>
    <x v="2859"/>
    <n v="3171.55"/>
    <s v="Complete Access"/>
    <x v="61"/>
    <x v="1"/>
    <x v="1"/>
    <d v="1900-01-18T00:00:00"/>
    <n v="8"/>
    <x v="0"/>
    <x v="5"/>
  </r>
  <r>
    <x v="1409"/>
    <n v="-25.15"/>
    <x v="2946"/>
    <n v="3220.55"/>
    <s v="Complete Access"/>
    <x v="106"/>
    <x v="5"/>
    <x v="41"/>
    <d v="1900-01-18T00:00:00"/>
    <n v="8"/>
    <x v="0"/>
    <x v="5"/>
  </r>
  <r>
    <x v="1409"/>
    <n v="-20.99"/>
    <x v="2947"/>
    <n v="3178.57"/>
    <s v="Complete Access"/>
    <x v="8"/>
    <x v="1"/>
    <x v="5"/>
    <d v="1900-01-18T00:00:00"/>
    <n v="8"/>
    <x v="0"/>
    <x v="5"/>
  </r>
  <r>
    <x v="1409"/>
    <n v="-20.99"/>
    <x v="2947"/>
    <n v="3199.56"/>
    <s v="Complete Access"/>
    <x v="8"/>
    <x v="1"/>
    <x v="5"/>
    <d v="1900-01-18T00:00:00"/>
    <n v="8"/>
    <x v="0"/>
    <x v="5"/>
  </r>
  <r>
    <x v="1409"/>
    <n v="-15"/>
    <x v="2948"/>
    <n v="3156.55"/>
    <s v="Complete Access"/>
    <x v="562"/>
    <x v="1"/>
    <x v="5"/>
    <d v="1900-01-18T00:00:00"/>
    <n v="8"/>
    <x v="0"/>
    <x v="5"/>
  </r>
  <r>
    <x v="1409"/>
    <n v="-6.09"/>
    <x v="2949"/>
    <n v="3172.48"/>
    <s v="Complete Access"/>
    <x v="16"/>
    <x v="1"/>
    <x v="5"/>
    <d v="1900-01-18T00:00:00"/>
    <n v="8"/>
    <x v="0"/>
    <x v="5"/>
  </r>
  <r>
    <x v="1410"/>
    <n v="-40"/>
    <x v="2950"/>
    <n v="3537.26"/>
    <s v="Complete Access"/>
    <x v="12"/>
    <x v="5"/>
    <x v="8"/>
    <d v="1900-01-17T00:00:00"/>
    <n v="8"/>
    <x v="0"/>
    <x v="5"/>
  </r>
  <r>
    <x v="1410"/>
    <n v="-11.17"/>
    <x v="2951"/>
    <n v="3526.09"/>
    <s v="Complete Access"/>
    <x v="16"/>
    <x v="1"/>
    <x v="5"/>
    <d v="1900-01-17T00:00:00"/>
    <n v="8"/>
    <x v="0"/>
    <x v="5"/>
  </r>
  <r>
    <x v="1410"/>
    <n v="-30.39"/>
    <x v="2688"/>
    <n v="3245.7"/>
    <s v="Complete Access"/>
    <x v="177"/>
    <x v="1"/>
    <x v="1"/>
    <d v="1900-01-17T00:00:00"/>
    <n v="8"/>
    <x v="0"/>
    <x v="5"/>
  </r>
  <r>
    <x v="1410"/>
    <n v="-250"/>
    <x v="2952"/>
    <n v="3276.09"/>
    <s v="Complete Access"/>
    <x v="0"/>
    <x v="0"/>
    <x v="0"/>
    <d v="1900-01-17T00:00:00"/>
    <n v="8"/>
    <x v="0"/>
    <x v="5"/>
  </r>
  <r>
    <x v="1411"/>
    <n v="-250"/>
    <x v="2953"/>
    <n v="3577.26"/>
    <s v="Complete Access"/>
    <x v="265"/>
    <x v="8"/>
    <x v="22"/>
    <d v="1900-01-16T00:00:00"/>
    <n v="8"/>
    <x v="0"/>
    <x v="5"/>
  </r>
  <r>
    <x v="1411"/>
    <n v="-5.87"/>
    <x v="2859"/>
    <n v="4830.96"/>
    <s v="Complete Access"/>
    <x v="61"/>
    <x v="1"/>
    <x v="1"/>
    <d v="1900-01-16T00:00:00"/>
    <n v="8"/>
    <x v="0"/>
    <x v="5"/>
  </r>
  <r>
    <x v="1411"/>
    <n v="-3.7"/>
    <x v="2916"/>
    <n v="3827.26"/>
    <s v="Complete Access"/>
    <x v="675"/>
    <x v="1"/>
    <x v="5"/>
    <d v="1900-01-16T00:00:00"/>
    <n v="8"/>
    <x v="0"/>
    <x v="5"/>
  </r>
  <r>
    <x v="1411"/>
    <n v="-1000"/>
    <x v="2954"/>
    <n v="3830.96"/>
    <s v="Complete Access"/>
    <x v="504"/>
    <x v="0"/>
    <x v="72"/>
    <d v="1900-01-16T00:00:00"/>
    <n v="8"/>
    <x v="0"/>
    <x v="5"/>
  </r>
  <r>
    <x v="1412"/>
    <n v="300"/>
    <x v="2955"/>
    <n v="4836.83"/>
    <s v="Complete Access"/>
    <x v="645"/>
    <x v="0"/>
    <x v="69"/>
    <d v="1900-01-15T00:00:00"/>
    <n v="8"/>
    <x v="0"/>
    <x v="5"/>
  </r>
  <r>
    <x v="1413"/>
    <n v="-250"/>
    <x v="2956"/>
    <n v="4588.83"/>
    <s v="Complete Access"/>
    <x v="601"/>
    <x v="0"/>
    <x v="0"/>
    <d v="1900-01-14T00:00:00"/>
    <n v="7"/>
    <x v="0"/>
    <x v="5"/>
  </r>
  <r>
    <x v="1413"/>
    <n v="-10.5"/>
    <x v="2957"/>
    <n v="4970.83"/>
    <s v="Complete Access"/>
    <x v="682"/>
    <x v="1"/>
    <x v="5"/>
    <d v="1900-01-14T00:00:00"/>
    <n v="7"/>
    <x v="0"/>
    <x v="5"/>
  </r>
  <r>
    <x v="1413"/>
    <n v="-26.5"/>
    <x v="2958"/>
    <n v="4536.83"/>
    <s v="Complete Access"/>
    <x v="683"/>
    <x v="1"/>
    <x v="5"/>
    <d v="1900-01-14T00:00:00"/>
    <n v="7"/>
    <x v="0"/>
    <x v="5"/>
  </r>
  <r>
    <x v="1413"/>
    <n v="-25.5"/>
    <x v="2958"/>
    <n v="4563.33"/>
    <s v="Complete Access"/>
    <x v="683"/>
    <x v="1"/>
    <x v="5"/>
    <d v="1900-01-14T00:00:00"/>
    <n v="7"/>
    <x v="0"/>
    <x v="5"/>
  </r>
  <r>
    <x v="1413"/>
    <n v="-100"/>
    <x v="2274"/>
    <n v="4870.83"/>
    <s v="Complete Access"/>
    <x v="552"/>
    <x v="0"/>
    <x v="74"/>
    <d v="1900-01-14T00:00:00"/>
    <n v="7"/>
    <x v="0"/>
    <x v="5"/>
  </r>
  <r>
    <x v="1413"/>
    <n v="-32"/>
    <x v="2700"/>
    <n v="4838.83"/>
    <s v="Complete Access"/>
    <x v="243"/>
    <x v="1"/>
    <x v="23"/>
    <d v="1900-01-14T00:00:00"/>
    <n v="7"/>
    <x v="0"/>
    <x v="5"/>
  </r>
  <r>
    <x v="1414"/>
    <n v="-29"/>
    <x v="2959"/>
    <n v="6018.43"/>
    <s v="Complete Access"/>
    <x v="347"/>
    <x v="3"/>
    <x v="62"/>
    <d v="1900-01-13T00:00:00"/>
    <n v="7"/>
    <x v="0"/>
    <x v="5"/>
  </r>
  <r>
    <x v="1414"/>
    <n v="-1000"/>
    <x v="2954"/>
    <n v="4981.33"/>
    <s v="Complete Access"/>
    <x v="504"/>
    <x v="0"/>
    <x v="72"/>
    <d v="1900-01-13T00:00:00"/>
    <n v="7"/>
    <x v="0"/>
    <x v="5"/>
  </r>
  <r>
    <x v="1414"/>
    <n v="-37.1"/>
    <x v="2960"/>
    <n v="5981.33"/>
    <s v="Complete Access"/>
    <x v="34"/>
    <x v="9"/>
    <x v="12"/>
    <d v="1900-01-13T00:00:00"/>
    <n v="7"/>
    <x v="0"/>
    <x v="5"/>
  </r>
  <r>
    <x v="1415"/>
    <n v="-3"/>
    <x v="2961"/>
    <n v="6058.43"/>
    <s v="Complete Access"/>
    <x v="8"/>
    <x v="1"/>
    <x v="5"/>
    <d v="1900-01-12T00:00:00"/>
    <n v="7"/>
    <x v="0"/>
    <x v="5"/>
  </r>
  <r>
    <x v="1415"/>
    <n v="7.9"/>
    <x v="2962"/>
    <n v="6084.42"/>
    <s v="Complete Access"/>
    <x v="8"/>
    <x v="1"/>
    <x v="5"/>
    <d v="1900-01-12T00:00:00"/>
    <n v="7"/>
    <x v="0"/>
    <x v="5"/>
  </r>
  <r>
    <x v="1415"/>
    <n v="-22.99"/>
    <x v="2963"/>
    <n v="6061.43"/>
    <s v="Complete Access"/>
    <x v="684"/>
    <x v="3"/>
    <x v="60"/>
    <d v="1900-01-12T00:00:00"/>
    <n v="7"/>
    <x v="0"/>
    <x v="5"/>
  </r>
  <r>
    <x v="1415"/>
    <n v="-11"/>
    <x v="2964"/>
    <n v="6047.43"/>
    <s v="Complete Access"/>
    <x v="662"/>
    <x v="1"/>
    <x v="5"/>
    <d v="1900-01-12T00:00:00"/>
    <n v="7"/>
    <x v="0"/>
    <x v="5"/>
  </r>
  <r>
    <x v="1416"/>
    <n v="-1.89"/>
    <x v="2859"/>
    <n v="6143.51"/>
    <s v="Complete Access"/>
    <x v="61"/>
    <x v="1"/>
    <x v="1"/>
    <d v="1900-01-11T00:00:00"/>
    <n v="7"/>
    <x v="0"/>
    <x v="5"/>
  </r>
  <r>
    <x v="1416"/>
    <n v="-29"/>
    <x v="2961"/>
    <n v="6154.3"/>
    <s v="Complete Access"/>
    <x v="8"/>
    <x v="1"/>
    <x v="5"/>
    <d v="1900-01-11T00:00:00"/>
    <n v="7"/>
    <x v="0"/>
    <x v="5"/>
  </r>
  <r>
    <x v="1416"/>
    <n v="-45.74"/>
    <x v="2961"/>
    <n v="6183.3"/>
    <s v="Complete Access"/>
    <x v="8"/>
    <x v="1"/>
    <x v="5"/>
    <d v="1900-01-11T00:00:00"/>
    <n v="7"/>
    <x v="0"/>
    <x v="5"/>
  </r>
  <r>
    <x v="1416"/>
    <n v="-40"/>
    <x v="2965"/>
    <n v="6229.04"/>
    <s v="Complete Access"/>
    <x v="12"/>
    <x v="5"/>
    <x v="8"/>
    <d v="1900-01-11T00:00:00"/>
    <n v="7"/>
    <x v="0"/>
    <x v="5"/>
  </r>
  <r>
    <x v="1416"/>
    <n v="-66.989999999999995"/>
    <x v="2756"/>
    <n v="6076.52"/>
    <s v="Complete Access"/>
    <x v="177"/>
    <x v="1"/>
    <x v="1"/>
    <d v="1900-01-11T00:00:00"/>
    <n v="7"/>
    <x v="0"/>
    <x v="5"/>
  </r>
  <r>
    <x v="1416"/>
    <n v="-8.9"/>
    <x v="2966"/>
    <n v="6145.4"/>
    <s v="Complete Access"/>
    <x v="277"/>
    <x v="8"/>
    <x v="29"/>
    <d v="1900-01-11T00:00:00"/>
    <n v="7"/>
    <x v="0"/>
    <x v="5"/>
  </r>
  <r>
    <x v="1417"/>
    <n v="-30.89"/>
    <x v="2967"/>
    <n v="6512.75"/>
    <s v="Complete Access"/>
    <x v="8"/>
    <x v="1"/>
    <x v="5"/>
    <d v="1900-01-10T00:00:00"/>
    <n v="7"/>
    <x v="0"/>
    <x v="5"/>
  </r>
  <r>
    <x v="1417"/>
    <n v="-21"/>
    <x v="2967"/>
    <n v="6543.64"/>
    <s v="Complete Access"/>
    <x v="8"/>
    <x v="1"/>
    <x v="5"/>
    <d v="1900-01-10T00:00:00"/>
    <n v="7"/>
    <x v="0"/>
    <x v="5"/>
  </r>
  <r>
    <x v="1417"/>
    <n v="-8.3000000000000007"/>
    <x v="2968"/>
    <n v="6318.4"/>
    <s v="Complete Access"/>
    <x v="682"/>
    <x v="1"/>
    <x v="5"/>
    <d v="1900-01-10T00:00:00"/>
    <n v="7"/>
    <x v="0"/>
    <x v="5"/>
  </r>
  <r>
    <x v="1417"/>
    <n v="-186.05"/>
    <x v="2969"/>
    <n v="6326.7"/>
    <s v="Complete Access"/>
    <x v="438"/>
    <x v="12"/>
    <x v="21"/>
    <d v="1900-01-10T00:00:00"/>
    <n v="7"/>
    <x v="0"/>
    <x v="5"/>
  </r>
  <r>
    <x v="1417"/>
    <n v="-29.93"/>
    <x v="2643"/>
    <n v="6288.47"/>
    <s v="Complete Access"/>
    <x v="215"/>
    <x v="1"/>
    <x v="1"/>
    <d v="1900-01-10T00:00:00"/>
    <n v="7"/>
    <x v="0"/>
    <x v="5"/>
  </r>
  <r>
    <x v="1417"/>
    <n v="62"/>
    <x v="2282"/>
    <n v="6269.04"/>
    <s v="Complete Access"/>
    <x v="567"/>
    <x v="0"/>
    <x v="69"/>
    <d v="1900-01-10T00:00:00"/>
    <n v="7"/>
    <x v="0"/>
    <x v="5"/>
  </r>
  <r>
    <x v="1417"/>
    <n v="-81.430000000000007"/>
    <x v="2543"/>
    <n v="6207.04"/>
    <s v="Complete Access"/>
    <x v="17"/>
    <x v="7"/>
    <x v="11"/>
    <d v="1900-01-10T00:00:00"/>
    <n v="7"/>
    <x v="0"/>
    <x v="5"/>
  </r>
  <r>
    <x v="1418"/>
    <n v="-4.75"/>
    <x v="2859"/>
    <n v="6580.73"/>
    <s v="Complete Access"/>
    <x v="61"/>
    <x v="1"/>
    <x v="1"/>
    <d v="1900-01-09T00:00:00"/>
    <n v="7"/>
    <x v="0"/>
    <x v="5"/>
  </r>
  <r>
    <x v="1418"/>
    <n v="-16.09"/>
    <x v="2643"/>
    <n v="6564.64"/>
    <s v="Complete Access"/>
    <x v="215"/>
    <x v="1"/>
    <x v="1"/>
    <d v="1900-01-09T00:00:00"/>
    <n v="7"/>
    <x v="0"/>
    <x v="5"/>
  </r>
  <r>
    <x v="1419"/>
    <n v="-100"/>
    <x v="2274"/>
    <n v="6585.48"/>
    <s v="Complete Access"/>
    <x v="552"/>
    <x v="0"/>
    <x v="74"/>
    <d v="1900-01-07T00:00:00"/>
    <n v="6"/>
    <x v="0"/>
    <x v="5"/>
  </r>
  <r>
    <x v="1420"/>
    <n v="-20"/>
    <x v="2970"/>
    <n v="6712.48"/>
    <s v="Complete Access"/>
    <x v="601"/>
    <x v="0"/>
    <x v="0"/>
    <d v="1900-01-06T00:00:00"/>
    <n v="6"/>
    <x v="0"/>
    <x v="5"/>
  </r>
  <r>
    <x v="1420"/>
    <n v="-27"/>
    <x v="2971"/>
    <n v="6685.48"/>
    <s v="Complete Access"/>
    <x v="0"/>
    <x v="0"/>
    <x v="0"/>
    <d v="1900-01-06T00:00:00"/>
    <n v="6"/>
    <x v="0"/>
    <x v="5"/>
  </r>
  <r>
    <x v="1421"/>
    <n v="-40"/>
    <x v="2972"/>
    <n v="8239.4699999999993"/>
    <s v="Complete Access"/>
    <x v="12"/>
    <x v="5"/>
    <x v="8"/>
    <d v="1900-01-05T00:00:00"/>
    <n v="6"/>
    <x v="0"/>
    <x v="5"/>
  </r>
  <r>
    <x v="1421"/>
    <n v="2053.4899999999998"/>
    <x v="2734"/>
    <n v="8779.4699999999993"/>
    <s v="Complete Access"/>
    <x v="14"/>
    <x v="6"/>
    <x v="9"/>
    <d v="1900-01-05T00:00:00"/>
    <n v="6"/>
    <x v="0"/>
    <x v="5"/>
  </r>
  <r>
    <x v="1421"/>
    <n v="-500"/>
    <x v="2294"/>
    <n v="8279.4699999999993"/>
    <s v="Complete Access"/>
    <x v="571"/>
    <x v="19"/>
    <x v="61"/>
    <d v="1900-01-05T00:00:00"/>
    <n v="6"/>
    <x v="0"/>
    <x v="5"/>
  </r>
  <r>
    <x v="1421"/>
    <n v="-1500"/>
    <x v="2954"/>
    <n v="6732.48"/>
    <s v="Complete Access"/>
    <x v="504"/>
    <x v="0"/>
    <x v="72"/>
    <d v="1900-01-05T00:00:00"/>
    <n v="6"/>
    <x v="0"/>
    <x v="5"/>
  </r>
  <r>
    <x v="1421"/>
    <n v="-6.99"/>
    <x v="2973"/>
    <n v="8232.48"/>
    <s v="Complete Access"/>
    <x v="587"/>
    <x v="8"/>
    <x v="22"/>
    <d v="1900-01-05T00:00:00"/>
    <n v="6"/>
    <x v="0"/>
    <x v="5"/>
  </r>
  <r>
    <x v="1422"/>
    <n v="-1.22"/>
    <x v="2859"/>
    <n v="6742.14"/>
    <s v="Complete Access"/>
    <x v="61"/>
    <x v="1"/>
    <x v="1"/>
    <d v="1900-01-04T00:00:00"/>
    <n v="6"/>
    <x v="0"/>
    <x v="5"/>
  </r>
  <r>
    <x v="1422"/>
    <n v="-21.49"/>
    <x v="2974"/>
    <n v="6804.35"/>
    <s v="Complete Access"/>
    <x v="8"/>
    <x v="1"/>
    <x v="5"/>
    <d v="1900-01-04T00:00:00"/>
    <n v="6"/>
    <x v="0"/>
    <x v="5"/>
  </r>
  <r>
    <x v="1422"/>
    <n v="-23.99"/>
    <x v="2975"/>
    <n v="6743.36"/>
    <s v="Complete Access"/>
    <x v="8"/>
    <x v="1"/>
    <x v="5"/>
    <d v="1900-01-04T00:00:00"/>
    <n v="6"/>
    <x v="0"/>
    <x v="5"/>
  </r>
  <r>
    <x v="1422"/>
    <n v="-37"/>
    <x v="2976"/>
    <n v="6767.35"/>
    <s v="Complete Access"/>
    <x v="8"/>
    <x v="1"/>
    <x v="5"/>
    <d v="1900-01-04T00:00:00"/>
    <n v="6"/>
    <x v="0"/>
    <x v="5"/>
  </r>
  <r>
    <x v="1422"/>
    <n v="-16.16"/>
    <x v="2643"/>
    <n v="6725.98"/>
    <s v="Complete Access"/>
    <x v="215"/>
    <x v="1"/>
    <x v="1"/>
    <d v="1900-01-04T00:00:00"/>
    <n v="6"/>
    <x v="0"/>
    <x v="5"/>
  </r>
  <r>
    <x v="1423"/>
    <n v="-4.63"/>
    <x v="2859"/>
    <n v="6595.04"/>
    <s v="Complete Access"/>
    <x v="61"/>
    <x v="1"/>
    <x v="1"/>
    <d v="1900-01-03T00:00:00"/>
    <n v="6"/>
    <x v="0"/>
    <x v="5"/>
  </r>
  <r>
    <x v="1423"/>
    <n v="250"/>
    <x v="2977"/>
    <n v="6828.34"/>
    <s v="Complete Access"/>
    <x v="645"/>
    <x v="0"/>
    <x v="69"/>
    <d v="1900-01-03T00:00:00"/>
    <n v="6"/>
    <x v="0"/>
    <x v="5"/>
  </r>
  <r>
    <x v="1423"/>
    <n v="-8.5"/>
    <x v="2863"/>
    <n v="6578.34"/>
    <s v="Complete Access"/>
    <x v="186"/>
    <x v="1"/>
    <x v="5"/>
    <d v="1900-01-03T00:00:00"/>
    <n v="6"/>
    <x v="0"/>
    <x v="5"/>
  </r>
  <r>
    <x v="1423"/>
    <n v="-8.1999999999999993"/>
    <x v="2978"/>
    <n v="6586.84"/>
    <s v="Complete Access"/>
    <x v="277"/>
    <x v="8"/>
    <x v="29"/>
    <d v="1900-01-03T00:00:00"/>
    <n v="6"/>
    <x v="0"/>
    <x v="5"/>
  </r>
  <r>
    <x v="1423"/>
    <n v="-2.5"/>
    <x v="2979"/>
    <n v="6825.84"/>
    <s v="Complete Access"/>
    <x v="685"/>
    <x v="20"/>
    <x v="63"/>
    <d v="1900-01-03T00:00:00"/>
    <n v="6"/>
    <x v="0"/>
    <x v="5"/>
  </r>
  <r>
    <x v="1424"/>
    <n v="-20"/>
    <x v="2970"/>
    <n v="7786.2"/>
    <s v="Complete Access"/>
    <x v="601"/>
    <x v="0"/>
    <x v="0"/>
    <d v="1900-01-02T00:00:00"/>
    <n v="6"/>
    <x v="0"/>
    <x v="5"/>
  </r>
  <r>
    <x v="1424"/>
    <n v="-14.23"/>
    <x v="2643"/>
    <n v="6771.97"/>
    <s v="Complete Access"/>
    <x v="215"/>
    <x v="1"/>
    <x v="1"/>
    <d v="1900-01-02T00:00:00"/>
    <n v="6"/>
    <x v="0"/>
    <x v="5"/>
  </r>
  <r>
    <x v="1424"/>
    <n v="-172.3"/>
    <x v="2980"/>
    <n v="6599.67"/>
    <s v="Complete Access"/>
    <x v="76"/>
    <x v="2"/>
    <x v="2"/>
    <d v="1900-01-02T00:00:00"/>
    <n v="6"/>
    <x v="0"/>
    <x v="5"/>
  </r>
  <r>
    <x v="1424"/>
    <n v="-1000"/>
    <x v="2954"/>
    <n v="6786.2"/>
    <s v="Complete Access"/>
    <x v="504"/>
    <x v="0"/>
    <x v="72"/>
    <d v="1900-01-02T00:00:00"/>
    <n v="6"/>
    <x v="0"/>
    <x v="5"/>
  </r>
  <r>
    <x v="1425"/>
    <n v="-12.5"/>
    <x v="2981"/>
    <n v="7845.69"/>
    <s v="Complete Access"/>
    <x v="682"/>
    <x v="1"/>
    <x v="5"/>
    <d v="1899-12-31T00:00:00"/>
    <n v="5"/>
    <x v="0"/>
    <x v="5"/>
  </r>
  <r>
    <x v="1425"/>
    <n v="-9.5"/>
    <x v="2982"/>
    <n v="7836.19"/>
    <s v="Complete Access"/>
    <x v="286"/>
    <x v="1"/>
    <x v="5"/>
    <d v="1899-12-31T00:00:00"/>
    <n v="5"/>
    <x v="0"/>
    <x v="5"/>
  </r>
  <r>
    <x v="1425"/>
    <n v="-20"/>
    <x v="2229"/>
    <n v="7858.19"/>
    <s v="Complete Access"/>
    <x v="557"/>
    <x v="7"/>
    <x v="53"/>
    <d v="1899-12-31T00:00:00"/>
    <n v="5"/>
    <x v="0"/>
    <x v="5"/>
  </r>
  <r>
    <x v="1425"/>
    <n v="-100"/>
    <x v="2274"/>
    <n v="7878.19"/>
    <s v="Complete Access"/>
    <x v="552"/>
    <x v="0"/>
    <x v="74"/>
    <d v="1899-12-31T00:00:00"/>
    <n v="5"/>
    <x v="0"/>
    <x v="5"/>
  </r>
  <r>
    <x v="1425"/>
    <n v="-29.99"/>
    <x v="2983"/>
    <n v="7806.2"/>
    <s v="Complete Access"/>
    <x v="228"/>
    <x v="4"/>
    <x v="7"/>
    <d v="1899-12-31T00:00:00"/>
    <n v="5"/>
    <x v="0"/>
    <x v="5"/>
  </r>
  <r>
    <x v="1426"/>
    <n v="-40"/>
    <x v="2984"/>
    <n v="8307.06"/>
    <s v="Complete Access"/>
    <x v="12"/>
    <x v="5"/>
    <x v="8"/>
    <d v="1900-01-30T00:00:00"/>
    <n v="5"/>
    <x v="1"/>
    <x v="5"/>
  </r>
  <r>
    <x v="1426"/>
    <n v="-250"/>
    <x v="2929"/>
    <n v="7978.19"/>
    <s v="Complete Access"/>
    <x v="645"/>
    <x v="0"/>
    <x v="69"/>
    <d v="1900-01-30T00:00:00"/>
    <n v="5"/>
    <x v="1"/>
    <x v="5"/>
  </r>
  <r>
    <x v="1426"/>
    <n v="-49.99"/>
    <x v="2643"/>
    <n v="8228.19"/>
    <s v="Complete Access"/>
    <x v="215"/>
    <x v="1"/>
    <x v="1"/>
    <d v="1900-01-30T00:00:00"/>
    <n v="5"/>
    <x v="1"/>
    <x v="5"/>
  </r>
  <r>
    <x v="1426"/>
    <n v="-28.88"/>
    <x v="2985"/>
    <n v="8278.18"/>
    <s v="Complete Access"/>
    <x v="237"/>
    <x v="15"/>
    <x v="34"/>
    <d v="1900-01-30T00:00:00"/>
    <n v="5"/>
    <x v="1"/>
    <x v="5"/>
  </r>
  <r>
    <x v="1427"/>
    <n v="-1.36"/>
    <x v="2859"/>
    <n v="8385.41"/>
    <s v="Complete Access"/>
    <x v="61"/>
    <x v="1"/>
    <x v="1"/>
    <d v="1900-01-29T00:00:00"/>
    <n v="5"/>
    <x v="1"/>
    <x v="5"/>
  </r>
  <r>
    <x v="1427"/>
    <n v="-24.49"/>
    <x v="2986"/>
    <n v="8386.77"/>
    <s v="Complete Access"/>
    <x v="8"/>
    <x v="1"/>
    <x v="5"/>
    <d v="1900-01-29T00:00:00"/>
    <n v="5"/>
    <x v="1"/>
    <x v="5"/>
  </r>
  <r>
    <x v="1427"/>
    <n v="-38.35"/>
    <x v="2643"/>
    <n v="8347.06"/>
    <s v="Complete Access"/>
    <x v="215"/>
    <x v="1"/>
    <x v="1"/>
    <d v="1900-01-29T00:00:00"/>
    <n v="5"/>
    <x v="1"/>
    <x v="5"/>
  </r>
  <r>
    <x v="1428"/>
    <n v="-20"/>
    <x v="2970"/>
    <n v="8418.01"/>
    <s v="Complete Access"/>
    <x v="601"/>
    <x v="0"/>
    <x v="0"/>
    <d v="1900-01-28T00:00:00"/>
    <n v="5"/>
    <x v="1"/>
    <x v="5"/>
  </r>
  <r>
    <x v="1428"/>
    <n v="-34.89"/>
    <x v="2987"/>
    <n v="8516.75"/>
    <s v="Complete Access"/>
    <x v="8"/>
    <x v="1"/>
    <x v="5"/>
    <d v="1900-01-28T00:00:00"/>
    <n v="5"/>
    <x v="1"/>
    <x v="5"/>
  </r>
  <r>
    <x v="1428"/>
    <n v="-25.16"/>
    <x v="2988"/>
    <n v="8491.59"/>
    <s v="Complete Access"/>
    <x v="8"/>
    <x v="1"/>
    <x v="5"/>
    <d v="1900-01-28T00:00:00"/>
    <n v="5"/>
    <x v="1"/>
    <x v="5"/>
  </r>
  <r>
    <x v="1428"/>
    <n v="-21.51"/>
    <x v="2989"/>
    <n v="8551.64"/>
    <s v="Complete Access"/>
    <x v="8"/>
    <x v="1"/>
    <x v="5"/>
    <d v="1900-01-28T00:00:00"/>
    <n v="5"/>
    <x v="1"/>
    <x v="5"/>
  </r>
  <r>
    <x v="1428"/>
    <n v="-22.99"/>
    <x v="2990"/>
    <n v="8468.6"/>
    <s v="Complete Access"/>
    <x v="8"/>
    <x v="1"/>
    <x v="5"/>
    <d v="1900-01-28T00:00:00"/>
    <n v="5"/>
    <x v="1"/>
    <x v="5"/>
  </r>
  <r>
    <x v="1428"/>
    <n v="-9.99"/>
    <x v="2991"/>
    <n v="8458.61"/>
    <s v="Complete Access"/>
    <x v="373"/>
    <x v="8"/>
    <x v="7"/>
    <d v="1900-01-28T00:00:00"/>
    <n v="5"/>
    <x v="1"/>
    <x v="5"/>
  </r>
  <r>
    <x v="1428"/>
    <n v="-6.75"/>
    <x v="2643"/>
    <n v="8411.26"/>
    <s v="Complete Access"/>
    <x v="215"/>
    <x v="1"/>
    <x v="1"/>
    <d v="1900-01-28T00:00:00"/>
    <n v="5"/>
    <x v="1"/>
    <x v="5"/>
  </r>
  <r>
    <x v="1428"/>
    <n v="-20.6"/>
    <x v="2992"/>
    <n v="8438.01"/>
    <s v="Complete Access"/>
    <x v="237"/>
    <x v="15"/>
    <x v="34"/>
    <d v="1900-01-28T00:00:00"/>
    <n v="5"/>
    <x v="1"/>
    <x v="5"/>
  </r>
  <r>
    <x v="1429"/>
    <n v="-17.8"/>
    <x v="2688"/>
    <n v="8573.15"/>
    <s v="Complete Access"/>
    <x v="177"/>
    <x v="1"/>
    <x v="1"/>
    <d v="1900-01-27T00:00:00"/>
    <n v="5"/>
    <x v="1"/>
    <x v="5"/>
  </r>
  <r>
    <x v="1430"/>
    <n v="-30"/>
    <x v="2971"/>
    <n v="8618.9500000000007"/>
    <s v="Complete Access"/>
    <x v="0"/>
    <x v="0"/>
    <x v="0"/>
    <d v="1900-01-25T00:00:00"/>
    <n v="5"/>
    <x v="1"/>
    <x v="5"/>
  </r>
  <r>
    <x v="1430"/>
    <n v="-10"/>
    <x v="2971"/>
    <n v="8648.9500000000007"/>
    <s v="Complete Access"/>
    <x v="0"/>
    <x v="0"/>
    <x v="0"/>
    <d v="1900-01-25T00:00:00"/>
    <n v="5"/>
    <x v="1"/>
    <x v="5"/>
  </r>
  <r>
    <x v="1430"/>
    <n v="-12"/>
    <x v="2971"/>
    <n v="8658.9500000000007"/>
    <s v="Complete Access"/>
    <x v="0"/>
    <x v="0"/>
    <x v="0"/>
    <d v="1900-01-25T00:00:00"/>
    <n v="5"/>
    <x v="1"/>
    <x v="5"/>
  </r>
  <r>
    <x v="1430"/>
    <n v="-28"/>
    <x v="2993"/>
    <n v="8590.9500000000007"/>
    <s v="Complete Access"/>
    <x v="91"/>
    <x v="9"/>
    <x v="12"/>
    <d v="1900-01-25T00:00:00"/>
    <n v="5"/>
    <x v="1"/>
    <x v="5"/>
  </r>
  <r>
    <x v="1430"/>
    <n v="-22.5"/>
    <x v="2994"/>
    <n v="8670.9500000000007"/>
    <s v="Complete Access"/>
    <x v="294"/>
    <x v="8"/>
    <x v="29"/>
    <d v="1900-01-25T00:00:00"/>
    <n v="5"/>
    <x v="1"/>
    <x v="5"/>
  </r>
  <r>
    <x v="1431"/>
    <n v="-7.95"/>
    <x v="2995"/>
    <n v="8793.4500000000007"/>
    <s v="Complete Access"/>
    <x v="686"/>
    <x v="15"/>
    <x v="34"/>
    <d v="1900-01-24T00:00:00"/>
    <n v="4"/>
    <x v="1"/>
    <x v="5"/>
  </r>
  <r>
    <x v="1431"/>
    <n v="-11.69"/>
    <x v="2996"/>
    <n v="8801.4"/>
    <s v="Complete Access"/>
    <x v="56"/>
    <x v="9"/>
    <x v="31"/>
    <d v="1900-01-24T00:00:00"/>
    <n v="4"/>
    <x v="1"/>
    <x v="5"/>
  </r>
  <r>
    <x v="1431"/>
    <n v="-100"/>
    <x v="2274"/>
    <n v="8693.4500000000007"/>
    <s v="Complete Access"/>
    <x v="552"/>
    <x v="0"/>
    <x v="74"/>
    <d v="1900-01-24T00:00:00"/>
    <n v="4"/>
    <x v="1"/>
    <x v="5"/>
  </r>
  <r>
    <x v="1432"/>
    <n v="-11.01"/>
    <x v="2859"/>
    <n v="8995.59"/>
    <s v="Complete Access"/>
    <x v="61"/>
    <x v="1"/>
    <x v="1"/>
    <d v="1900-01-23T00:00:00"/>
    <n v="4"/>
    <x v="1"/>
    <x v="5"/>
  </r>
  <r>
    <x v="1432"/>
    <n v="-40"/>
    <x v="2997"/>
    <n v="9020.6"/>
    <s v="Complete Access"/>
    <x v="12"/>
    <x v="5"/>
    <x v="8"/>
    <d v="1900-01-23T00:00:00"/>
    <n v="4"/>
    <x v="1"/>
    <x v="5"/>
  </r>
  <r>
    <x v="1432"/>
    <n v="-14"/>
    <x v="2998"/>
    <n v="9006.6"/>
    <s v="Complete Access"/>
    <x v="286"/>
    <x v="1"/>
    <x v="5"/>
    <d v="1900-01-23T00:00:00"/>
    <n v="4"/>
    <x v="1"/>
    <x v="5"/>
  </r>
  <r>
    <x v="1432"/>
    <n v="-175"/>
    <x v="2999"/>
    <n v="8813.09"/>
    <s v="Complete Access"/>
    <x v="0"/>
    <x v="0"/>
    <x v="0"/>
    <d v="1900-01-23T00:00:00"/>
    <n v="4"/>
    <x v="1"/>
    <x v="5"/>
  </r>
  <r>
    <x v="1432"/>
    <n v="-7.5"/>
    <x v="3000"/>
    <n v="8988.09"/>
    <s v="Complete Access"/>
    <x v="687"/>
    <x v="1"/>
    <x v="5"/>
    <d v="1900-01-23T00:00:00"/>
    <n v="4"/>
    <x v="1"/>
    <x v="5"/>
  </r>
  <r>
    <x v="1433"/>
    <n v="-180.11"/>
    <x v="3001"/>
    <n v="9661.1"/>
    <s v="Complete Access"/>
    <x v="438"/>
    <x v="12"/>
    <x v="21"/>
    <d v="1900-01-22T00:00:00"/>
    <n v="4"/>
    <x v="1"/>
    <x v="5"/>
  </r>
  <r>
    <x v="1433"/>
    <n v="1752.39"/>
    <x v="3002"/>
    <n v="9841.2099999999991"/>
    <s v="Complete Access"/>
    <x v="14"/>
    <x v="6"/>
    <x v="9"/>
    <d v="1900-01-22T00:00:00"/>
    <n v="4"/>
    <x v="1"/>
    <x v="5"/>
  </r>
  <r>
    <x v="1433"/>
    <n v="-500"/>
    <x v="2294"/>
    <n v="9161.1"/>
    <s v="Complete Access"/>
    <x v="571"/>
    <x v="19"/>
    <x v="61"/>
    <d v="1900-01-22T00:00:00"/>
    <n v="4"/>
    <x v="1"/>
    <x v="5"/>
  </r>
  <r>
    <x v="1433"/>
    <n v="-100.5"/>
    <x v="3003"/>
    <n v="9060.6"/>
    <s v="Complete Access"/>
    <x v="215"/>
    <x v="1"/>
    <x v="1"/>
    <d v="1900-01-22T00:00:00"/>
    <n v="4"/>
    <x v="1"/>
    <x v="5"/>
  </r>
  <r>
    <x v="1434"/>
    <n v="-11.13"/>
    <x v="2859"/>
    <n v="8093.57"/>
    <s v="Complete Access"/>
    <x v="61"/>
    <x v="1"/>
    <x v="1"/>
    <d v="1900-01-21T00:00:00"/>
    <n v="4"/>
    <x v="1"/>
    <x v="5"/>
  </r>
  <r>
    <x v="1434"/>
    <n v="-88.99"/>
    <x v="3004"/>
    <n v="8113.28"/>
    <s v="Complete Access"/>
    <x v="8"/>
    <x v="1"/>
    <x v="5"/>
    <d v="1900-01-21T00:00:00"/>
    <n v="4"/>
    <x v="1"/>
    <x v="5"/>
  </r>
  <r>
    <x v="1434"/>
    <n v="-35.49"/>
    <x v="3005"/>
    <n v="8202.27"/>
    <s v="Complete Access"/>
    <x v="8"/>
    <x v="1"/>
    <x v="5"/>
    <d v="1900-01-21T00:00:00"/>
    <n v="4"/>
    <x v="1"/>
    <x v="5"/>
  </r>
  <r>
    <x v="1434"/>
    <n v="-4.75"/>
    <x v="2643"/>
    <n v="8088.82"/>
    <s v="Complete Access"/>
    <x v="215"/>
    <x v="1"/>
    <x v="1"/>
    <d v="1900-01-21T00:00:00"/>
    <n v="4"/>
    <x v="1"/>
    <x v="5"/>
  </r>
  <r>
    <x v="1434"/>
    <n v="-4.29"/>
    <x v="3006"/>
    <n v="8104.7"/>
    <s v="Complete Access"/>
    <x v="574"/>
    <x v="8"/>
    <x v="29"/>
    <d v="1900-01-21T00:00:00"/>
    <n v="4"/>
    <x v="1"/>
    <x v="5"/>
  </r>
  <r>
    <x v="1434"/>
    <n v="-4.29"/>
    <x v="3006"/>
    <n v="8108.99"/>
    <s v="Complete Access"/>
    <x v="574"/>
    <x v="8"/>
    <x v="29"/>
    <d v="1900-01-21T00:00:00"/>
    <n v="4"/>
    <x v="1"/>
    <x v="5"/>
  </r>
  <r>
    <x v="1435"/>
    <n v="-8"/>
    <x v="2859"/>
    <n v="8487.76"/>
    <s v="Complete Access"/>
    <x v="61"/>
    <x v="1"/>
    <x v="1"/>
    <d v="1900-01-20T00:00:00"/>
    <n v="4"/>
    <x v="1"/>
    <x v="5"/>
  </r>
  <r>
    <x v="1435"/>
    <n v="-2.5"/>
    <x v="2859"/>
    <n v="8495.76"/>
    <s v="Complete Access"/>
    <x v="61"/>
    <x v="1"/>
    <x v="1"/>
    <d v="1900-01-20T00:00:00"/>
    <n v="4"/>
    <x v="1"/>
    <x v="5"/>
  </r>
  <r>
    <x v="1435"/>
    <n v="-9.8000000000000007"/>
    <x v="3007"/>
    <n v="8516.26"/>
    <s v="Complete Access"/>
    <x v="682"/>
    <x v="1"/>
    <x v="5"/>
    <d v="1900-01-20T00:00:00"/>
    <n v="4"/>
    <x v="1"/>
    <x v="5"/>
  </r>
  <r>
    <x v="1435"/>
    <n v="-9"/>
    <x v="3008"/>
    <n v="8507.26"/>
    <s v="Complete Access"/>
    <x v="682"/>
    <x v="1"/>
    <x v="5"/>
    <d v="1900-01-20T00:00:00"/>
    <n v="4"/>
    <x v="1"/>
    <x v="5"/>
  </r>
  <r>
    <x v="1435"/>
    <n v="-250"/>
    <x v="3009"/>
    <n v="8237.76"/>
    <s v="Complete Access"/>
    <x v="688"/>
    <x v="3"/>
    <x v="3"/>
    <d v="1900-01-20T00:00:00"/>
    <n v="4"/>
    <x v="1"/>
    <x v="5"/>
  </r>
  <r>
    <x v="1435"/>
    <n v="-9"/>
    <x v="3010"/>
    <n v="8498.26"/>
    <s v="Complete Access"/>
    <x v="662"/>
    <x v="1"/>
    <x v="5"/>
    <d v="1900-01-20T00:00:00"/>
    <n v="4"/>
    <x v="1"/>
    <x v="5"/>
  </r>
  <r>
    <x v="1436"/>
    <n v="-10"/>
    <x v="2859"/>
    <n v="8499.9699999999993"/>
    <s v="Complete Access"/>
    <x v="61"/>
    <x v="1"/>
    <x v="1"/>
    <d v="1900-01-19T00:00:00"/>
    <n v="4"/>
    <x v="1"/>
    <x v="5"/>
  </r>
  <r>
    <x v="1436"/>
    <n v="-19.739999999999998"/>
    <x v="2643"/>
    <n v="8466.06"/>
    <s v="Complete Access"/>
    <x v="215"/>
    <x v="1"/>
    <x v="1"/>
    <d v="1900-01-19T00:00:00"/>
    <n v="4"/>
    <x v="1"/>
    <x v="5"/>
  </r>
  <r>
    <x v="1436"/>
    <n v="-14.17"/>
    <x v="2688"/>
    <n v="8485.7999999999993"/>
    <s v="Complete Access"/>
    <x v="177"/>
    <x v="1"/>
    <x v="1"/>
    <d v="1900-01-19T00:00:00"/>
    <n v="4"/>
    <x v="1"/>
    <x v="5"/>
  </r>
  <r>
    <x v="1436"/>
    <n v="60"/>
    <x v="2556"/>
    <n v="8526.06"/>
    <s v="Complete Access"/>
    <x v="583"/>
    <x v="0"/>
    <x v="69"/>
    <d v="1900-01-19T00:00:00"/>
    <n v="4"/>
    <x v="1"/>
    <x v="5"/>
  </r>
  <r>
    <x v="1437"/>
    <n v="-18.600000000000001"/>
    <x v="3011"/>
    <n v="8509.9699999999993"/>
    <s v="Complete Access"/>
    <x v="613"/>
    <x v="10"/>
    <x v="79"/>
    <d v="1900-01-18T00:00:00"/>
    <n v="4"/>
    <x v="1"/>
    <x v="5"/>
  </r>
  <r>
    <x v="1437"/>
    <n v="-26"/>
    <x v="3011"/>
    <n v="8528.57"/>
    <s v="Complete Access"/>
    <x v="613"/>
    <x v="10"/>
    <x v="79"/>
    <d v="1900-01-18T00:00:00"/>
    <n v="4"/>
    <x v="1"/>
    <x v="5"/>
  </r>
  <r>
    <x v="1437"/>
    <n v="-12.4"/>
    <x v="3011"/>
    <n v="8494.57"/>
    <s v="Complete Access"/>
    <x v="613"/>
    <x v="10"/>
    <x v="79"/>
    <d v="1900-01-18T00:00:00"/>
    <n v="4"/>
    <x v="1"/>
    <x v="5"/>
  </r>
  <r>
    <x v="1437"/>
    <n v="60"/>
    <x v="2282"/>
    <n v="8554.57"/>
    <s v="Complete Access"/>
    <x v="567"/>
    <x v="0"/>
    <x v="69"/>
    <d v="1900-01-18T00:00:00"/>
    <n v="4"/>
    <x v="1"/>
    <x v="5"/>
  </r>
  <r>
    <x v="1438"/>
    <n v="-40"/>
    <x v="3012"/>
    <n v="8506.9699999999993"/>
    <s v="Complete Access"/>
    <x v="12"/>
    <x v="5"/>
    <x v="8"/>
    <d v="1900-01-17T00:00:00"/>
    <n v="3"/>
    <x v="1"/>
    <x v="5"/>
  </r>
  <r>
    <x v="1438"/>
    <n v="-100"/>
    <x v="2274"/>
    <n v="8546.9699999999993"/>
    <s v="Complete Access"/>
    <x v="552"/>
    <x v="0"/>
    <x v="74"/>
    <d v="1900-01-17T00:00:00"/>
    <n v="3"/>
    <x v="1"/>
    <x v="5"/>
  </r>
  <r>
    <x v="1439"/>
    <n v="-26.26"/>
    <x v="2643"/>
    <n v="8671.9699999999993"/>
    <s v="Complete Access"/>
    <x v="215"/>
    <x v="1"/>
    <x v="1"/>
    <d v="1900-01-16T00:00:00"/>
    <n v="3"/>
    <x v="1"/>
    <x v="5"/>
  </r>
  <r>
    <x v="1439"/>
    <n v="-25"/>
    <x v="2494"/>
    <n v="8646.9699999999993"/>
    <s v="Complete Access"/>
    <x v="27"/>
    <x v="1"/>
    <x v="5"/>
    <d v="1900-01-16T00:00:00"/>
    <n v="3"/>
    <x v="1"/>
    <x v="5"/>
  </r>
  <r>
    <x v="1440"/>
    <n v="-5.61"/>
    <x v="2859"/>
    <n v="8698.23"/>
    <s v="Complete Access"/>
    <x v="61"/>
    <x v="1"/>
    <x v="1"/>
    <d v="1900-01-15T00:00:00"/>
    <n v="3"/>
    <x v="1"/>
    <x v="5"/>
  </r>
  <r>
    <x v="1441"/>
    <n v="-4.93"/>
    <x v="2859"/>
    <n v="8716.58"/>
    <s v="Complete Access"/>
    <x v="61"/>
    <x v="1"/>
    <x v="1"/>
    <d v="1900-01-14T00:00:00"/>
    <n v="3"/>
    <x v="1"/>
    <x v="5"/>
  </r>
  <r>
    <x v="1441"/>
    <n v="-25.5"/>
    <x v="3013"/>
    <n v="8754.31"/>
    <s v="Complete Access"/>
    <x v="8"/>
    <x v="1"/>
    <x v="5"/>
    <d v="1900-01-14T00:00:00"/>
    <n v="3"/>
    <x v="1"/>
    <x v="5"/>
  </r>
  <r>
    <x v="1441"/>
    <n v="-32.799999999999997"/>
    <x v="3014"/>
    <n v="8721.51"/>
    <s v="Complete Access"/>
    <x v="8"/>
    <x v="1"/>
    <x v="5"/>
    <d v="1900-01-14T00:00:00"/>
    <n v="3"/>
    <x v="1"/>
    <x v="5"/>
  </r>
  <r>
    <x v="1441"/>
    <n v="-40"/>
    <x v="3015"/>
    <n v="8779.81"/>
    <s v="Complete Access"/>
    <x v="12"/>
    <x v="5"/>
    <x v="8"/>
    <d v="1900-01-14T00:00:00"/>
    <n v="3"/>
    <x v="1"/>
    <x v="5"/>
  </r>
  <r>
    <x v="1441"/>
    <n v="-12.74"/>
    <x v="2688"/>
    <n v="8703.84"/>
    <s v="Complete Access"/>
    <x v="177"/>
    <x v="1"/>
    <x v="1"/>
    <d v="1900-01-14T00:00:00"/>
    <n v="3"/>
    <x v="1"/>
    <x v="5"/>
  </r>
  <r>
    <x v="1442"/>
    <n v="-1.91"/>
    <x v="2859"/>
    <n v="8833.81"/>
    <s v="Complete Access"/>
    <x v="61"/>
    <x v="1"/>
    <x v="1"/>
    <d v="1900-01-13T00:00:00"/>
    <n v="3"/>
    <x v="1"/>
    <x v="5"/>
  </r>
  <r>
    <x v="1442"/>
    <n v="-73.59"/>
    <x v="3016"/>
    <n v="8835.7199999999993"/>
    <s v="Complete Access"/>
    <x v="8"/>
    <x v="1"/>
    <x v="5"/>
    <d v="1900-01-13T00:00:00"/>
    <n v="3"/>
    <x v="1"/>
    <x v="5"/>
  </r>
  <r>
    <x v="1442"/>
    <n v="-80.25"/>
    <x v="3017"/>
    <n v="9183.17"/>
    <s v="Complete Access"/>
    <x v="8"/>
    <x v="1"/>
    <x v="5"/>
    <d v="1900-01-13T00:00:00"/>
    <n v="3"/>
    <x v="1"/>
    <x v="5"/>
  </r>
  <r>
    <x v="1442"/>
    <n v="-37"/>
    <x v="3018"/>
    <n v="9146.17"/>
    <s v="Complete Access"/>
    <x v="8"/>
    <x v="1"/>
    <x v="5"/>
    <d v="1900-01-13T00:00:00"/>
    <n v="3"/>
    <x v="1"/>
    <x v="5"/>
  </r>
  <r>
    <x v="1442"/>
    <n v="-52.93"/>
    <x v="3019"/>
    <n v="9265.01"/>
    <s v="Complete Access"/>
    <x v="689"/>
    <x v="20"/>
    <x v="63"/>
    <d v="1900-01-13T00:00:00"/>
    <n v="3"/>
    <x v="1"/>
    <x v="5"/>
  </r>
  <r>
    <x v="1442"/>
    <n v="-50.63"/>
    <x v="3020"/>
    <n v="9319.4599999999991"/>
    <s v="Complete Access"/>
    <x v="689"/>
    <x v="20"/>
    <x v="63"/>
    <d v="1900-01-13T00:00:00"/>
    <n v="3"/>
    <x v="1"/>
    <x v="5"/>
  </r>
  <r>
    <x v="1442"/>
    <n v="-46.38"/>
    <x v="3021"/>
    <n v="8910.7000000000007"/>
    <s v="Complete Access"/>
    <x v="690"/>
    <x v="1"/>
    <x v="5"/>
    <d v="1900-01-13T00:00:00"/>
    <n v="3"/>
    <x v="1"/>
    <x v="5"/>
  </r>
  <r>
    <x v="1442"/>
    <n v="-183.58"/>
    <x v="3022"/>
    <n v="8962.59"/>
    <s v="Complete Access"/>
    <x v="690"/>
    <x v="1"/>
    <x v="5"/>
    <d v="1900-01-13T00:00:00"/>
    <n v="3"/>
    <x v="1"/>
    <x v="5"/>
  </r>
  <r>
    <x v="1442"/>
    <n v="-1.39"/>
    <x v="3023"/>
    <n v="8909.31"/>
    <s v="Complete Access"/>
    <x v="10"/>
    <x v="0"/>
    <x v="0"/>
    <d v="1900-01-13T00:00:00"/>
    <n v="3"/>
    <x v="1"/>
    <x v="5"/>
  </r>
  <r>
    <x v="1442"/>
    <n v="-5.51"/>
    <x v="3023"/>
    <n v="8957.08"/>
    <s v="Complete Access"/>
    <x v="10"/>
    <x v="0"/>
    <x v="0"/>
    <d v="1900-01-13T00:00:00"/>
    <n v="3"/>
    <x v="1"/>
    <x v="5"/>
  </r>
  <r>
    <x v="1442"/>
    <n v="-1.59"/>
    <x v="3023"/>
    <n v="9263.42"/>
    <s v="Complete Access"/>
    <x v="10"/>
    <x v="0"/>
    <x v="0"/>
    <d v="1900-01-13T00:00:00"/>
    <n v="3"/>
    <x v="1"/>
    <x v="5"/>
  </r>
  <r>
    <x v="1442"/>
    <n v="-1.52"/>
    <x v="3023"/>
    <n v="9317.94"/>
    <s v="Complete Access"/>
    <x v="10"/>
    <x v="0"/>
    <x v="0"/>
    <d v="1900-01-13T00:00:00"/>
    <n v="3"/>
    <x v="1"/>
    <x v="5"/>
  </r>
  <r>
    <x v="1442"/>
    <n v="-14"/>
    <x v="2863"/>
    <n v="8819.81"/>
    <s v="Complete Access"/>
    <x v="186"/>
    <x v="1"/>
    <x v="5"/>
    <d v="1900-01-13T00:00:00"/>
    <n v="3"/>
    <x v="1"/>
    <x v="5"/>
  </r>
  <r>
    <x v="1443"/>
    <n v="-17.739999999999998"/>
    <x v="2643"/>
    <n v="9443.09"/>
    <s v="Complete Access"/>
    <x v="215"/>
    <x v="1"/>
    <x v="1"/>
    <d v="1900-01-12T00:00:00"/>
    <n v="3"/>
    <x v="1"/>
    <x v="5"/>
  </r>
  <r>
    <x v="1443"/>
    <n v="-73"/>
    <x v="2543"/>
    <n v="9370.09"/>
    <s v="Complete Access"/>
    <x v="17"/>
    <x v="7"/>
    <x v="11"/>
    <d v="1900-01-12T00:00:00"/>
    <n v="3"/>
    <x v="1"/>
    <x v="5"/>
  </r>
  <r>
    <x v="1443"/>
    <n v="-14"/>
    <x v="3000"/>
    <n v="9460.83"/>
    <s v="Complete Access"/>
    <x v="687"/>
    <x v="1"/>
    <x v="5"/>
    <d v="1900-01-12T00:00:00"/>
    <n v="3"/>
    <x v="1"/>
    <x v="5"/>
  </r>
  <r>
    <x v="1444"/>
    <n v="-20"/>
    <x v="2494"/>
    <n v="9474.83"/>
    <s v="Complete Access"/>
    <x v="27"/>
    <x v="1"/>
    <x v="5"/>
    <d v="1900-01-11T00:00:00"/>
    <n v="3"/>
    <x v="1"/>
    <x v="5"/>
  </r>
  <r>
    <x v="1445"/>
    <n v="-100"/>
    <x v="2274"/>
    <n v="9468.83"/>
    <s v="Complete Access"/>
    <x v="552"/>
    <x v="0"/>
    <x v="74"/>
    <d v="1900-01-10T00:00:00"/>
    <n v="2"/>
    <x v="1"/>
    <x v="5"/>
  </r>
  <r>
    <x v="1445"/>
    <n v="26"/>
    <x v="3024"/>
    <n v="9494.83"/>
    <s v="Complete Access"/>
    <x v="27"/>
    <x v="1"/>
    <x v="5"/>
    <d v="1900-01-10T00:00:00"/>
    <n v="2"/>
    <x v="1"/>
    <x v="5"/>
  </r>
  <r>
    <x v="1446"/>
    <n v="40"/>
    <x v="2937"/>
    <n v="9597.83"/>
    <s v="Complete Access"/>
    <x v="567"/>
    <x v="0"/>
    <x v="69"/>
    <d v="1900-01-09T00:00:00"/>
    <n v="2"/>
    <x v="1"/>
    <x v="5"/>
  </r>
  <r>
    <x v="1446"/>
    <n v="-29"/>
    <x v="2494"/>
    <n v="9568.83"/>
    <s v="Complete Access"/>
    <x v="27"/>
    <x v="1"/>
    <x v="5"/>
    <d v="1900-01-09T00:00:00"/>
    <n v="2"/>
    <x v="1"/>
    <x v="5"/>
  </r>
  <r>
    <x v="1447"/>
    <n v="2053.5"/>
    <x v="3025"/>
    <n v="9857.83"/>
    <s v="Complete Access"/>
    <x v="14"/>
    <x v="6"/>
    <x v="9"/>
    <d v="1900-01-08T00:00:00"/>
    <n v="2"/>
    <x v="1"/>
    <x v="5"/>
  </r>
  <r>
    <x v="1447"/>
    <n v="-500"/>
    <x v="2294"/>
    <n v="9357.83"/>
    <s v="Complete Access"/>
    <x v="571"/>
    <x v="19"/>
    <x v="61"/>
    <d v="1900-01-08T00:00:00"/>
    <n v="2"/>
    <x v="1"/>
    <x v="5"/>
  </r>
  <r>
    <x v="1447"/>
    <n v="200"/>
    <x v="3026"/>
    <n v="9557.83"/>
    <s v="Complete Access"/>
    <x v="567"/>
    <x v="0"/>
    <x v="69"/>
    <d v="1900-01-08T00:00:00"/>
    <n v="2"/>
    <x v="1"/>
    <x v="5"/>
  </r>
  <r>
    <x v="1448"/>
    <n v="-162.91999999999999"/>
    <x v="3027"/>
    <n v="7814.22"/>
    <s v="Complete Access"/>
    <x v="601"/>
    <x v="0"/>
    <x v="0"/>
    <d v="1900-01-07T00:00:00"/>
    <n v="2"/>
    <x v="1"/>
    <x v="5"/>
  </r>
  <r>
    <x v="1448"/>
    <n v="-9.89"/>
    <x v="306"/>
    <n v="7804.33"/>
    <s v="Complete Access"/>
    <x v="129"/>
    <x v="0"/>
    <x v="42"/>
    <d v="1900-01-07T00:00:00"/>
    <n v="2"/>
    <x v="1"/>
    <x v="5"/>
  </r>
  <r>
    <x v="1449"/>
    <n v="-20.18"/>
    <x v="3028"/>
    <n v="7977.14"/>
    <s v="Complete Access"/>
    <x v="691"/>
    <x v="15"/>
    <x v="71"/>
    <d v="1900-01-06T00:00:00"/>
    <n v="2"/>
    <x v="1"/>
    <x v="5"/>
  </r>
  <r>
    <x v="1450"/>
    <n v="-15.23"/>
    <x v="3029"/>
    <n v="7997.32"/>
    <s v="Complete Access"/>
    <x v="8"/>
    <x v="1"/>
    <x v="5"/>
    <d v="1900-01-03T00:00:00"/>
    <n v="1"/>
    <x v="1"/>
    <x v="5"/>
  </r>
  <r>
    <x v="1450"/>
    <n v="-100"/>
    <x v="2274"/>
    <n v="8012.55"/>
    <s v="Complete Access"/>
    <x v="552"/>
    <x v="0"/>
    <x v="74"/>
    <d v="1900-01-03T00:00:00"/>
    <n v="1"/>
    <x v="1"/>
    <x v="5"/>
  </r>
  <r>
    <x v="1451"/>
    <n v="-26.53"/>
    <x v="3029"/>
    <n v="8214.35"/>
    <s v="Complete Access"/>
    <x v="8"/>
    <x v="1"/>
    <x v="5"/>
    <d v="1900-01-02T00:00:00"/>
    <n v="1"/>
    <x v="1"/>
    <x v="5"/>
  </r>
  <r>
    <x v="1451"/>
    <n v="-24.95"/>
    <x v="3030"/>
    <n v="8240.8799999999992"/>
    <s v="Complete Access"/>
    <x v="692"/>
    <x v="3"/>
    <x v="15"/>
    <d v="1900-01-02T00:00:00"/>
    <n v="1"/>
    <x v="1"/>
    <x v="5"/>
  </r>
  <r>
    <x v="1451"/>
    <n v="-18.3"/>
    <x v="3031"/>
    <n v="8196.0499999999993"/>
    <s v="Complete Access"/>
    <x v="693"/>
    <x v="1"/>
    <x v="5"/>
    <d v="1900-01-02T00:00:00"/>
    <n v="1"/>
    <x v="1"/>
    <x v="5"/>
  </r>
  <r>
    <x v="1451"/>
    <n v="-65"/>
    <x v="2999"/>
    <n v="8121.55"/>
    <s v="Complete Access"/>
    <x v="0"/>
    <x v="0"/>
    <x v="0"/>
    <d v="1900-01-02T00:00:00"/>
    <n v="1"/>
    <x v="1"/>
    <x v="5"/>
  </r>
  <r>
    <x v="1451"/>
    <n v="-9"/>
    <x v="3032"/>
    <n v="8112.55"/>
    <s v="Complete Access"/>
    <x v="694"/>
    <x v="1"/>
    <x v="5"/>
    <d v="1900-01-02T00:00:00"/>
    <n v="1"/>
    <x v="1"/>
    <x v="5"/>
  </r>
  <r>
    <x v="1451"/>
    <n v="-9.5"/>
    <x v="3033"/>
    <n v="8186.55"/>
    <s v="Complete Access"/>
    <x v="695"/>
    <x v="15"/>
    <x v="71"/>
    <d v="1900-01-02T00:00:00"/>
    <n v="1"/>
    <x v="1"/>
    <x v="5"/>
  </r>
  <r>
    <x v="1452"/>
    <n v="-19"/>
    <x v="2929"/>
    <n v="8438.1299999999992"/>
    <s v="Complete Access"/>
    <x v="645"/>
    <x v="0"/>
    <x v="69"/>
    <d v="1900-01-01T00:00:00"/>
    <n v="1"/>
    <x v="1"/>
    <x v="5"/>
  </r>
  <r>
    <x v="1452"/>
    <n v="-50"/>
    <x v="2929"/>
    <n v="8457.1299999999992"/>
    <s v="Complete Access"/>
    <x v="645"/>
    <x v="0"/>
    <x v="69"/>
    <d v="1900-01-01T00:00:00"/>
    <n v="1"/>
    <x v="1"/>
    <x v="5"/>
  </r>
  <r>
    <x v="1452"/>
    <n v="-172.3"/>
    <x v="3034"/>
    <n v="8265.83"/>
    <s v="Complete Access"/>
    <x v="76"/>
    <x v="2"/>
    <x v="2"/>
    <d v="1900-01-01T00:00:00"/>
    <n v="1"/>
    <x v="1"/>
    <x v="5"/>
  </r>
  <r>
    <x v="1452"/>
    <n v="-21"/>
    <x v="2999"/>
    <n v="8507.1299999999992"/>
    <s v="Complete Access"/>
    <x v="0"/>
    <x v="0"/>
    <x v="0"/>
    <d v="1900-01-01T00:00:00"/>
    <n v="1"/>
    <x v="1"/>
    <x v="5"/>
  </r>
  <r>
    <x v="1453"/>
    <n v="-67.489999999999995"/>
    <x v="3035"/>
    <n v="8592.1"/>
    <s v="Complete Access"/>
    <x v="8"/>
    <x v="1"/>
    <x v="5"/>
    <d v="1899-12-31T00:00:00"/>
    <n v="1"/>
    <x v="1"/>
    <x v="5"/>
  </r>
  <r>
    <x v="1453"/>
    <n v="-20"/>
    <x v="2229"/>
    <n v="8659.59"/>
    <s v="Complete Access"/>
    <x v="557"/>
    <x v="7"/>
    <x v="53"/>
    <d v="1899-12-31T00:00:00"/>
    <n v="1"/>
    <x v="1"/>
    <x v="5"/>
  </r>
  <r>
    <x v="1453"/>
    <n v="-34.6"/>
    <x v="3036"/>
    <n v="8528.1299999999992"/>
    <s v="Complete Access"/>
    <x v="696"/>
    <x v="8"/>
    <x v="29"/>
    <d v="1899-12-31T00:00:00"/>
    <n v="1"/>
    <x v="1"/>
    <x v="5"/>
  </r>
  <r>
    <x v="1453"/>
    <n v="-8.6"/>
    <x v="3036"/>
    <n v="8562.73"/>
    <s v="Complete Access"/>
    <x v="696"/>
    <x v="8"/>
    <x v="29"/>
    <d v="1899-12-31T00:00:00"/>
    <n v="1"/>
    <x v="1"/>
    <x v="5"/>
  </r>
  <r>
    <x v="1453"/>
    <n v="-7.9"/>
    <x v="3036"/>
    <n v="8571.33"/>
    <s v="Complete Access"/>
    <x v="696"/>
    <x v="8"/>
    <x v="29"/>
    <d v="1899-12-31T00:00:00"/>
    <n v="1"/>
    <x v="1"/>
    <x v="5"/>
  </r>
  <r>
    <x v="1453"/>
    <n v="-4.29"/>
    <x v="3037"/>
    <n v="8579.23"/>
    <s v="Complete Access"/>
    <x v="574"/>
    <x v="8"/>
    <x v="29"/>
    <d v="1899-12-31T00:00:00"/>
    <n v="1"/>
    <x v="1"/>
    <x v="5"/>
  </r>
  <r>
    <x v="1453"/>
    <n v="-4.29"/>
    <x v="3038"/>
    <n v="8583.52"/>
    <s v="Complete Access"/>
    <x v="574"/>
    <x v="8"/>
    <x v="29"/>
    <d v="1899-12-31T00:00:00"/>
    <n v="1"/>
    <x v="1"/>
    <x v="5"/>
  </r>
  <r>
    <x v="1453"/>
    <n v="-4.29"/>
    <x v="3038"/>
    <n v="8587.81"/>
    <s v="Complete Access"/>
    <x v="574"/>
    <x v="8"/>
    <x v="29"/>
    <d v="1899-12-31T00:00:00"/>
    <n v="1"/>
    <x v="1"/>
    <x v="5"/>
  </r>
  <r>
    <x v="1454"/>
    <n v="-31.94"/>
    <x v="3039"/>
    <n v="9571.31"/>
    <s v="Complete Access"/>
    <x v="8"/>
    <x v="1"/>
    <x v="5"/>
    <d v="1900-01-30T00:00:00"/>
    <n v="53"/>
    <x v="2"/>
    <x v="6"/>
  </r>
  <r>
    <x v="1454"/>
    <n v="-50.49"/>
    <x v="3040"/>
    <n v="9508.67"/>
    <s v="Complete Access"/>
    <x v="8"/>
    <x v="1"/>
    <x v="5"/>
    <d v="1900-01-30T00:00:00"/>
    <n v="53"/>
    <x v="2"/>
    <x v="6"/>
  </r>
  <r>
    <x v="1454"/>
    <n v="-12.15"/>
    <x v="3041"/>
    <n v="9559.16"/>
    <s v="Complete Access"/>
    <x v="8"/>
    <x v="1"/>
    <x v="5"/>
    <d v="1900-01-30T00:00:00"/>
    <n v="53"/>
    <x v="2"/>
    <x v="6"/>
  </r>
  <r>
    <x v="1454"/>
    <n v="-229"/>
    <x v="3042"/>
    <n v="9279.67"/>
    <s v="Complete Access"/>
    <x v="347"/>
    <x v="3"/>
    <x v="62"/>
    <d v="1900-01-30T00:00:00"/>
    <n v="53"/>
    <x v="2"/>
    <x v="6"/>
  </r>
  <r>
    <x v="1454"/>
    <n v="-16.63"/>
    <x v="2874"/>
    <n v="8662.0400000000009"/>
    <s v="Complete Access"/>
    <x v="663"/>
    <x v="1"/>
    <x v="1"/>
    <d v="1900-01-30T00:00:00"/>
    <n v="53"/>
    <x v="2"/>
    <x v="6"/>
  </r>
  <r>
    <x v="1454"/>
    <n v="-42.45"/>
    <x v="2756"/>
    <n v="8619.59"/>
    <s v="Complete Access"/>
    <x v="177"/>
    <x v="1"/>
    <x v="1"/>
    <d v="1900-01-30T00:00:00"/>
    <n v="53"/>
    <x v="2"/>
    <x v="6"/>
  </r>
  <r>
    <x v="1454"/>
    <n v="60"/>
    <x v="2556"/>
    <n v="8679.59"/>
    <s v="Complete Access"/>
    <x v="583"/>
    <x v="0"/>
    <x v="69"/>
    <d v="1900-01-30T00:00:00"/>
    <n v="53"/>
    <x v="2"/>
    <x v="6"/>
  </r>
  <r>
    <x v="1454"/>
    <n v="-77"/>
    <x v="3043"/>
    <n v="9603.25"/>
    <s v="Complete Access"/>
    <x v="697"/>
    <x v="8"/>
    <x v="22"/>
    <d v="1900-01-30T00:00:00"/>
    <n v="53"/>
    <x v="2"/>
    <x v="6"/>
  </r>
  <r>
    <x v="1454"/>
    <n v="-550"/>
    <x v="2999"/>
    <n v="8729.67"/>
    <s v="Complete Access"/>
    <x v="0"/>
    <x v="0"/>
    <x v="0"/>
    <d v="1900-01-30T00:00:00"/>
    <n v="53"/>
    <x v="2"/>
    <x v="6"/>
  </r>
  <r>
    <x v="1454"/>
    <n v="-51"/>
    <x v="2700"/>
    <n v="8678.67"/>
    <s v="Complete Access"/>
    <x v="243"/>
    <x v="1"/>
    <x v="23"/>
    <d v="1900-01-30T00:00:00"/>
    <n v="53"/>
    <x v="2"/>
    <x v="6"/>
  </r>
  <r>
    <x v="1455"/>
    <n v="-56"/>
    <x v="3044"/>
    <n v="9829.25"/>
    <s v="Complete Access"/>
    <x v="698"/>
    <x v="3"/>
    <x v="15"/>
    <d v="1900-01-29T00:00:00"/>
    <n v="53"/>
    <x v="2"/>
    <x v="6"/>
  </r>
  <r>
    <x v="1455"/>
    <n v="-89"/>
    <x v="3045"/>
    <n v="9740.25"/>
    <s v="Complete Access"/>
    <x v="699"/>
    <x v="3"/>
    <x v="60"/>
    <d v="1900-01-29T00:00:00"/>
    <n v="53"/>
    <x v="2"/>
    <x v="6"/>
  </r>
  <r>
    <x v="1455"/>
    <n v="-15.61"/>
    <x v="2874"/>
    <n v="9929.1"/>
    <s v="Complete Access"/>
    <x v="663"/>
    <x v="1"/>
    <x v="1"/>
    <d v="1900-01-29T00:00:00"/>
    <n v="53"/>
    <x v="2"/>
    <x v="6"/>
  </r>
  <r>
    <x v="1455"/>
    <n v="-43.85"/>
    <x v="2756"/>
    <n v="9885.25"/>
    <s v="Complete Access"/>
    <x v="177"/>
    <x v="1"/>
    <x v="1"/>
    <d v="1900-01-29T00:00:00"/>
    <n v="53"/>
    <x v="2"/>
    <x v="6"/>
  </r>
  <r>
    <x v="1455"/>
    <n v="-60"/>
    <x v="3046"/>
    <n v="9680.25"/>
    <s v="Complete Access"/>
    <x v="700"/>
    <x v="8"/>
    <x v="69"/>
    <d v="1900-01-29T00:00:00"/>
    <n v="53"/>
    <x v="2"/>
    <x v="6"/>
  </r>
  <r>
    <x v="1456"/>
    <n v="-20"/>
    <x v="3047"/>
    <n v="9947.51"/>
    <s v="Complete Access"/>
    <x v="601"/>
    <x v="0"/>
    <x v="0"/>
    <d v="1900-01-28T00:00:00"/>
    <n v="53"/>
    <x v="2"/>
    <x v="6"/>
  </r>
  <r>
    <x v="1456"/>
    <n v="-2.8"/>
    <x v="72"/>
    <n v="9944.7099999999991"/>
    <s v="Complete Access"/>
    <x v="37"/>
    <x v="0"/>
    <x v="0"/>
    <d v="1900-01-28T00:00:00"/>
    <n v="53"/>
    <x v="2"/>
    <x v="6"/>
  </r>
  <r>
    <x v="1457"/>
    <n v="-2.99"/>
    <x v="3048"/>
    <n v="10090.15"/>
    <s v="Complete Access"/>
    <x v="199"/>
    <x v="14"/>
    <x v="46"/>
    <d v="1900-01-27T00:00:00"/>
    <n v="52"/>
    <x v="2"/>
    <x v="6"/>
  </r>
  <r>
    <x v="1457"/>
    <n v="-9.99"/>
    <x v="3049"/>
    <n v="10093.14"/>
    <s v="Complete Access"/>
    <x v="373"/>
    <x v="8"/>
    <x v="7"/>
    <d v="1900-01-27T00:00:00"/>
    <n v="52"/>
    <x v="2"/>
    <x v="6"/>
  </r>
  <r>
    <x v="1457"/>
    <n v="-15.64"/>
    <x v="3050"/>
    <n v="10074.51"/>
    <s v="Complete Access"/>
    <x v="668"/>
    <x v="15"/>
    <x v="34"/>
    <d v="1900-01-27T00:00:00"/>
    <n v="52"/>
    <x v="2"/>
    <x v="6"/>
  </r>
  <r>
    <x v="1457"/>
    <n v="-18.579999999999998"/>
    <x v="2874"/>
    <n v="9995.93"/>
    <s v="Complete Access"/>
    <x v="663"/>
    <x v="1"/>
    <x v="1"/>
    <d v="1900-01-27T00:00:00"/>
    <n v="52"/>
    <x v="2"/>
    <x v="6"/>
  </r>
  <r>
    <x v="1457"/>
    <n v="-100"/>
    <x v="2274"/>
    <n v="10103.129999999999"/>
    <s v="Complete Access"/>
    <x v="552"/>
    <x v="0"/>
    <x v="74"/>
    <d v="1900-01-27T00:00:00"/>
    <n v="52"/>
    <x v="2"/>
    <x v="6"/>
  </r>
  <r>
    <x v="1457"/>
    <n v="-28.42"/>
    <x v="2688"/>
    <n v="9967.51"/>
    <s v="Complete Access"/>
    <x v="177"/>
    <x v="1"/>
    <x v="1"/>
    <d v="1900-01-27T00:00:00"/>
    <n v="52"/>
    <x v="2"/>
    <x v="6"/>
  </r>
  <r>
    <x v="1457"/>
    <n v="-25"/>
    <x v="3051"/>
    <n v="10014.51"/>
    <s v="Complete Access"/>
    <x v="701"/>
    <x v="16"/>
    <x v="35"/>
    <d v="1900-01-27T00:00:00"/>
    <n v="52"/>
    <x v="2"/>
    <x v="6"/>
  </r>
  <r>
    <x v="1457"/>
    <n v="-35"/>
    <x v="3051"/>
    <n v="10039.51"/>
    <s v="Complete Access"/>
    <x v="701"/>
    <x v="16"/>
    <x v="35"/>
    <d v="1900-01-27T00:00:00"/>
    <n v="52"/>
    <x v="2"/>
    <x v="6"/>
  </r>
  <r>
    <x v="1458"/>
    <n v="-12.5"/>
    <x v="3052"/>
    <n v="10203.129999999999"/>
    <s v="Complete Access"/>
    <x v="351"/>
    <x v="1"/>
    <x v="5"/>
    <d v="1900-01-26T00:00:00"/>
    <n v="52"/>
    <x v="2"/>
    <x v="6"/>
  </r>
  <r>
    <x v="1459"/>
    <n v="-500"/>
    <x v="2294"/>
    <n v="10315.629999999999"/>
    <s v="Complete Access"/>
    <x v="571"/>
    <x v="19"/>
    <x v="61"/>
    <d v="1900-01-25T00:00:00"/>
    <n v="52"/>
    <x v="2"/>
    <x v="6"/>
  </r>
  <r>
    <x v="1459"/>
    <n v="-100"/>
    <x v="2999"/>
    <n v="10215.629999999999"/>
    <s v="Complete Access"/>
    <x v="0"/>
    <x v="0"/>
    <x v="0"/>
    <d v="1900-01-25T00:00:00"/>
    <n v="52"/>
    <x v="2"/>
    <x v="6"/>
  </r>
  <r>
    <x v="1460"/>
    <n v="-92.49"/>
    <x v="3053"/>
    <n v="10822.63"/>
    <s v="Complete Access"/>
    <x v="8"/>
    <x v="1"/>
    <x v="5"/>
    <d v="1900-01-24T00:00:00"/>
    <n v="52"/>
    <x v="2"/>
    <x v="6"/>
  </r>
  <r>
    <x v="1460"/>
    <n v="-44.24"/>
    <x v="3054"/>
    <n v="11010.61"/>
    <s v="Complete Access"/>
    <x v="8"/>
    <x v="1"/>
    <x v="5"/>
    <d v="1900-01-24T00:00:00"/>
    <n v="52"/>
    <x v="2"/>
    <x v="6"/>
  </r>
  <r>
    <x v="1460"/>
    <n v="-20.16"/>
    <x v="3055"/>
    <n v="11054.85"/>
    <s v="Complete Access"/>
    <x v="8"/>
    <x v="1"/>
    <x v="5"/>
    <d v="1900-01-24T00:00:00"/>
    <n v="52"/>
    <x v="2"/>
    <x v="6"/>
  </r>
  <r>
    <x v="1460"/>
    <n v="-10"/>
    <x v="3055"/>
    <n v="11075.01"/>
    <s v="Complete Access"/>
    <x v="8"/>
    <x v="1"/>
    <x v="5"/>
    <d v="1900-01-24T00:00:00"/>
    <n v="52"/>
    <x v="2"/>
    <x v="6"/>
  </r>
  <r>
    <x v="1460"/>
    <n v="-95.49"/>
    <x v="3056"/>
    <n v="10915.12"/>
    <s v="Complete Access"/>
    <x v="8"/>
    <x v="1"/>
    <x v="5"/>
    <d v="1900-01-24T00:00:00"/>
    <n v="52"/>
    <x v="2"/>
    <x v="6"/>
  </r>
  <r>
    <x v="1460"/>
    <n v="-7"/>
    <x v="3057"/>
    <n v="10815.63"/>
    <s v="Complete Access"/>
    <x v="620"/>
    <x v="3"/>
    <x v="15"/>
    <d v="1900-01-24T00:00:00"/>
    <n v="52"/>
    <x v="2"/>
    <x v="6"/>
  </r>
  <r>
    <x v="1461"/>
    <n v="-15.93"/>
    <x v="3055"/>
    <n v="11020.01"/>
    <s v="Complete Access"/>
    <x v="8"/>
    <x v="1"/>
    <x v="5"/>
    <d v="1900-01-23T00:00:00"/>
    <n v="52"/>
    <x v="2"/>
    <x v="6"/>
  </r>
  <r>
    <x v="1461"/>
    <n v="-10.5"/>
    <x v="3058"/>
    <n v="10985.01"/>
    <s v="Complete Access"/>
    <x v="682"/>
    <x v="1"/>
    <x v="5"/>
    <d v="1900-01-23T00:00:00"/>
    <n v="52"/>
    <x v="2"/>
    <x v="6"/>
  </r>
  <r>
    <x v="1461"/>
    <n v="2053.4899999999998"/>
    <x v="3059"/>
    <n v="11035.94"/>
    <s v="Complete Access"/>
    <x v="14"/>
    <x v="6"/>
    <x v="9"/>
    <d v="1900-01-23T00:00:00"/>
    <n v="52"/>
    <x v="2"/>
    <x v="6"/>
  </r>
  <r>
    <x v="1461"/>
    <n v="115"/>
    <x v="3060"/>
    <n v="11100.01"/>
    <s v="Complete Access"/>
    <x v="567"/>
    <x v="0"/>
    <x v="69"/>
    <d v="1900-01-23T00:00:00"/>
    <n v="52"/>
    <x v="2"/>
    <x v="6"/>
  </r>
  <r>
    <x v="1461"/>
    <n v="-15"/>
    <x v="3061"/>
    <n v="11085.01"/>
    <s v="Complete Access"/>
    <x v="27"/>
    <x v="1"/>
    <x v="5"/>
    <d v="1900-01-23T00:00:00"/>
    <n v="52"/>
    <x v="2"/>
    <x v="6"/>
  </r>
  <r>
    <x v="1461"/>
    <n v="-15.5"/>
    <x v="3062"/>
    <n v="10995.51"/>
    <s v="Complete Access"/>
    <x v="702"/>
    <x v="8"/>
    <x v="29"/>
    <d v="1900-01-23T00:00:00"/>
    <n v="52"/>
    <x v="2"/>
    <x v="6"/>
  </r>
  <r>
    <x v="1461"/>
    <n v="-9"/>
    <x v="3062"/>
    <n v="11011.01"/>
    <s v="Complete Access"/>
    <x v="702"/>
    <x v="8"/>
    <x v="29"/>
    <d v="1900-01-23T00:00:00"/>
    <n v="52"/>
    <x v="2"/>
    <x v="6"/>
  </r>
  <r>
    <x v="1462"/>
    <n v="-0.59"/>
    <x v="2859"/>
    <n v="9012.4500000000007"/>
    <s v="Complete Access"/>
    <x v="61"/>
    <x v="1"/>
    <x v="1"/>
    <d v="1900-01-22T00:00:00"/>
    <n v="52"/>
    <x v="2"/>
    <x v="6"/>
  </r>
  <r>
    <x v="1462"/>
    <n v="-20"/>
    <x v="2494"/>
    <n v="8982.4500000000007"/>
    <s v="Complete Access"/>
    <x v="27"/>
    <x v="1"/>
    <x v="5"/>
    <d v="1900-01-22T00:00:00"/>
    <n v="52"/>
    <x v="2"/>
    <x v="6"/>
  </r>
  <r>
    <x v="1462"/>
    <n v="-10"/>
    <x v="2925"/>
    <n v="9002.4500000000007"/>
    <s v="Complete Access"/>
    <x v="678"/>
    <x v="20"/>
    <x v="63"/>
    <d v="1900-01-22T00:00:00"/>
    <n v="52"/>
    <x v="2"/>
    <x v="6"/>
  </r>
  <r>
    <x v="1463"/>
    <n v="18.5"/>
    <x v="3024"/>
    <n v="9013.0400000000009"/>
    <s v="Complete Access"/>
    <x v="27"/>
    <x v="1"/>
    <x v="5"/>
    <d v="1900-01-21T00:00:00"/>
    <n v="52"/>
    <x v="2"/>
    <x v="6"/>
  </r>
  <r>
    <x v="1463"/>
    <n v="20.5"/>
    <x v="2876"/>
    <n v="8994.5400000000009"/>
    <s v="Complete Access"/>
    <x v="27"/>
    <x v="1"/>
    <x v="5"/>
    <d v="1900-01-21T00:00:00"/>
    <n v="52"/>
    <x v="2"/>
    <x v="6"/>
  </r>
  <r>
    <x v="1464"/>
    <n v="-79.989999999999995"/>
    <x v="3063"/>
    <n v="8974.0400000000009"/>
    <s v="Complete Access"/>
    <x v="703"/>
    <x v="3"/>
    <x v="15"/>
    <d v="1900-01-20T00:00:00"/>
    <n v="51"/>
    <x v="2"/>
    <x v="6"/>
  </r>
  <r>
    <x v="1464"/>
    <n v="-100"/>
    <x v="2274"/>
    <n v="9104.02"/>
    <s v="Complete Access"/>
    <x v="552"/>
    <x v="0"/>
    <x v="74"/>
    <d v="1900-01-20T00:00:00"/>
    <n v="51"/>
    <x v="2"/>
    <x v="6"/>
  </r>
  <r>
    <x v="1464"/>
    <n v="-49.99"/>
    <x v="3064"/>
    <n v="9054.0300000000007"/>
    <s v="Complete Access"/>
    <x v="704"/>
    <x v="3"/>
    <x v="15"/>
    <d v="1900-01-20T00:00:00"/>
    <n v="51"/>
    <x v="2"/>
    <x v="6"/>
  </r>
  <r>
    <x v="1464"/>
    <n v="-7"/>
    <x v="2971"/>
    <n v="9204.02"/>
    <s v="Complete Access"/>
    <x v="0"/>
    <x v="0"/>
    <x v="0"/>
    <d v="1900-01-20T00:00:00"/>
    <n v="51"/>
    <x v="2"/>
    <x v="6"/>
  </r>
  <r>
    <x v="1465"/>
    <n v="-3"/>
    <x v="2859"/>
    <n v="9211.02"/>
    <s v="Complete Access"/>
    <x v="61"/>
    <x v="1"/>
    <x v="1"/>
    <d v="1900-01-19T00:00:00"/>
    <n v="51"/>
    <x v="2"/>
    <x v="6"/>
  </r>
  <r>
    <x v="1466"/>
    <n v="-16.350000000000001"/>
    <x v="3065"/>
    <n v="9214.02"/>
    <s v="Complete Access"/>
    <x v="705"/>
    <x v="8"/>
    <x v="29"/>
    <d v="1900-01-18T00:00:00"/>
    <n v="51"/>
    <x v="2"/>
    <x v="6"/>
  </r>
  <r>
    <x v="1466"/>
    <n v="-29.99"/>
    <x v="3066"/>
    <n v="9244.42"/>
    <s v="Complete Access"/>
    <x v="706"/>
    <x v="11"/>
    <x v="14"/>
    <d v="1900-01-18T00:00:00"/>
    <n v="51"/>
    <x v="2"/>
    <x v="6"/>
  </r>
  <r>
    <x v="1466"/>
    <n v="-14.05"/>
    <x v="3067"/>
    <n v="9230.3700000000008"/>
    <s v="Complete Access"/>
    <x v="47"/>
    <x v="1"/>
    <x v="5"/>
    <d v="1900-01-18T00:00:00"/>
    <n v="51"/>
    <x v="2"/>
    <x v="6"/>
  </r>
  <r>
    <x v="1466"/>
    <n v="-39"/>
    <x v="3068"/>
    <n v="9274.41"/>
    <s v="Complete Access"/>
    <x v="644"/>
    <x v="1"/>
    <x v="23"/>
    <d v="1900-01-18T00:00:00"/>
    <n v="51"/>
    <x v="2"/>
    <x v="6"/>
  </r>
  <r>
    <x v="1467"/>
    <n v="-3"/>
    <x v="2859"/>
    <n v="9338.8700000000008"/>
    <s v="Complete Access"/>
    <x v="61"/>
    <x v="1"/>
    <x v="1"/>
    <d v="1900-01-17T00:00:00"/>
    <n v="51"/>
    <x v="2"/>
    <x v="6"/>
  </r>
  <r>
    <x v="1467"/>
    <n v="-29.54"/>
    <x v="3069"/>
    <n v="9352.7900000000009"/>
    <s v="Complete Access"/>
    <x v="8"/>
    <x v="1"/>
    <x v="5"/>
    <d v="1900-01-17T00:00:00"/>
    <n v="51"/>
    <x v="2"/>
    <x v="6"/>
  </r>
  <r>
    <x v="1467"/>
    <n v="-40"/>
    <x v="3070"/>
    <n v="9382.33"/>
    <s v="Complete Access"/>
    <x v="12"/>
    <x v="5"/>
    <x v="8"/>
    <d v="1900-01-17T00:00:00"/>
    <n v="51"/>
    <x v="2"/>
    <x v="6"/>
  </r>
  <r>
    <x v="1467"/>
    <n v="-10.92"/>
    <x v="3071"/>
    <n v="9341.8700000000008"/>
    <s v="Complete Access"/>
    <x v="556"/>
    <x v="15"/>
    <x v="34"/>
    <d v="1900-01-17T00:00:00"/>
    <n v="51"/>
    <x v="2"/>
    <x v="6"/>
  </r>
  <r>
    <x v="1467"/>
    <n v="-25.46"/>
    <x v="2688"/>
    <n v="9313.41"/>
    <s v="Complete Access"/>
    <x v="177"/>
    <x v="1"/>
    <x v="1"/>
    <d v="1900-01-17T00:00:00"/>
    <n v="51"/>
    <x v="2"/>
    <x v="6"/>
  </r>
  <r>
    <x v="1468"/>
    <n v="-7.8"/>
    <x v="2859"/>
    <n v="9717.25"/>
    <s v="Complete Access"/>
    <x v="61"/>
    <x v="1"/>
    <x v="1"/>
    <d v="1900-01-16T00:00:00"/>
    <n v="51"/>
    <x v="2"/>
    <x v="6"/>
  </r>
  <r>
    <x v="1468"/>
    <n v="-52.99"/>
    <x v="3072"/>
    <n v="9704.84"/>
    <s v="Complete Access"/>
    <x v="8"/>
    <x v="1"/>
    <x v="5"/>
    <d v="1900-01-16T00:00:00"/>
    <n v="51"/>
    <x v="2"/>
    <x v="6"/>
  </r>
  <r>
    <x v="1468"/>
    <n v="-179.79"/>
    <x v="3073"/>
    <n v="9525.0499999999993"/>
    <s v="Complete Access"/>
    <x v="438"/>
    <x v="12"/>
    <x v="21"/>
    <d v="1900-01-16T00:00:00"/>
    <n v="51"/>
    <x v="2"/>
    <x v="6"/>
  </r>
  <r>
    <x v="1468"/>
    <n v="-31"/>
    <x v="2948"/>
    <n v="9686.25"/>
    <s v="Complete Access"/>
    <x v="562"/>
    <x v="1"/>
    <x v="5"/>
    <d v="1900-01-16T00:00:00"/>
    <n v="51"/>
    <x v="2"/>
    <x v="6"/>
  </r>
  <r>
    <x v="1468"/>
    <n v="-250"/>
    <x v="2929"/>
    <n v="9422.33"/>
    <s v="Complete Access"/>
    <x v="645"/>
    <x v="0"/>
    <x v="69"/>
    <d v="1900-01-16T00:00:00"/>
    <n v="51"/>
    <x v="2"/>
    <x v="6"/>
  </r>
  <r>
    <x v="1468"/>
    <n v="-13.92"/>
    <x v="2643"/>
    <n v="9672.33"/>
    <s v="Complete Access"/>
    <x v="215"/>
    <x v="1"/>
    <x v="1"/>
    <d v="1900-01-16T00:00:00"/>
    <n v="51"/>
    <x v="2"/>
    <x v="6"/>
  </r>
  <r>
    <x v="1468"/>
    <n v="200"/>
    <x v="3074"/>
    <n v="9725.0499999999993"/>
    <s v="Complete Access"/>
    <x v="657"/>
    <x v="0"/>
    <x v="69"/>
    <d v="1900-01-16T00:00:00"/>
    <n v="51"/>
    <x v="2"/>
    <x v="6"/>
  </r>
  <r>
    <x v="1469"/>
    <n v="-200"/>
    <x v="2929"/>
    <n v="9797.41"/>
    <s v="Complete Access"/>
    <x v="645"/>
    <x v="0"/>
    <x v="69"/>
    <d v="1900-01-15T00:00:00"/>
    <n v="51"/>
    <x v="2"/>
    <x v="6"/>
  </r>
  <r>
    <x v="1469"/>
    <n v="-11.68"/>
    <x v="2643"/>
    <n v="9767.73"/>
    <s v="Complete Access"/>
    <x v="215"/>
    <x v="1"/>
    <x v="1"/>
    <d v="1900-01-15T00:00:00"/>
    <n v="51"/>
    <x v="2"/>
    <x v="6"/>
  </r>
  <r>
    <x v="1469"/>
    <n v="-9.9"/>
    <x v="2688"/>
    <n v="9757.83"/>
    <s v="Complete Access"/>
    <x v="177"/>
    <x v="1"/>
    <x v="1"/>
    <d v="1900-01-15T00:00:00"/>
    <n v="51"/>
    <x v="2"/>
    <x v="6"/>
  </r>
  <r>
    <x v="1469"/>
    <n v="-4"/>
    <x v="2863"/>
    <n v="9779.41"/>
    <s v="Complete Access"/>
    <x v="186"/>
    <x v="1"/>
    <x v="5"/>
    <d v="1900-01-15T00:00:00"/>
    <n v="51"/>
    <x v="2"/>
    <x v="6"/>
  </r>
  <r>
    <x v="1469"/>
    <n v="-14"/>
    <x v="3000"/>
    <n v="9783.41"/>
    <s v="Complete Access"/>
    <x v="687"/>
    <x v="1"/>
    <x v="5"/>
    <d v="1900-01-15T00:00:00"/>
    <n v="51"/>
    <x v="2"/>
    <x v="6"/>
  </r>
  <r>
    <x v="1470"/>
    <n v="-12"/>
    <x v="2494"/>
    <n v="9997.41"/>
    <s v="Complete Access"/>
    <x v="27"/>
    <x v="1"/>
    <x v="5"/>
    <d v="1900-01-14T00:00:00"/>
    <n v="51"/>
    <x v="2"/>
    <x v="6"/>
  </r>
  <r>
    <x v="1471"/>
    <n v="-24"/>
    <x v="3075"/>
    <n v="10009.41"/>
    <s v="Complete Access"/>
    <x v="707"/>
    <x v="20"/>
    <x v="63"/>
    <d v="1900-01-13T00:00:00"/>
    <n v="50"/>
    <x v="2"/>
    <x v="6"/>
  </r>
  <r>
    <x v="1471"/>
    <n v="-9"/>
    <x v="3076"/>
    <n v="10033.41"/>
    <s v="Complete Access"/>
    <x v="708"/>
    <x v="1"/>
    <x v="5"/>
    <d v="1900-01-13T00:00:00"/>
    <n v="50"/>
    <x v="2"/>
    <x v="6"/>
  </r>
  <r>
    <x v="1471"/>
    <n v="-100"/>
    <x v="2274"/>
    <n v="10042.41"/>
    <s v="Complete Access"/>
    <x v="552"/>
    <x v="0"/>
    <x v="74"/>
    <d v="1900-01-13T00:00:00"/>
    <n v="50"/>
    <x v="2"/>
    <x v="6"/>
  </r>
  <r>
    <x v="1472"/>
    <n v="-1.01"/>
    <x v="2859"/>
    <n v="10150.41"/>
    <s v="Complete Access"/>
    <x v="61"/>
    <x v="1"/>
    <x v="1"/>
    <d v="1900-01-12T00:00:00"/>
    <n v="50"/>
    <x v="2"/>
    <x v="6"/>
  </r>
  <r>
    <x v="1472"/>
    <n v="-8"/>
    <x v="3000"/>
    <n v="10142.41"/>
    <s v="Complete Access"/>
    <x v="687"/>
    <x v="1"/>
    <x v="5"/>
    <d v="1900-01-12T00:00:00"/>
    <n v="50"/>
    <x v="2"/>
    <x v="6"/>
  </r>
  <r>
    <x v="1473"/>
    <n v="-4.8099999999999996"/>
    <x v="2859"/>
    <n v="10254.92"/>
    <s v="Complete Access"/>
    <x v="61"/>
    <x v="1"/>
    <x v="1"/>
    <d v="1900-01-11T00:00:00"/>
    <n v="50"/>
    <x v="2"/>
    <x v="6"/>
  </r>
  <r>
    <x v="1473"/>
    <n v="-38.29"/>
    <x v="3077"/>
    <n v="10259.73"/>
    <s v="Complete Access"/>
    <x v="8"/>
    <x v="1"/>
    <x v="5"/>
    <d v="1900-01-11T00:00:00"/>
    <n v="50"/>
    <x v="2"/>
    <x v="6"/>
  </r>
  <r>
    <x v="1473"/>
    <n v="-40"/>
    <x v="3078"/>
    <n v="10312.82"/>
    <s v="Complete Access"/>
    <x v="12"/>
    <x v="5"/>
    <x v="8"/>
    <d v="1900-01-11T00:00:00"/>
    <n v="50"/>
    <x v="2"/>
    <x v="6"/>
  </r>
  <r>
    <x v="1473"/>
    <n v="-14.8"/>
    <x v="3079"/>
    <n v="10298.02"/>
    <s v="Complete Access"/>
    <x v="709"/>
    <x v="8"/>
    <x v="29"/>
    <d v="1900-01-11T00:00:00"/>
    <n v="50"/>
    <x v="2"/>
    <x v="6"/>
  </r>
  <r>
    <x v="1473"/>
    <n v="2053.4899999999998"/>
    <x v="3080"/>
    <n v="10852.82"/>
    <s v="Complete Access"/>
    <x v="14"/>
    <x v="6"/>
    <x v="9"/>
    <d v="1900-01-11T00:00:00"/>
    <n v="50"/>
    <x v="2"/>
    <x v="6"/>
  </r>
  <r>
    <x v="1473"/>
    <n v="-500"/>
    <x v="2294"/>
    <n v="10352.82"/>
    <s v="Complete Access"/>
    <x v="571"/>
    <x v="19"/>
    <x v="61"/>
    <d v="1900-01-11T00:00:00"/>
    <n v="50"/>
    <x v="2"/>
    <x v="6"/>
  </r>
  <r>
    <x v="1473"/>
    <n v="-73.5"/>
    <x v="2543"/>
    <n v="10151.42"/>
    <s v="Complete Access"/>
    <x v="17"/>
    <x v="7"/>
    <x v="11"/>
    <d v="1900-01-11T00:00:00"/>
    <n v="50"/>
    <x v="2"/>
    <x v="6"/>
  </r>
  <r>
    <x v="1473"/>
    <n v="-30"/>
    <x v="3081"/>
    <n v="10224.92"/>
    <s v="Complete Access"/>
    <x v="710"/>
    <x v="18"/>
    <x v="69"/>
    <d v="1900-01-11T00:00:00"/>
    <n v="50"/>
    <x v="2"/>
    <x v="6"/>
  </r>
  <r>
    <x v="1474"/>
    <n v="-1.9"/>
    <x v="2859"/>
    <n v="8950.9"/>
    <s v="Complete Access"/>
    <x v="61"/>
    <x v="1"/>
    <x v="1"/>
    <d v="1900-01-10T00:00:00"/>
    <n v="50"/>
    <x v="2"/>
    <x v="6"/>
  </r>
  <r>
    <x v="1474"/>
    <n v="-21.49"/>
    <x v="3082"/>
    <n v="8977.7999999999993"/>
    <s v="Complete Access"/>
    <x v="8"/>
    <x v="1"/>
    <x v="5"/>
    <d v="1900-01-10T00:00:00"/>
    <n v="50"/>
    <x v="2"/>
    <x v="6"/>
  </r>
  <r>
    <x v="1474"/>
    <n v="-100"/>
    <x v="3083"/>
    <n v="8799.33"/>
    <s v="Complete Access"/>
    <x v="711"/>
    <x v="18"/>
    <x v="80"/>
    <d v="1900-01-10T00:00:00"/>
    <n v="50"/>
    <x v="2"/>
    <x v="6"/>
  </r>
  <r>
    <x v="1474"/>
    <n v="20.5"/>
    <x v="3024"/>
    <n v="8901.4"/>
    <s v="Complete Access"/>
    <x v="27"/>
    <x v="1"/>
    <x v="5"/>
    <d v="1900-01-10T00:00:00"/>
    <n v="50"/>
    <x v="2"/>
    <x v="6"/>
  </r>
  <r>
    <x v="1474"/>
    <n v="59.93"/>
    <x v="2282"/>
    <n v="8961.33"/>
    <s v="Complete Access"/>
    <x v="567"/>
    <x v="0"/>
    <x v="69"/>
    <d v="1900-01-10T00:00:00"/>
    <n v="50"/>
    <x v="2"/>
    <x v="6"/>
  </r>
  <r>
    <x v="1474"/>
    <n v="-62"/>
    <x v="3061"/>
    <n v="8899.33"/>
    <s v="Complete Access"/>
    <x v="27"/>
    <x v="1"/>
    <x v="5"/>
    <d v="1900-01-10T00:00:00"/>
    <n v="50"/>
    <x v="2"/>
    <x v="6"/>
  </r>
  <r>
    <x v="1474"/>
    <n v="-55"/>
    <x v="3084"/>
    <n v="8880.9"/>
    <s v="Complete Access"/>
    <x v="712"/>
    <x v="4"/>
    <x v="73"/>
    <d v="1900-01-10T00:00:00"/>
    <n v="50"/>
    <x v="2"/>
    <x v="6"/>
  </r>
  <r>
    <x v="1474"/>
    <n v="-15"/>
    <x v="3000"/>
    <n v="8935.9"/>
    <s v="Complete Access"/>
    <x v="687"/>
    <x v="1"/>
    <x v="5"/>
    <d v="1900-01-10T00:00:00"/>
    <n v="50"/>
    <x v="2"/>
    <x v="6"/>
  </r>
  <r>
    <x v="1474"/>
    <n v="-25"/>
    <x v="3085"/>
    <n v="8952.7999999999993"/>
    <s v="Complete Access"/>
    <x v="713"/>
    <x v="8"/>
    <x v="29"/>
    <d v="1900-01-10T00:00:00"/>
    <n v="50"/>
    <x v="2"/>
    <x v="6"/>
  </r>
  <r>
    <x v="1475"/>
    <n v="-1.53"/>
    <x v="2859"/>
    <n v="9059.98"/>
    <s v="Complete Access"/>
    <x v="61"/>
    <x v="1"/>
    <x v="1"/>
    <d v="1900-01-09T00:00:00"/>
    <n v="50"/>
    <x v="2"/>
    <x v="6"/>
  </r>
  <r>
    <x v="1475"/>
    <n v="-401.61"/>
    <x v="3086"/>
    <n v="9073.56"/>
    <s v="Complete Access"/>
    <x v="256"/>
    <x v="4"/>
    <x v="47"/>
    <d v="1900-01-09T00:00:00"/>
    <n v="50"/>
    <x v="2"/>
    <x v="6"/>
  </r>
  <r>
    <x v="1475"/>
    <n v="-45.89"/>
    <x v="3087"/>
    <n v="9475.17"/>
    <s v="Complete Access"/>
    <x v="8"/>
    <x v="1"/>
    <x v="5"/>
    <d v="1900-01-09T00:00:00"/>
    <n v="50"/>
    <x v="2"/>
    <x v="6"/>
  </r>
  <r>
    <x v="1475"/>
    <n v="-49.49"/>
    <x v="3088"/>
    <n v="9521.06"/>
    <s v="Complete Access"/>
    <x v="8"/>
    <x v="1"/>
    <x v="5"/>
    <d v="1900-01-09T00:00:00"/>
    <n v="50"/>
    <x v="2"/>
    <x v="6"/>
  </r>
  <r>
    <x v="1475"/>
    <n v="-12.05"/>
    <x v="3089"/>
    <n v="9061.51"/>
    <s v="Complete Access"/>
    <x v="10"/>
    <x v="0"/>
    <x v="0"/>
    <d v="1900-01-09T00:00:00"/>
    <n v="50"/>
    <x v="2"/>
    <x v="6"/>
  </r>
  <r>
    <x v="1475"/>
    <n v="-11.9"/>
    <x v="2874"/>
    <n v="9039.18"/>
    <s v="Complete Access"/>
    <x v="663"/>
    <x v="1"/>
    <x v="1"/>
    <d v="1900-01-09T00:00:00"/>
    <n v="50"/>
    <x v="2"/>
    <x v="6"/>
  </r>
  <r>
    <x v="1475"/>
    <n v="-6.99"/>
    <x v="2688"/>
    <n v="9032.19"/>
    <s v="Complete Access"/>
    <x v="177"/>
    <x v="1"/>
    <x v="1"/>
    <d v="1900-01-09T00:00:00"/>
    <n v="50"/>
    <x v="2"/>
    <x v="6"/>
  </r>
  <r>
    <x v="1475"/>
    <n v="-8.9"/>
    <x v="2863"/>
    <n v="9051.08"/>
    <s v="Complete Access"/>
    <x v="186"/>
    <x v="1"/>
    <x v="5"/>
    <d v="1900-01-09T00:00:00"/>
    <n v="50"/>
    <x v="2"/>
    <x v="6"/>
  </r>
  <r>
    <x v="1475"/>
    <n v="-32.9"/>
    <x v="3090"/>
    <n v="8999.2900000000009"/>
    <s v="Complete Access"/>
    <x v="580"/>
    <x v="9"/>
    <x v="12"/>
    <d v="1900-01-09T00:00:00"/>
    <n v="50"/>
    <x v="2"/>
    <x v="6"/>
  </r>
  <r>
    <x v="1476"/>
    <n v="230"/>
    <x v="3091"/>
    <n v="9570.5499999999993"/>
    <s v="Complete Access"/>
    <x v="584"/>
    <x v="0"/>
    <x v="69"/>
    <d v="1900-01-08T00:00:00"/>
    <n v="50"/>
    <x v="2"/>
    <x v="6"/>
  </r>
  <r>
    <x v="1477"/>
    <n v="-100"/>
    <x v="2274"/>
    <n v="9320.5499999999993"/>
    <s v="Complete Access"/>
    <x v="552"/>
    <x v="0"/>
    <x v="74"/>
    <d v="1900-01-06T00:00:00"/>
    <n v="49"/>
    <x v="2"/>
    <x v="6"/>
  </r>
  <r>
    <x v="1477"/>
    <n v="20"/>
    <x v="2876"/>
    <n v="9340.5499999999993"/>
    <s v="Complete Access"/>
    <x v="27"/>
    <x v="1"/>
    <x v="5"/>
    <d v="1900-01-06T00:00:00"/>
    <n v="49"/>
    <x v="2"/>
    <x v="6"/>
  </r>
  <r>
    <x v="1478"/>
    <n v="-0.99"/>
    <x v="2859"/>
    <n v="9400.0499999999993"/>
    <s v="Complete Access"/>
    <x v="61"/>
    <x v="1"/>
    <x v="1"/>
    <d v="1900-01-05T00:00:00"/>
    <n v="49"/>
    <x v="2"/>
    <x v="6"/>
  </r>
  <r>
    <x v="1478"/>
    <n v="-40"/>
    <x v="3092"/>
    <n v="9401.0400000000009"/>
    <s v="Complete Access"/>
    <x v="12"/>
    <x v="5"/>
    <x v="8"/>
    <d v="1900-01-05T00:00:00"/>
    <n v="49"/>
    <x v="2"/>
    <x v="6"/>
  </r>
  <r>
    <x v="1478"/>
    <n v="20.5"/>
    <x v="3024"/>
    <n v="9420.5499999999993"/>
    <s v="Complete Access"/>
    <x v="27"/>
    <x v="1"/>
    <x v="5"/>
    <d v="1900-01-05T00:00:00"/>
    <n v="49"/>
    <x v="2"/>
    <x v="6"/>
  </r>
  <r>
    <x v="1479"/>
    <n v="-8.9"/>
    <x v="2863"/>
    <n v="9441.0400000000009"/>
    <s v="Complete Access"/>
    <x v="186"/>
    <x v="1"/>
    <x v="5"/>
    <d v="1900-01-04T00:00:00"/>
    <n v="49"/>
    <x v="2"/>
    <x v="6"/>
  </r>
  <r>
    <x v="1480"/>
    <n v="-0.91"/>
    <x v="2859"/>
    <n v="9180.43"/>
    <s v="Complete Access"/>
    <x v="61"/>
    <x v="1"/>
    <x v="1"/>
    <d v="1900-01-03T00:00:00"/>
    <n v="49"/>
    <x v="2"/>
    <x v="6"/>
  </r>
  <r>
    <x v="1480"/>
    <n v="-20"/>
    <x v="2948"/>
    <n v="9460.43"/>
    <s v="Complete Access"/>
    <x v="562"/>
    <x v="1"/>
    <x v="5"/>
    <d v="1900-01-03T00:00:00"/>
    <n v="49"/>
    <x v="2"/>
    <x v="6"/>
  </r>
  <r>
    <x v="1480"/>
    <n v="-10.49"/>
    <x v="2643"/>
    <n v="9449.94"/>
    <s v="Complete Access"/>
    <x v="215"/>
    <x v="1"/>
    <x v="1"/>
    <d v="1900-01-03T00:00:00"/>
    <n v="49"/>
    <x v="2"/>
    <x v="6"/>
  </r>
  <r>
    <x v="1480"/>
    <n v="300"/>
    <x v="3093"/>
    <n v="9480.43"/>
    <s v="Complete Access"/>
    <x v="657"/>
    <x v="0"/>
    <x v="69"/>
    <d v="1900-01-03T00:00:00"/>
    <n v="49"/>
    <x v="2"/>
    <x v="6"/>
  </r>
  <r>
    <x v="1481"/>
    <n v="-4.75"/>
    <x v="2859"/>
    <n v="9207.64"/>
    <s v="Complete Access"/>
    <x v="61"/>
    <x v="1"/>
    <x v="1"/>
    <d v="1900-01-02T00:00:00"/>
    <n v="49"/>
    <x v="2"/>
    <x v="6"/>
  </r>
  <r>
    <x v="1481"/>
    <n v="-8.9"/>
    <x v="3094"/>
    <n v="9212.39"/>
    <s v="Complete Access"/>
    <x v="682"/>
    <x v="1"/>
    <x v="5"/>
    <d v="1900-01-02T00:00:00"/>
    <n v="49"/>
    <x v="2"/>
    <x v="6"/>
  </r>
  <r>
    <x v="1481"/>
    <n v="-26.3"/>
    <x v="2688"/>
    <n v="9181.34"/>
    <s v="Complete Access"/>
    <x v="177"/>
    <x v="1"/>
    <x v="1"/>
    <d v="1900-01-02T00:00:00"/>
    <n v="49"/>
    <x v="2"/>
    <x v="6"/>
  </r>
  <r>
    <x v="1482"/>
    <n v="-8.68"/>
    <x v="2859"/>
    <n v="9306.99"/>
    <s v="Complete Access"/>
    <x v="61"/>
    <x v="1"/>
    <x v="1"/>
    <d v="1900-01-01T00:00:00"/>
    <n v="49"/>
    <x v="2"/>
    <x v="6"/>
  </r>
  <r>
    <x v="1482"/>
    <n v="-13.4"/>
    <x v="3095"/>
    <n v="9293.59"/>
    <s v="Complete Access"/>
    <x v="714"/>
    <x v="1"/>
    <x v="5"/>
    <d v="1900-01-01T00:00:00"/>
    <n v="49"/>
    <x v="2"/>
    <x v="6"/>
  </r>
  <r>
    <x v="1482"/>
    <n v="100"/>
    <x v="3096"/>
    <n v="9221.2900000000009"/>
    <s v="Complete Access"/>
    <x v="584"/>
    <x v="0"/>
    <x v="69"/>
    <d v="1900-01-01T00:00:00"/>
    <n v="49"/>
    <x v="2"/>
    <x v="6"/>
  </r>
  <r>
    <x v="1482"/>
    <n v="-172.3"/>
    <x v="3097"/>
    <n v="9121.2900000000009"/>
    <s v="Complete Access"/>
    <x v="76"/>
    <x v="2"/>
    <x v="2"/>
    <d v="1900-01-01T00:00:00"/>
    <n v="49"/>
    <x v="2"/>
    <x v="6"/>
  </r>
  <r>
    <x v="1483"/>
    <n v="-20"/>
    <x v="2229"/>
    <n v="9315.67"/>
    <s v="Complete Access"/>
    <x v="557"/>
    <x v="7"/>
    <x v="53"/>
    <d v="1899-12-31T00:00:00"/>
    <n v="49"/>
    <x v="2"/>
    <x v="6"/>
  </r>
  <r>
    <x v="1484"/>
    <n v="-100"/>
    <x v="2274"/>
    <n v="9335.67"/>
    <s v="Complete Access"/>
    <x v="552"/>
    <x v="0"/>
    <x v="74"/>
    <d v="1900-01-29T00:00:00"/>
    <n v="48"/>
    <x v="3"/>
    <x v="6"/>
  </r>
  <r>
    <x v="1485"/>
    <n v="-40"/>
    <x v="3098"/>
    <n v="9456.34"/>
    <s v="Complete Access"/>
    <x v="12"/>
    <x v="5"/>
    <x v="8"/>
    <d v="1900-01-28T00:00:00"/>
    <n v="48"/>
    <x v="3"/>
    <x v="6"/>
  </r>
  <r>
    <x v="1485"/>
    <n v="-14"/>
    <x v="3000"/>
    <n v="9442.34"/>
    <s v="Complete Access"/>
    <x v="687"/>
    <x v="1"/>
    <x v="5"/>
    <d v="1900-01-28T00:00:00"/>
    <n v="48"/>
    <x v="3"/>
    <x v="6"/>
  </r>
  <r>
    <x v="1485"/>
    <n v="-6.67"/>
    <x v="2942"/>
    <n v="9435.67"/>
    <s v="Complete Access"/>
    <x v="681"/>
    <x v="1"/>
    <x v="5"/>
    <d v="1900-01-28T00:00:00"/>
    <n v="48"/>
    <x v="3"/>
    <x v="6"/>
  </r>
  <r>
    <x v="1486"/>
    <n v="-1.74"/>
    <x v="2859"/>
    <n v="9496.34"/>
    <s v="Complete Access"/>
    <x v="61"/>
    <x v="1"/>
    <x v="1"/>
    <d v="1900-01-27T00:00:00"/>
    <n v="48"/>
    <x v="3"/>
    <x v="6"/>
  </r>
  <r>
    <x v="1486"/>
    <n v="2053.4899999999998"/>
    <x v="3099"/>
    <n v="9998.08"/>
    <s v="Complete Access"/>
    <x v="14"/>
    <x v="6"/>
    <x v="9"/>
    <d v="1900-01-27T00:00:00"/>
    <n v="48"/>
    <x v="3"/>
    <x v="6"/>
  </r>
  <r>
    <x v="1486"/>
    <n v="-500"/>
    <x v="2294"/>
    <n v="9498.08"/>
    <s v="Complete Access"/>
    <x v="571"/>
    <x v="19"/>
    <x v="61"/>
    <d v="1900-01-27T00:00:00"/>
    <n v="48"/>
    <x v="3"/>
    <x v="6"/>
  </r>
  <r>
    <x v="1487"/>
    <n v="-8.1300000000000008"/>
    <x v="2859"/>
    <n v="7977.97"/>
    <s v="Complete Access"/>
    <x v="61"/>
    <x v="1"/>
    <x v="1"/>
    <d v="1900-01-26T00:00:00"/>
    <n v="48"/>
    <x v="3"/>
    <x v="6"/>
  </r>
  <r>
    <x v="1487"/>
    <n v="-65"/>
    <x v="3100"/>
    <n v="8071.47"/>
    <s v="Complete Access"/>
    <x v="8"/>
    <x v="1"/>
    <x v="5"/>
    <d v="1900-01-26T00:00:00"/>
    <n v="48"/>
    <x v="3"/>
    <x v="6"/>
  </r>
  <r>
    <x v="1487"/>
    <n v="-23.5"/>
    <x v="3101"/>
    <n v="8146.46"/>
    <s v="Complete Access"/>
    <x v="8"/>
    <x v="1"/>
    <x v="5"/>
    <d v="1900-01-26T00:00:00"/>
    <n v="48"/>
    <x v="3"/>
    <x v="6"/>
  </r>
  <r>
    <x v="1487"/>
    <n v="-41"/>
    <x v="3101"/>
    <n v="8169.96"/>
    <s v="Complete Access"/>
    <x v="8"/>
    <x v="1"/>
    <x v="5"/>
    <d v="1900-01-26T00:00:00"/>
    <n v="48"/>
    <x v="3"/>
    <x v="6"/>
  </r>
  <r>
    <x v="1487"/>
    <n v="-9.99"/>
    <x v="3102"/>
    <n v="8136.47"/>
    <s v="Complete Access"/>
    <x v="373"/>
    <x v="8"/>
    <x v="7"/>
    <d v="1900-01-26T00:00:00"/>
    <n v="48"/>
    <x v="3"/>
    <x v="6"/>
  </r>
  <r>
    <x v="1487"/>
    <n v="-50"/>
    <x v="2929"/>
    <n v="8210.9599999999991"/>
    <s v="Complete Access"/>
    <x v="645"/>
    <x v="0"/>
    <x v="69"/>
    <d v="1900-01-26T00:00:00"/>
    <n v="48"/>
    <x v="3"/>
    <x v="6"/>
  </r>
  <r>
    <x v="1487"/>
    <n v="-25.38"/>
    <x v="2643"/>
    <n v="7944.59"/>
    <s v="Complete Access"/>
    <x v="215"/>
    <x v="1"/>
    <x v="1"/>
    <d v="1900-01-26T00:00:00"/>
    <n v="48"/>
    <x v="3"/>
    <x v="6"/>
  </r>
  <r>
    <x v="1487"/>
    <n v="-61.4"/>
    <x v="3103"/>
    <n v="7986.1"/>
    <s v="Complete Access"/>
    <x v="1"/>
    <x v="1"/>
    <x v="1"/>
    <d v="1900-01-26T00:00:00"/>
    <n v="48"/>
    <x v="3"/>
    <x v="6"/>
  </r>
  <r>
    <x v="1487"/>
    <n v="-23.97"/>
    <x v="3104"/>
    <n v="8047.5"/>
    <s v="Complete Access"/>
    <x v="1"/>
    <x v="1"/>
    <x v="1"/>
    <d v="1900-01-26T00:00:00"/>
    <n v="48"/>
    <x v="3"/>
    <x v="6"/>
  </r>
  <r>
    <x v="1487"/>
    <n v="-8"/>
    <x v="3000"/>
    <n v="7969.97"/>
    <s v="Complete Access"/>
    <x v="687"/>
    <x v="1"/>
    <x v="5"/>
    <d v="1900-01-26T00:00:00"/>
    <n v="48"/>
    <x v="3"/>
    <x v="6"/>
  </r>
  <r>
    <x v="1488"/>
    <n v="-7"/>
    <x v="2891"/>
    <n v="8282.11"/>
    <s v="Complete Access"/>
    <x v="669"/>
    <x v="1"/>
    <x v="5"/>
    <d v="1900-01-25T00:00:00"/>
    <n v="48"/>
    <x v="3"/>
    <x v="6"/>
  </r>
  <r>
    <x v="1488"/>
    <n v="-11"/>
    <x v="3105"/>
    <n v="8289.11"/>
    <s v="Complete Access"/>
    <x v="682"/>
    <x v="1"/>
    <x v="5"/>
    <d v="1900-01-25T00:00:00"/>
    <n v="48"/>
    <x v="3"/>
    <x v="6"/>
  </r>
  <r>
    <x v="1488"/>
    <n v="-13.19"/>
    <x v="2874"/>
    <n v="8268.92"/>
    <s v="Complete Access"/>
    <x v="663"/>
    <x v="1"/>
    <x v="1"/>
    <d v="1900-01-25T00:00:00"/>
    <n v="48"/>
    <x v="3"/>
    <x v="6"/>
  </r>
  <r>
    <x v="1488"/>
    <n v="-7.96"/>
    <x v="2688"/>
    <n v="8260.9599999999991"/>
    <s v="Complete Access"/>
    <x v="177"/>
    <x v="1"/>
    <x v="1"/>
    <d v="1900-01-25T00:00:00"/>
    <n v="48"/>
    <x v="3"/>
    <x v="6"/>
  </r>
  <r>
    <x v="1489"/>
    <n v="-4.84"/>
    <x v="2859"/>
    <n v="8268.61"/>
    <s v="Complete Access"/>
    <x v="61"/>
    <x v="1"/>
    <x v="1"/>
    <d v="1900-01-24T00:00:00"/>
    <n v="48"/>
    <x v="3"/>
    <x v="6"/>
  </r>
  <r>
    <x v="1489"/>
    <n v="33.5"/>
    <x v="3024"/>
    <n v="8288.11"/>
    <s v="Complete Access"/>
    <x v="27"/>
    <x v="1"/>
    <x v="5"/>
    <d v="1900-01-24T00:00:00"/>
    <n v="48"/>
    <x v="3"/>
    <x v="6"/>
  </r>
  <r>
    <x v="1489"/>
    <n v="12"/>
    <x v="2876"/>
    <n v="8300.11"/>
    <s v="Complete Access"/>
    <x v="27"/>
    <x v="1"/>
    <x v="5"/>
    <d v="1900-01-24T00:00:00"/>
    <n v="48"/>
    <x v="3"/>
    <x v="6"/>
  </r>
  <r>
    <x v="1489"/>
    <n v="-14"/>
    <x v="3000"/>
    <n v="8254.61"/>
    <s v="Complete Access"/>
    <x v="687"/>
    <x v="1"/>
    <x v="5"/>
    <d v="1900-01-24T00:00:00"/>
    <n v="48"/>
    <x v="3"/>
    <x v="6"/>
  </r>
  <r>
    <x v="1490"/>
    <n v="-20"/>
    <x v="2971"/>
    <n v="8273.4500000000007"/>
    <s v="Complete Access"/>
    <x v="0"/>
    <x v="0"/>
    <x v="0"/>
    <d v="1900-01-23T00:00:00"/>
    <n v="48"/>
    <x v="3"/>
    <x v="6"/>
  </r>
  <r>
    <x v="1491"/>
    <n v="-40"/>
    <x v="3106"/>
    <n v="8293.4500000000007"/>
    <s v="Complete Access"/>
    <x v="12"/>
    <x v="5"/>
    <x v="8"/>
    <d v="1900-01-22T00:00:00"/>
    <n v="47"/>
    <x v="3"/>
    <x v="6"/>
  </r>
  <r>
    <x v="1491"/>
    <n v="-100"/>
    <x v="2274"/>
    <n v="8333.4500000000007"/>
    <s v="Complete Access"/>
    <x v="552"/>
    <x v="0"/>
    <x v="74"/>
    <d v="1900-01-22T00:00:00"/>
    <n v="47"/>
    <x v="3"/>
    <x v="6"/>
  </r>
  <r>
    <x v="1492"/>
    <n v="-3.5"/>
    <x v="2859"/>
    <n v="8447.4500000000007"/>
    <s v="Complete Access"/>
    <x v="61"/>
    <x v="1"/>
    <x v="1"/>
    <d v="1900-01-21T00:00:00"/>
    <n v="47"/>
    <x v="3"/>
    <x v="6"/>
  </r>
  <r>
    <x v="1492"/>
    <n v="-14"/>
    <x v="2863"/>
    <n v="8433.4500000000007"/>
    <s v="Complete Access"/>
    <x v="186"/>
    <x v="1"/>
    <x v="5"/>
    <d v="1900-01-21T00:00:00"/>
    <n v="47"/>
    <x v="3"/>
    <x v="6"/>
  </r>
  <r>
    <x v="1493"/>
    <n v="-4.25"/>
    <x v="2859"/>
    <n v="8450.9500000000007"/>
    <s v="Complete Access"/>
    <x v="61"/>
    <x v="1"/>
    <x v="1"/>
    <d v="1900-01-20T00:00:00"/>
    <n v="47"/>
    <x v="3"/>
    <x v="6"/>
  </r>
  <r>
    <x v="1493"/>
    <n v="-196.71"/>
    <x v="3107"/>
    <n v="8455.2000000000007"/>
    <s v="Complete Access"/>
    <x v="0"/>
    <x v="0"/>
    <x v="0"/>
    <d v="1900-01-20T00:00:00"/>
    <n v="47"/>
    <x v="3"/>
    <x v="6"/>
  </r>
  <r>
    <x v="1494"/>
    <n v="-24"/>
    <x v="3108"/>
    <n v="8688.83"/>
    <s v="Complete Access"/>
    <x v="8"/>
    <x v="1"/>
    <x v="5"/>
    <d v="1900-01-19T00:00:00"/>
    <n v="47"/>
    <x v="3"/>
    <x v="6"/>
  </r>
  <r>
    <x v="1494"/>
    <n v="-20.52"/>
    <x v="2643"/>
    <n v="8651.91"/>
    <s v="Complete Access"/>
    <x v="215"/>
    <x v="1"/>
    <x v="1"/>
    <d v="1900-01-19T00:00:00"/>
    <n v="47"/>
    <x v="3"/>
    <x v="6"/>
  </r>
  <r>
    <x v="1494"/>
    <n v="-16.399999999999999"/>
    <x v="2863"/>
    <n v="8672.43"/>
    <s v="Complete Access"/>
    <x v="186"/>
    <x v="1"/>
    <x v="5"/>
    <d v="1900-01-19T00:00:00"/>
    <n v="47"/>
    <x v="3"/>
    <x v="6"/>
  </r>
  <r>
    <x v="1495"/>
    <n v="-8.9"/>
    <x v="3109"/>
    <n v="8756.83"/>
    <s v="Complete Access"/>
    <x v="682"/>
    <x v="1"/>
    <x v="5"/>
    <d v="1900-01-18T00:00:00"/>
    <n v="47"/>
    <x v="3"/>
    <x v="6"/>
  </r>
  <r>
    <x v="1495"/>
    <n v="-11"/>
    <x v="2762"/>
    <n v="8712.83"/>
    <s v="Complete Access"/>
    <x v="616"/>
    <x v="1"/>
    <x v="1"/>
    <d v="1900-01-18T00:00:00"/>
    <n v="47"/>
    <x v="3"/>
    <x v="6"/>
  </r>
  <r>
    <x v="1495"/>
    <n v="-7"/>
    <x v="3110"/>
    <n v="8723.83"/>
    <s v="Complete Access"/>
    <x v="715"/>
    <x v="8"/>
    <x v="29"/>
    <d v="1900-01-18T00:00:00"/>
    <n v="47"/>
    <x v="3"/>
    <x v="6"/>
  </r>
  <r>
    <x v="1495"/>
    <n v="-22"/>
    <x v="3110"/>
    <n v="8730.83"/>
    <s v="Complete Access"/>
    <x v="715"/>
    <x v="8"/>
    <x v="29"/>
    <d v="1900-01-18T00:00:00"/>
    <n v="47"/>
    <x v="3"/>
    <x v="6"/>
  </r>
  <r>
    <x v="1495"/>
    <n v="-4"/>
    <x v="3111"/>
    <n v="8752.83"/>
    <s v="Complete Access"/>
    <x v="277"/>
    <x v="8"/>
    <x v="29"/>
    <d v="1900-01-18T00:00:00"/>
    <n v="47"/>
    <x v="3"/>
    <x v="6"/>
  </r>
  <r>
    <x v="1496"/>
    <n v="-1.1499999999999999"/>
    <x v="2643"/>
    <n v="8765.73"/>
    <s v="Complete Access"/>
    <x v="215"/>
    <x v="1"/>
    <x v="1"/>
    <d v="1900-01-17T00:00:00"/>
    <n v="47"/>
    <x v="3"/>
    <x v="6"/>
  </r>
  <r>
    <x v="1496"/>
    <n v="-10.39"/>
    <x v="2874"/>
    <n v="8776.8700000000008"/>
    <s v="Complete Access"/>
    <x v="663"/>
    <x v="1"/>
    <x v="1"/>
    <d v="1900-01-17T00:00:00"/>
    <n v="47"/>
    <x v="3"/>
    <x v="6"/>
  </r>
  <r>
    <x v="1496"/>
    <n v="-9.99"/>
    <x v="2688"/>
    <n v="8766.8799999999992"/>
    <s v="Complete Access"/>
    <x v="177"/>
    <x v="1"/>
    <x v="1"/>
    <d v="1900-01-17T00:00:00"/>
    <n v="47"/>
    <x v="3"/>
    <x v="6"/>
  </r>
  <r>
    <x v="1496"/>
    <n v="-14.5"/>
    <x v="2494"/>
    <n v="8770.26"/>
    <s v="Complete Access"/>
    <x v="27"/>
    <x v="1"/>
    <x v="5"/>
    <d v="1900-01-17T00:00:00"/>
    <n v="47"/>
    <x v="3"/>
    <x v="6"/>
  </r>
  <r>
    <x v="1496"/>
    <n v="17"/>
    <x v="3112"/>
    <n v="8787.26"/>
    <s v="Complete Access"/>
    <x v="76"/>
    <x v="2"/>
    <x v="2"/>
    <d v="1900-01-17T00:00:00"/>
    <n v="47"/>
    <x v="3"/>
    <x v="6"/>
  </r>
  <r>
    <x v="1497"/>
    <n v="-8.9"/>
    <x v="3113"/>
    <n v="8801.66"/>
    <s v="Complete Access"/>
    <x v="682"/>
    <x v="1"/>
    <x v="5"/>
    <d v="1900-01-15T00:00:00"/>
    <n v="46"/>
    <x v="3"/>
    <x v="6"/>
  </r>
  <r>
    <x v="1497"/>
    <n v="-100"/>
    <x v="2274"/>
    <n v="8810.56"/>
    <s v="Complete Access"/>
    <x v="552"/>
    <x v="0"/>
    <x v="74"/>
    <d v="1900-01-15T00:00:00"/>
    <n v="46"/>
    <x v="3"/>
    <x v="6"/>
  </r>
  <r>
    <x v="1497"/>
    <n v="-16.899999999999999"/>
    <x v="2638"/>
    <n v="8784.76"/>
    <s v="Complete Access"/>
    <x v="304"/>
    <x v="1"/>
    <x v="5"/>
    <d v="1900-01-15T00:00:00"/>
    <n v="46"/>
    <x v="3"/>
    <x v="6"/>
  </r>
  <r>
    <x v="1498"/>
    <n v="-2.5"/>
    <x v="2859"/>
    <n v="8916.64"/>
    <s v="Complete Access"/>
    <x v="61"/>
    <x v="1"/>
    <x v="1"/>
    <d v="1900-01-14T00:00:00"/>
    <n v="46"/>
    <x v="3"/>
    <x v="6"/>
  </r>
  <r>
    <x v="1498"/>
    <n v="-40"/>
    <x v="3114"/>
    <n v="8928.64"/>
    <s v="Complete Access"/>
    <x v="12"/>
    <x v="5"/>
    <x v="8"/>
    <d v="1900-01-14T00:00:00"/>
    <n v="46"/>
    <x v="3"/>
    <x v="6"/>
  </r>
  <r>
    <x v="1498"/>
    <n v="-6.08"/>
    <x v="2643"/>
    <n v="8910.56"/>
    <s v="Complete Access"/>
    <x v="215"/>
    <x v="1"/>
    <x v="1"/>
    <d v="1900-01-14T00:00:00"/>
    <n v="46"/>
    <x v="3"/>
    <x v="6"/>
  </r>
  <r>
    <x v="1498"/>
    <n v="-9.5"/>
    <x v="3115"/>
    <n v="8919.14"/>
    <s v="Complete Access"/>
    <x v="277"/>
    <x v="8"/>
    <x v="29"/>
    <d v="1900-01-14T00:00:00"/>
    <n v="46"/>
    <x v="3"/>
    <x v="6"/>
  </r>
  <r>
    <x v="1499"/>
    <n v="-3.18"/>
    <x v="2859"/>
    <n v="8968.64"/>
    <s v="Complete Access"/>
    <x v="61"/>
    <x v="1"/>
    <x v="1"/>
    <d v="1900-01-13T00:00:00"/>
    <n v="46"/>
    <x v="3"/>
    <x v="6"/>
  </r>
  <r>
    <x v="1499"/>
    <n v="-46.5"/>
    <x v="3116"/>
    <n v="8971.82"/>
    <s v="Complete Access"/>
    <x v="8"/>
    <x v="1"/>
    <x v="5"/>
    <d v="1900-01-13T00:00:00"/>
    <n v="46"/>
    <x v="3"/>
    <x v="6"/>
  </r>
  <r>
    <x v="1499"/>
    <n v="2053.4899999999998"/>
    <x v="3117"/>
    <n v="9518.32"/>
    <s v="Complete Access"/>
    <x v="14"/>
    <x v="6"/>
    <x v="9"/>
    <d v="1900-01-13T00:00:00"/>
    <n v="46"/>
    <x v="3"/>
    <x v="6"/>
  </r>
  <r>
    <x v="1499"/>
    <n v="-500"/>
    <x v="2294"/>
    <n v="9018.32"/>
    <s v="Complete Access"/>
    <x v="571"/>
    <x v="19"/>
    <x v="61"/>
    <d v="1900-01-13T00:00:00"/>
    <n v="46"/>
    <x v="3"/>
    <x v="6"/>
  </r>
  <r>
    <x v="1500"/>
    <n v="-1.62"/>
    <x v="2859"/>
    <n v="7476.23"/>
    <s v="Complete Access"/>
    <x v="61"/>
    <x v="1"/>
    <x v="1"/>
    <d v="1900-01-12T00:00:00"/>
    <n v="46"/>
    <x v="3"/>
    <x v="6"/>
  </r>
  <r>
    <x v="1500"/>
    <n v="-37.5"/>
    <x v="3118"/>
    <n v="7477.85"/>
    <s v="Complete Access"/>
    <x v="8"/>
    <x v="1"/>
    <x v="5"/>
    <d v="1900-01-12T00:00:00"/>
    <n v="46"/>
    <x v="3"/>
    <x v="6"/>
  </r>
  <r>
    <x v="1500"/>
    <n v="-11.4"/>
    <x v="2762"/>
    <n v="7464.83"/>
    <s v="Complete Access"/>
    <x v="616"/>
    <x v="1"/>
    <x v="1"/>
    <d v="1900-01-12T00:00:00"/>
    <n v="46"/>
    <x v="3"/>
    <x v="6"/>
  </r>
  <r>
    <x v="1501"/>
    <n v="-23.5"/>
    <x v="3119"/>
    <n v="7595.35"/>
    <s v="Complete Access"/>
    <x v="8"/>
    <x v="1"/>
    <x v="5"/>
    <d v="1900-01-11T00:00:00"/>
    <n v="46"/>
    <x v="3"/>
    <x v="6"/>
  </r>
  <r>
    <x v="1501"/>
    <n v="-25"/>
    <x v="3120"/>
    <n v="7618.85"/>
    <s v="Complete Access"/>
    <x v="192"/>
    <x v="4"/>
    <x v="20"/>
    <d v="1900-01-11T00:00:00"/>
    <n v="46"/>
    <x v="3"/>
    <x v="6"/>
  </r>
  <r>
    <x v="1501"/>
    <n v="-80"/>
    <x v="3121"/>
    <n v="7515.35"/>
    <s v="Complete Access"/>
    <x v="716"/>
    <x v="11"/>
    <x v="49"/>
    <d v="1900-01-11T00:00:00"/>
    <n v="46"/>
    <x v="3"/>
    <x v="6"/>
  </r>
  <r>
    <x v="1502"/>
    <n v="-1.1100000000000001"/>
    <x v="2859"/>
    <n v="7822.12"/>
    <s v="Complete Access"/>
    <x v="61"/>
    <x v="1"/>
    <x v="1"/>
    <d v="1900-01-10T00:00:00"/>
    <n v="46"/>
    <x v="3"/>
    <x v="6"/>
  </r>
  <r>
    <x v="1502"/>
    <n v="-52"/>
    <x v="2929"/>
    <n v="7716.85"/>
    <s v="Complete Access"/>
    <x v="645"/>
    <x v="0"/>
    <x v="69"/>
    <d v="1900-01-10T00:00:00"/>
    <n v="46"/>
    <x v="3"/>
    <x v="6"/>
  </r>
  <r>
    <x v="1502"/>
    <n v="-39.270000000000003"/>
    <x v="2688"/>
    <n v="7768.85"/>
    <s v="Complete Access"/>
    <x v="177"/>
    <x v="1"/>
    <x v="1"/>
    <d v="1900-01-10T00:00:00"/>
    <n v="46"/>
    <x v="3"/>
    <x v="6"/>
  </r>
  <r>
    <x v="1502"/>
    <n v="-73"/>
    <x v="2543"/>
    <n v="7643.85"/>
    <s v="Complete Access"/>
    <x v="17"/>
    <x v="7"/>
    <x v="11"/>
    <d v="1900-01-10T00:00:00"/>
    <n v="46"/>
    <x v="3"/>
    <x v="6"/>
  </r>
  <r>
    <x v="1502"/>
    <n v="-14"/>
    <x v="3000"/>
    <n v="7808.12"/>
    <s v="Complete Access"/>
    <x v="687"/>
    <x v="1"/>
    <x v="5"/>
    <d v="1900-01-10T00:00:00"/>
    <n v="46"/>
    <x v="3"/>
    <x v="6"/>
  </r>
  <r>
    <x v="1503"/>
    <n v="-362.07"/>
    <x v="3122"/>
    <n v="7934.09"/>
    <s v="Complete Access"/>
    <x v="256"/>
    <x v="4"/>
    <x v="47"/>
    <d v="1900-01-08T00:00:00"/>
    <n v="45"/>
    <x v="3"/>
    <x v="6"/>
  </r>
  <r>
    <x v="1503"/>
    <n v="-40"/>
    <x v="3123"/>
    <n v="8388.66"/>
    <s v="Complete Access"/>
    <x v="12"/>
    <x v="5"/>
    <x v="8"/>
    <d v="1900-01-08T00:00:00"/>
    <n v="45"/>
    <x v="3"/>
    <x v="6"/>
  </r>
  <r>
    <x v="1503"/>
    <n v="-58.31"/>
    <x v="3124"/>
    <n v="8330.35"/>
    <s v="Complete Access"/>
    <x v="717"/>
    <x v="1"/>
    <x v="5"/>
    <d v="1900-01-08T00:00:00"/>
    <n v="45"/>
    <x v="3"/>
    <x v="6"/>
  </r>
  <r>
    <x v="1503"/>
    <n v="-10.86"/>
    <x v="3125"/>
    <n v="7923.23"/>
    <s v="Complete Access"/>
    <x v="10"/>
    <x v="0"/>
    <x v="0"/>
    <d v="1900-01-08T00:00:00"/>
    <n v="45"/>
    <x v="3"/>
    <x v="6"/>
  </r>
  <r>
    <x v="1503"/>
    <n v="-100"/>
    <x v="2274"/>
    <n v="7823.23"/>
    <s v="Complete Access"/>
    <x v="552"/>
    <x v="0"/>
    <x v="74"/>
    <d v="1900-01-08T00:00:00"/>
    <n v="45"/>
    <x v="3"/>
    <x v="6"/>
  </r>
  <r>
    <x v="1503"/>
    <n v="-34.19"/>
    <x v="3126"/>
    <n v="8296.16"/>
    <s v="Complete Access"/>
    <x v="718"/>
    <x v="4"/>
    <x v="30"/>
    <d v="1900-01-08T00:00:00"/>
    <n v="45"/>
    <x v="3"/>
    <x v="6"/>
  </r>
  <r>
    <x v="1504"/>
    <n v="-5"/>
    <x v="2859"/>
    <n v="8464.66"/>
    <s v="Complete Access"/>
    <x v="61"/>
    <x v="1"/>
    <x v="1"/>
    <d v="1900-01-07T00:00:00"/>
    <n v="45"/>
    <x v="3"/>
    <x v="6"/>
  </r>
  <r>
    <x v="1504"/>
    <n v="-12.5"/>
    <x v="3127"/>
    <n v="8497.7999999999993"/>
    <s v="Complete Access"/>
    <x v="682"/>
    <x v="1"/>
    <x v="5"/>
    <d v="1900-01-07T00:00:00"/>
    <n v="45"/>
    <x v="3"/>
    <x v="6"/>
  </r>
  <r>
    <x v="1504"/>
    <n v="-17.5"/>
    <x v="3128"/>
    <n v="8447.16"/>
    <s v="Complete Access"/>
    <x v="719"/>
    <x v="1"/>
    <x v="5"/>
    <d v="1900-01-07T00:00:00"/>
    <n v="45"/>
    <x v="3"/>
    <x v="6"/>
  </r>
  <r>
    <x v="1504"/>
    <n v="-28.14"/>
    <x v="3129"/>
    <n v="8469.66"/>
    <s v="Complete Access"/>
    <x v="237"/>
    <x v="15"/>
    <x v="34"/>
    <d v="1900-01-07T00:00:00"/>
    <n v="45"/>
    <x v="3"/>
    <x v="6"/>
  </r>
  <r>
    <x v="1504"/>
    <n v="-18.5"/>
    <x v="2700"/>
    <n v="8428.66"/>
    <s v="Complete Access"/>
    <x v="243"/>
    <x v="1"/>
    <x v="23"/>
    <d v="1900-01-07T00:00:00"/>
    <n v="45"/>
    <x v="3"/>
    <x v="6"/>
  </r>
  <r>
    <x v="1505"/>
    <n v="-28.79"/>
    <x v="3130"/>
    <n v="8524.2999999999993"/>
    <s v="Complete Access"/>
    <x v="720"/>
    <x v="8"/>
    <x v="29"/>
    <d v="1900-01-06T00:00:00"/>
    <n v="45"/>
    <x v="3"/>
    <x v="6"/>
  </r>
  <r>
    <x v="1505"/>
    <n v="-19.190000000000001"/>
    <x v="3130"/>
    <n v="8553.09"/>
    <s v="Complete Access"/>
    <x v="720"/>
    <x v="8"/>
    <x v="29"/>
    <d v="1900-01-06T00:00:00"/>
    <n v="45"/>
    <x v="3"/>
    <x v="6"/>
  </r>
  <r>
    <x v="1505"/>
    <n v="-38.380000000000003"/>
    <x v="3130"/>
    <n v="8572.2800000000007"/>
    <s v="Complete Access"/>
    <x v="720"/>
    <x v="8"/>
    <x v="29"/>
    <d v="1900-01-06T00:00:00"/>
    <n v="45"/>
    <x v="3"/>
    <x v="6"/>
  </r>
  <r>
    <x v="1505"/>
    <n v="-33.08"/>
    <x v="3131"/>
    <n v="8610.66"/>
    <s v="Complete Access"/>
    <x v="668"/>
    <x v="15"/>
    <x v="34"/>
    <d v="1900-01-06T00:00:00"/>
    <n v="45"/>
    <x v="3"/>
    <x v="6"/>
  </r>
  <r>
    <x v="1505"/>
    <n v="-14"/>
    <x v="3000"/>
    <n v="8510.2999999999993"/>
    <s v="Complete Access"/>
    <x v="687"/>
    <x v="1"/>
    <x v="5"/>
    <d v="1900-01-06T00:00:00"/>
    <n v="45"/>
    <x v="3"/>
    <x v="6"/>
  </r>
  <r>
    <x v="1506"/>
    <n v="-42"/>
    <x v="3132"/>
    <n v="8673.11"/>
    <s v="Complete Access"/>
    <x v="8"/>
    <x v="1"/>
    <x v="5"/>
    <d v="1900-01-05T00:00:00"/>
    <n v="45"/>
    <x v="3"/>
    <x v="6"/>
  </r>
  <r>
    <x v="1506"/>
    <n v="-15"/>
    <x v="2948"/>
    <n v="8658.11"/>
    <s v="Complete Access"/>
    <x v="562"/>
    <x v="1"/>
    <x v="5"/>
    <d v="1900-01-05T00:00:00"/>
    <n v="45"/>
    <x v="3"/>
    <x v="6"/>
  </r>
  <r>
    <x v="1506"/>
    <n v="-14.37"/>
    <x v="2688"/>
    <n v="8643.74"/>
    <s v="Complete Access"/>
    <x v="177"/>
    <x v="1"/>
    <x v="1"/>
    <d v="1900-01-05T00:00:00"/>
    <n v="45"/>
    <x v="3"/>
    <x v="6"/>
  </r>
  <r>
    <x v="1507"/>
    <n v="-2.16"/>
    <x v="2859"/>
    <n v="8715.11"/>
    <s v="Complete Access"/>
    <x v="61"/>
    <x v="1"/>
    <x v="1"/>
    <d v="1900-01-04T00:00:00"/>
    <n v="45"/>
    <x v="3"/>
    <x v="6"/>
  </r>
  <r>
    <x v="1507"/>
    <n v="-40"/>
    <x v="3133"/>
    <n v="8756.7199999999993"/>
    <s v="Complete Access"/>
    <x v="12"/>
    <x v="5"/>
    <x v="8"/>
    <d v="1900-01-04T00:00:00"/>
    <n v="45"/>
    <x v="3"/>
    <x v="6"/>
  </r>
  <r>
    <x v="1507"/>
    <n v="-9"/>
    <x v="3134"/>
    <n v="8747.7199999999993"/>
    <s v="Complete Access"/>
    <x v="512"/>
    <x v="1"/>
    <x v="5"/>
    <d v="1900-01-04T00:00:00"/>
    <n v="45"/>
    <x v="3"/>
    <x v="6"/>
  </r>
  <r>
    <x v="1507"/>
    <n v="-30.45"/>
    <x v="3135"/>
    <n v="8717.27"/>
    <s v="Complete Access"/>
    <x v="237"/>
    <x v="15"/>
    <x v="34"/>
    <d v="1900-01-04T00:00:00"/>
    <n v="45"/>
    <x v="3"/>
    <x v="6"/>
  </r>
  <r>
    <x v="1508"/>
    <n v="-2.4300000000000002"/>
    <x v="2859"/>
    <n v="8823.6200000000008"/>
    <s v="Complete Access"/>
    <x v="61"/>
    <x v="1"/>
    <x v="1"/>
    <d v="1900-01-03T00:00:00"/>
    <n v="45"/>
    <x v="3"/>
    <x v="6"/>
  </r>
  <r>
    <x v="1508"/>
    <n v="-26.9"/>
    <x v="2688"/>
    <n v="8796.7199999999993"/>
    <s v="Complete Access"/>
    <x v="177"/>
    <x v="1"/>
    <x v="1"/>
    <d v="1900-01-03T00:00:00"/>
    <n v="45"/>
    <x v="3"/>
    <x v="6"/>
  </r>
  <r>
    <x v="1509"/>
    <n v="18.5"/>
    <x v="3136"/>
    <n v="8839.5499999999993"/>
    <s v="Complete Access"/>
    <x v="27"/>
    <x v="1"/>
    <x v="5"/>
    <d v="1900-01-02T00:00:00"/>
    <n v="45"/>
    <x v="3"/>
    <x v="6"/>
  </r>
  <r>
    <x v="1509"/>
    <n v="-13.5"/>
    <x v="2971"/>
    <n v="8826.0499999999993"/>
    <s v="Complete Access"/>
    <x v="0"/>
    <x v="0"/>
    <x v="0"/>
    <d v="1900-01-02T00:00:00"/>
    <n v="45"/>
    <x v="3"/>
    <x v="6"/>
  </r>
  <r>
    <x v="1510"/>
    <n v="-8.9"/>
    <x v="3137"/>
    <n v="8849.0499999999993"/>
    <s v="Complete Access"/>
    <x v="682"/>
    <x v="1"/>
    <x v="5"/>
    <d v="1900-01-01T00:00:00"/>
    <n v="44"/>
    <x v="3"/>
    <x v="6"/>
  </r>
  <r>
    <x v="1510"/>
    <n v="-100"/>
    <x v="2274"/>
    <n v="8857.9500000000007"/>
    <s v="Complete Access"/>
    <x v="552"/>
    <x v="0"/>
    <x v="74"/>
    <d v="1900-01-01T00:00:00"/>
    <n v="44"/>
    <x v="3"/>
    <x v="6"/>
  </r>
  <r>
    <x v="1510"/>
    <n v="-28"/>
    <x v="3061"/>
    <n v="8821.0499999999993"/>
    <s v="Complete Access"/>
    <x v="27"/>
    <x v="1"/>
    <x v="5"/>
    <d v="1900-01-01T00:00:00"/>
    <n v="44"/>
    <x v="3"/>
    <x v="6"/>
  </r>
  <r>
    <x v="1511"/>
    <n v="-80"/>
    <x v="3138"/>
    <n v="8960.75"/>
    <s v="Complete Access"/>
    <x v="601"/>
    <x v="0"/>
    <x v="0"/>
    <d v="1899-12-31T00:00:00"/>
    <n v="44"/>
    <x v="3"/>
    <x v="6"/>
  </r>
  <r>
    <x v="1511"/>
    <n v="-32"/>
    <x v="3139"/>
    <n v="9213.0499999999993"/>
    <s v="Complete Access"/>
    <x v="721"/>
    <x v="8"/>
    <x v="29"/>
    <d v="1899-12-31T00:00:00"/>
    <n v="44"/>
    <x v="3"/>
    <x v="6"/>
  </r>
  <r>
    <x v="1511"/>
    <n v="-10"/>
    <x v="3128"/>
    <n v="9245.0499999999993"/>
    <s v="Complete Access"/>
    <x v="719"/>
    <x v="1"/>
    <x v="5"/>
    <d v="1899-12-31T00:00:00"/>
    <n v="44"/>
    <x v="3"/>
    <x v="6"/>
  </r>
  <r>
    <x v="1511"/>
    <n v="-2.8"/>
    <x v="3140"/>
    <n v="8957.9500000000007"/>
    <s v="Complete Access"/>
    <x v="37"/>
    <x v="0"/>
    <x v="0"/>
    <d v="1899-12-31T00:00:00"/>
    <n v="44"/>
    <x v="3"/>
    <x v="6"/>
  </r>
  <r>
    <x v="1511"/>
    <n v="-20"/>
    <x v="2229"/>
    <n v="9255.0499999999993"/>
    <s v="Complete Access"/>
    <x v="557"/>
    <x v="7"/>
    <x v="53"/>
    <d v="1899-12-31T00:00:00"/>
    <n v="44"/>
    <x v="3"/>
    <x v="6"/>
  </r>
  <r>
    <x v="1511"/>
    <n v="-24.5"/>
    <x v="3141"/>
    <n v="9275.0499999999993"/>
    <s v="Complete Access"/>
    <x v="460"/>
    <x v="8"/>
    <x v="29"/>
    <d v="1899-12-31T00:00:00"/>
    <n v="44"/>
    <x v="3"/>
    <x v="6"/>
  </r>
  <r>
    <x v="1511"/>
    <n v="-172.3"/>
    <x v="3142"/>
    <n v="9040.75"/>
    <s v="Complete Access"/>
    <x v="76"/>
    <x v="2"/>
    <x v="2"/>
    <d v="1899-12-31T00:00:00"/>
    <n v="44"/>
    <x v="3"/>
    <x v="6"/>
  </r>
  <r>
    <x v="1512"/>
    <n v="-4"/>
    <x v="2859"/>
    <n v="9514.35"/>
    <s v="Complete Access"/>
    <x v="61"/>
    <x v="1"/>
    <x v="1"/>
    <d v="1900-01-30T00:00:00"/>
    <n v="44"/>
    <x v="4"/>
    <x v="6"/>
  </r>
  <r>
    <x v="1512"/>
    <n v="2053.4899999999998"/>
    <x v="3143"/>
    <n v="10018.35"/>
    <s v="Complete Access"/>
    <x v="14"/>
    <x v="6"/>
    <x v="9"/>
    <d v="1900-01-30T00:00:00"/>
    <n v="44"/>
    <x v="4"/>
    <x v="6"/>
  </r>
  <r>
    <x v="1512"/>
    <n v="-500"/>
    <x v="2294"/>
    <n v="9518.35"/>
    <s v="Complete Access"/>
    <x v="571"/>
    <x v="19"/>
    <x v="61"/>
    <d v="1900-01-30T00:00:00"/>
    <n v="44"/>
    <x v="4"/>
    <x v="6"/>
  </r>
  <r>
    <x v="1512"/>
    <n v="-200"/>
    <x v="2999"/>
    <n v="9299.5499999999993"/>
    <s v="Complete Access"/>
    <x v="0"/>
    <x v="0"/>
    <x v="0"/>
    <d v="1900-01-30T00:00:00"/>
    <n v="44"/>
    <x v="4"/>
    <x v="6"/>
  </r>
  <r>
    <x v="1512"/>
    <n v="-4.9000000000000004"/>
    <x v="2863"/>
    <n v="9499.5499999999993"/>
    <s v="Complete Access"/>
    <x v="186"/>
    <x v="1"/>
    <x v="5"/>
    <d v="1900-01-30T00:00:00"/>
    <n v="44"/>
    <x v="4"/>
    <x v="6"/>
  </r>
  <r>
    <x v="1512"/>
    <n v="-9.9"/>
    <x v="2863"/>
    <n v="9504.4500000000007"/>
    <s v="Complete Access"/>
    <x v="186"/>
    <x v="1"/>
    <x v="5"/>
    <d v="1900-01-30T00:00:00"/>
    <n v="44"/>
    <x v="4"/>
    <x v="6"/>
  </r>
  <r>
    <x v="1513"/>
    <n v="-7.2"/>
    <x v="2859"/>
    <n v="7986.74"/>
    <s v="Complete Access"/>
    <x v="61"/>
    <x v="1"/>
    <x v="1"/>
    <d v="1900-01-29T00:00:00"/>
    <n v="44"/>
    <x v="4"/>
    <x v="6"/>
  </r>
  <r>
    <x v="1513"/>
    <n v="-33.5"/>
    <x v="3144"/>
    <n v="7993.94"/>
    <s v="Complete Access"/>
    <x v="8"/>
    <x v="1"/>
    <x v="5"/>
    <d v="1900-01-29T00:00:00"/>
    <n v="44"/>
    <x v="4"/>
    <x v="6"/>
  </r>
  <r>
    <x v="1513"/>
    <n v="-3.73"/>
    <x v="3145"/>
    <n v="8027.44"/>
    <s v="Complete Access"/>
    <x v="285"/>
    <x v="5"/>
    <x v="8"/>
    <d v="1900-01-29T00:00:00"/>
    <n v="44"/>
    <x v="4"/>
    <x v="6"/>
  </r>
  <r>
    <x v="1513"/>
    <n v="-21.88"/>
    <x v="2688"/>
    <n v="7964.86"/>
    <s v="Complete Access"/>
    <x v="177"/>
    <x v="1"/>
    <x v="1"/>
    <d v="1900-01-29T00:00:00"/>
    <n v="44"/>
    <x v="4"/>
    <x v="6"/>
  </r>
  <r>
    <x v="1514"/>
    <n v="-2.33"/>
    <x v="2859"/>
    <n v="8042.81"/>
    <s v="Complete Access"/>
    <x v="61"/>
    <x v="1"/>
    <x v="1"/>
    <d v="1900-01-28T00:00:00"/>
    <n v="44"/>
    <x v="4"/>
    <x v="6"/>
  </r>
  <r>
    <x v="1514"/>
    <n v="-10.14"/>
    <x v="3146"/>
    <n v="8057.34"/>
    <s v="Complete Access"/>
    <x v="285"/>
    <x v="5"/>
    <x v="8"/>
    <d v="1900-01-28T00:00:00"/>
    <n v="44"/>
    <x v="4"/>
    <x v="6"/>
  </r>
  <r>
    <x v="1514"/>
    <n v="-40"/>
    <x v="3147"/>
    <n v="8067.48"/>
    <s v="Complete Access"/>
    <x v="12"/>
    <x v="5"/>
    <x v="8"/>
    <d v="1900-01-28T00:00:00"/>
    <n v="44"/>
    <x v="4"/>
    <x v="6"/>
  </r>
  <r>
    <x v="1514"/>
    <n v="-8.4499999999999993"/>
    <x v="2762"/>
    <n v="8034.36"/>
    <s v="Complete Access"/>
    <x v="616"/>
    <x v="1"/>
    <x v="1"/>
    <d v="1900-01-28T00:00:00"/>
    <n v="44"/>
    <x v="4"/>
    <x v="6"/>
  </r>
  <r>
    <x v="1514"/>
    <n v="-12.2"/>
    <x v="3148"/>
    <n v="8045.14"/>
    <s v="Complete Access"/>
    <x v="213"/>
    <x v="1"/>
    <x v="23"/>
    <d v="1900-01-28T00:00:00"/>
    <n v="44"/>
    <x v="4"/>
    <x v="6"/>
  </r>
  <r>
    <x v="1514"/>
    <n v="-3.19"/>
    <x v="2643"/>
    <n v="8031.17"/>
    <s v="Complete Access"/>
    <x v="215"/>
    <x v="1"/>
    <x v="1"/>
    <d v="1900-01-28T00:00:00"/>
    <n v="44"/>
    <x v="4"/>
    <x v="6"/>
  </r>
  <r>
    <x v="1515"/>
    <n v="-15.03"/>
    <x v="2915"/>
    <n v="8107.48"/>
    <s v="Complete Access"/>
    <x v="674"/>
    <x v="8"/>
    <x v="29"/>
    <d v="1900-01-27T00:00:00"/>
    <n v="44"/>
    <x v="4"/>
    <x v="6"/>
  </r>
  <r>
    <x v="1515"/>
    <n v="-3.5"/>
    <x v="2859"/>
    <n v="7003.41"/>
    <s v="Complete Access"/>
    <x v="61"/>
    <x v="1"/>
    <x v="1"/>
    <d v="1900-01-27T00:00:00"/>
    <n v="44"/>
    <x v="4"/>
    <x v="6"/>
  </r>
  <r>
    <x v="1515"/>
    <n v="1130"/>
    <x v="3149"/>
    <n v="8133.41"/>
    <s v="Complete Access"/>
    <x v="722"/>
    <x v="0"/>
    <x v="0"/>
    <d v="1900-01-27T00:00:00"/>
    <n v="44"/>
    <x v="4"/>
    <x v="6"/>
  </r>
  <r>
    <x v="1515"/>
    <n v="-10.9"/>
    <x v="2863"/>
    <n v="8122.51"/>
    <s v="Complete Access"/>
    <x v="186"/>
    <x v="1"/>
    <x v="5"/>
    <d v="1900-01-27T00:00:00"/>
    <n v="44"/>
    <x v="4"/>
    <x v="6"/>
  </r>
  <r>
    <x v="1516"/>
    <n v="-100"/>
    <x v="2274"/>
    <n v="7027.31"/>
    <s v="Complete Access"/>
    <x v="552"/>
    <x v="0"/>
    <x v="74"/>
    <d v="1900-01-25T00:00:00"/>
    <n v="43"/>
    <x v="4"/>
    <x v="6"/>
  </r>
  <r>
    <x v="1516"/>
    <n v="-7.5"/>
    <x v="3061"/>
    <n v="7006.91"/>
    <s v="Complete Access"/>
    <x v="27"/>
    <x v="1"/>
    <x v="5"/>
    <d v="1900-01-25T00:00:00"/>
    <n v="43"/>
    <x v="4"/>
    <x v="6"/>
  </r>
  <r>
    <x v="1516"/>
    <n v="-12.9"/>
    <x v="3150"/>
    <n v="7014.41"/>
    <s v="Complete Access"/>
    <x v="186"/>
    <x v="1"/>
    <x v="5"/>
    <d v="1900-01-25T00:00:00"/>
    <n v="43"/>
    <x v="4"/>
    <x v="6"/>
  </r>
  <r>
    <x v="1517"/>
    <n v="1300"/>
    <x v="3151"/>
    <n v="7129.81"/>
    <s v="Complete Access"/>
    <x v="723"/>
    <x v="0"/>
    <x v="69"/>
    <d v="1900-01-24T00:00:00"/>
    <n v="43"/>
    <x v="4"/>
    <x v="6"/>
  </r>
  <r>
    <x v="1517"/>
    <n v="-8.9"/>
    <x v="3152"/>
    <n v="5857.81"/>
    <s v="Complete Access"/>
    <x v="682"/>
    <x v="1"/>
    <x v="5"/>
    <d v="1900-01-24T00:00:00"/>
    <n v="43"/>
    <x v="4"/>
    <x v="6"/>
  </r>
  <r>
    <x v="1517"/>
    <n v="-28"/>
    <x v="3128"/>
    <n v="5829.81"/>
    <s v="Complete Access"/>
    <x v="719"/>
    <x v="1"/>
    <x v="5"/>
    <d v="1900-01-24T00:00:00"/>
    <n v="43"/>
    <x v="4"/>
    <x v="6"/>
  </r>
  <r>
    <x v="1517"/>
    <n v="-2.5"/>
    <x v="2979"/>
    <n v="7127.31"/>
    <s v="Complete Access"/>
    <x v="685"/>
    <x v="20"/>
    <x v="63"/>
    <d v="1900-01-24T00:00:00"/>
    <n v="43"/>
    <x v="4"/>
    <x v="6"/>
  </r>
  <r>
    <x v="1518"/>
    <n v="-8.9"/>
    <x v="3153"/>
    <n v="5886.73"/>
    <s v="Complete Access"/>
    <x v="682"/>
    <x v="1"/>
    <x v="5"/>
    <d v="1900-01-23T00:00:00"/>
    <n v="43"/>
    <x v="4"/>
    <x v="6"/>
  </r>
  <r>
    <x v="1518"/>
    <n v="-20.02"/>
    <x v="3090"/>
    <n v="5866.71"/>
    <s v="Complete Access"/>
    <x v="580"/>
    <x v="9"/>
    <x v="12"/>
    <d v="1900-01-23T00:00:00"/>
    <n v="43"/>
    <x v="4"/>
    <x v="6"/>
  </r>
  <r>
    <x v="1519"/>
    <n v="-4.8099999999999996"/>
    <x v="2859"/>
    <n v="7325.63"/>
    <s v="Complete Access"/>
    <x v="61"/>
    <x v="1"/>
    <x v="1"/>
    <d v="1900-01-22T00:00:00"/>
    <n v="43"/>
    <x v="4"/>
    <x v="6"/>
  </r>
  <r>
    <x v="1519"/>
    <n v="-1300"/>
    <x v="3154"/>
    <n v="6025.63"/>
    <s v="Complete Access"/>
    <x v="724"/>
    <x v="8"/>
    <x v="40"/>
    <d v="1900-01-22T00:00:00"/>
    <n v="43"/>
    <x v="4"/>
    <x v="6"/>
  </r>
  <r>
    <x v="1519"/>
    <n v="-62"/>
    <x v="3155"/>
    <n v="7335.09"/>
    <s v="Complete Access"/>
    <x v="8"/>
    <x v="1"/>
    <x v="5"/>
    <d v="1900-01-22T00:00:00"/>
    <n v="43"/>
    <x v="4"/>
    <x v="6"/>
  </r>
  <r>
    <x v="1519"/>
    <n v="-9.99"/>
    <x v="3156"/>
    <n v="7397.09"/>
    <s v="Complete Access"/>
    <x v="373"/>
    <x v="8"/>
    <x v="7"/>
    <d v="1900-01-22T00:00:00"/>
    <n v="43"/>
    <x v="4"/>
    <x v="6"/>
  </r>
  <r>
    <x v="1519"/>
    <n v="-130"/>
    <x v="2929"/>
    <n v="5895.63"/>
    <s v="Complete Access"/>
    <x v="645"/>
    <x v="0"/>
    <x v="69"/>
    <d v="1900-01-22T00:00:00"/>
    <n v="43"/>
    <x v="4"/>
    <x v="6"/>
  </r>
  <r>
    <x v="1519"/>
    <n v="-4.6500000000000004"/>
    <x v="3157"/>
    <n v="7330.44"/>
    <s v="Complete Access"/>
    <x v="34"/>
    <x v="9"/>
    <x v="12"/>
    <d v="1900-01-22T00:00:00"/>
    <n v="43"/>
    <x v="4"/>
    <x v="6"/>
  </r>
  <r>
    <x v="1520"/>
    <n v="-40"/>
    <x v="3158"/>
    <n v="7447.08"/>
    <s v="Complete Access"/>
    <x v="12"/>
    <x v="5"/>
    <x v="8"/>
    <d v="1900-01-21T00:00:00"/>
    <n v="43"/>
    <x v="4"/>
    <x v="6"/>
  </r>
  <r>
    <x v="1520"/>
    <n v="-14"/>
    <x v="3159"/>
    <n v="7433.08"/>
    <s v="Complete Access"/>
    <x v="687"/>
    <x v="1"/>
    <x v="5"/>
    <d v="1900-01-21T00:00:00"/>
    <n v="43"/>
    <x v="4"/>
    <x v="6"/>
  </r>
  <r>
    <x v="1520"/>
    <n v="-26"/>
    <x v="3000"/>
    <n v="7407.08"/>
    <s v="Complete Access"/>
    <x v="687"/>
    <x v="1"/>
    <x v="5"/>
    <d v="1900-01-21T00:00:00"/>
    <n v="43"/>
    <x v="4"/>
    <x v="6"/>
  </r>
  <r>
    <x v="1521"/>
    <n v="-3.92"/>
    <x v="2859"/>
    <n v="7496.98"/>
    <s v="Complete Access"/>
    <x v="61"/>
    <x v="1"/>
    <x v="1"/>
    <d v="1900-01-20T00:00:00"/>
    <n v="43"/>
    <x v="4"/>
    <x v="6"/>
  </r>
  <r>
    <x v="1521"/>
    <n v="-9.9"/>
    <x v="2688"/>
    <n v="7487.08"/>
    <s v="Complete Access"/>
    <x v="177"/>
    <x v="1"/>
    <x v="1"/>
    <d v="1900-01-20T00:00:00"/>
    <n v="43"/>
    <x v="4"/>
    <x v="6"/>
  </r>
  <r>
    <x v="1522"/>
    <n v="-41.19"/>
    <x v="2643"/>
    <n v="7500.9"/>
    <s v="Complete Access"/>
    <x v="215"/>
    <x v="1"/>
    <x v="1"/>
    <d v="1900-01-19T00:00:00"/>
    <n v="43"/>
    <x v="4"/>
    <x v="6"/>
  </r>
  <r>
    <x v="1522"/>
    <n v="-40.79"/>
    <x v="2688"/>
    <n v="7542.09"/>
    <s v="Complete Access"/>
    <x v="177"/>
    <x v="1"/>
    <x v="1"/>
    <d v="1900-01-19T00:00:00"/>
    <n v="43"/>
    <x v="4"/>
    <x v="6"/>
  </r>
  <r>
    <x v="1523"/>
    <n v="-8.9"/>
    <x v="3160"/>
    <n v="7702.47"/>
    <s v="Complete Access"/>
    <x v="682"/>
    <x v="1"/>
    <x v="5"/>
    <d v="1900-01-18T00:00:00"/>
    <n v="42"/>
    <x v="4"/>
    <x v="6"/>
  </r>
  <r>
    <x v="1523"/>
    <n v="-60.71"/>
    <x v="2643"/>
    <n v="7611.96"/>
    <s v="Complete Access"/>
    <x v="215"/>
    <x v="1"/>
    <x v="1"/>
    <d v="1900-01-18T00:00:00"/>
    <n v="42"/>
    <x v="4"/>
    <x v="6"/>
  </r>
  <r>
    <x v="1523"/>
    <n v="-100"/>
    <x v="2274"/>
    <n v="7711.37"/>
    <s v="Complete Access"/>
    <x v="552"/>
    <x v="0"/>
    <x v="74"/>
    <d v="1900-01-18T00:00:00"/>
    <n v="42"/>
    <x v="4"/>
    <x v="6"/>
  </r>
  <r>
    <x v="1523"/>
    <n v="-29.08"/>
    <x v="2688"/>
    <n v="7582.88"/>
    <s v="Complete Access"/>
    <x v="177"/>
    <x v="1"/>
    <x v="1"/>
    <d v="1900-01-18T00:00:00"/>
    <n v="42"/>
    <x v="4"/>
    <x v="6"/>
  </r>
  <r>
    <x v="1523"/>
    <n v="-29.8"/>
    <x v="3061"/>
    <n v="7672.67"/>
    <s v="Complete Access"/>
    <x v="27"/>
    <x v="1"/>
    <x v="5"/>
    <d v="1900-01-18T00:00:00"/>
    <n v="42"/>
    <x v="4"/>
    <x v="6"/>
  </r>
  <r>
    <x v="1524"/>
    <n v="-50"/>
    <x v="2956"/>
    <n v="7811.37"/>
    <s v="Complete Access"/>
    <x v="601"/>
    <x v="0"/>
    <x v="0"/>
    <d v="1900-01-17T00:00:00"/>
    <n v="42"/>
    <x v="4"/>
    <x v="6"/>
  </r>
  <r>
    <x v="1524"/>
    <n v="-42"/>
    <x v="3161"/>
    <n v="7988.24"/>
    <s v="Complete Access"/>
    <x v="8"/>
    <x v="1"/>
    <x v="5"/>
    <d v="1900-01-17T00:00:00"/>
    <n v="42"/>
    <x v="4"/>
    <x v="6"/>
  </r>
  <r>
    <x v="1524"/>
    <n v="-26.09"/>
    <x v="3162"/>
    <n v="7962.15"/>
    <s v="Complete Access"/>
    <x v="725"/>
    <x v="4"/>
    <x v="73"/>
    <d v="1900-01-17T00:00:00"/>
    <n v="42"/>
    <x v="4"/>
    <x v="6"/>
  </r>
  <r>
    <x v="1524"/>
    <n v="-100"/>
    <x v="2929"/>
    <n v="7861.37"/>
    <s v="Complete Access"/>
    <x v="645"/>
    <x v="0"/>
    <x v="69"/>
    <d v="1900-01-17T00:00:00"/>
    <n v="42"/>
    <x v="4"/>
    <x v="6"/>
  </r>
  <r>
    <x v="1524"/>
    <n v="-0.78"/>
    <x v="3163"/>
    <n v="7961.37"/>
    <s v="Complete Access"/>
    <x v="10"/>
    <x v="0"/>
    <x v="0"/>
    <d v="1900-01-17T00:00:00"/>
    <n v="42"/>
    <x v="4"/>
    <x v="6"/>
  </r>
  <r>
    <x v="1525"/>
    <n v="-1.69"/>
    <x v="2859"/>
    <n v="8030.24"/>
    <s v="Complete Access"/>
    <x v="61"/>
    <x v="1"/>
    <x v="1"/>
    <d v="1900-01-16T00:00:00"/>
    <n v="42"/>
    <x v="4"/>
    <x v="6"/>
  </r>
  <r>
    <x v="1525"/>
    <n v="2620.59"/>
    <x v="3164"/>
    <n v="8531.93"/>
    <s v="Complete Access"/>
    <x v="14"/>
    <x v="6"/>
    <x v="9"/>
    <d v="1900-01-16T00:00:00"/>
    <n v="42"/>
    <x v="4"/>
    <x v="6"/>
  </r>
  <r>
    <x v="1525"/>
    <n v="-500"/>
    <x v="2294"/>
    <n v="8031.93"/>
    <s v="Complete Access"/>
    <x v="571"/>
    <x v="19"/>
    <x v="61"/>
    <d v="1900-01-16T00:00:00"/>
    <n v="42"/>
    <x v="4"/>
    <x v="6"/>
  </r>
  <r>
    <x v="1526"/>
    <n v="-27.9"/>
    <x v="3165"/>
    <n v="6545.14"/>
    <s v="Complete Access"/>
    <x v="8"/>
    <x v="1"/>
    <x v="5"/>
    <d v="1900-01-15T00:00:00"/>
    <n v="42"/>
    <x v="4"/>
    <x v="6"/>
  </r>
  <r>
    <x v="1526"/>
    <n v="-40"/>
    <x v="3166"/>
    <n v="6573.04"/>
    <s v="Complete Access"/>
    <x v="12"/>
    <x v="5"/>
    <x v="8"/>
    <d v="1900-01-15T00:00:00"/>
    <n v="42"/>
    <x v="4"/>
    <x v="6"/>
  </r>
  <r>
    <x v="1526"/>
    <n v="-6.2"/>
    <x v="2762"/>
    <n v="5911.34"/>
    <s v="Complete Access"/>
    <x v="616"/>
    <x v="1"/>
    <x v="1"/>
    <d v="1900-01-15T00:00:00"/>
    <n v="42"/>
    <x v="4"/>
    <x v="6"/>
  </r>
  <r>
    <x v="1526"/>
    <n v="-599"/>
    <x v="3167"/>
    <n v="5933.94"/>
    <s v="Complete Access"/>
    <x v="347"/>
    <x v="3"/>
    <x v="62"/>
    <d v="1900-01-15T00:00:00"/>
    <n v="42"/>
    <x v="4"/>
    <x v="6"/>
  </r>
  <r>
    <x v="1526"/>
    <n v="-16.399999999999999"/>
    <x v="2863"/>
    <n v="5917.54"/>
    <s v="Complete Access"/>
    <x v="186"/>
    <x v="1"/>
    <x v="5"/>
    <d v="1900-01-15T00:00:00"/>
    <n v="42"/>
    <x v="4"/>
    <x v="6"/>
  </r>
  <r>
    <x v="1526"/>
    <n v="-12.2"/>
    <x v="3168"/>
    <n v="6532.94"/>
    <s v="Complete Access"/>
    <x v="34"/>
    <x v="9"/>
    <x v="12"/>
    <d v="1900-01-15T00:00:00"/>
    <n v="42"/>
    <x v="4"/>
    <x v="6"/>
  </r>
  <r>
    <x v="1527"/>
    <n v="-8.9"/>
    <x v="3169"/>
    <n v="6613.04"/>
    <s v="Complete Access"/>
    <x v="682"/>
    <x v="1"/>
    <x v="5"/>
    <d v="1900-01-14T00:00:00"/>
    <n v="42"/>
    <x v="4"/>
    <x v="6"/>
  </r>
  <r>
    <x v="1528"/>
    <n v="-1.78"/>
    <x v="2859"/>
    <n v="6643.29"/>
    <s v="Complete Access"/>
    <x v="61"/>
    <x v="1"/>
    <x v="1"/>
    <d v="1900-01-13T00:00:00"/>
    <n v="42"/>
    <x v="4"/>
    <x v="6"/>
  </r>
  <r>
    <x v="1528"/>
    <n v="-7.35"/>
    <x v="2762"/>
    <n v="6621.94"/>
    <s v="Complete Access"/>
    <x v="616"/>
    <x v="1"/>
    <x v="1"/>
    <d v="1900-01-13T00:00:00"/>
    <n v="42"/>
    <x v="4"/>
    <x v="6"/>
  </r>
  <r>
    <x v="1528"/>
    <n v="-14"/>
    <x v="3000"/>
    <n v="6629.29"/>
    <s v="Complete Access"/>
    <x v="687"/>
    <x v="1"/>
    <x v="5"/>
    <d v="1900-01-13T00:00:00"/>
    <n v="42"/>
    <x v="4"/>
    <x v="6"/>
  </r>
  <r>
    <x v="1529"/>
    <n v="-33.61"/>
    <x v="2643"/>
    <n v="6645.07"/>
    <s v="Complete Access"/>
    <x v="215"/>
    <x v="1"/>
    <x v="1"/>
    <d v="1900-01-12T00:00:00"/>
    <n v="42"/>
    <x v="4"/>
    <x v="6"/>
  </r>
  <r>
    <x v="1530"/>
    <n v="-25"/>
    <x v="3170"/>
    <n v="6523.68"/>
    <s v="Complete Access"/>
    <x v="8"/>
    <x v="1"/>
    <x v="5"/>
    <d v="1900-01-11T00:00:00"/>
    <n v="41"/>
    <x v="4"/>
    <x v="6"/>
  </r>
  <r>
    <x v="1530"/>
    <n v="-100"/>
    <x v="2274"/>
    <n v="6548.68"/>
    <s v="Complete Access"/>
    <x v="552"/>
    <x v="0"/>
    <x v="74"/>
    <d v="1900-01-11T00:00:00"/>
    <n v="41"/>
    <x v="4"/>
    <x v="6"/>
  </r>
  <r>
    <x v="1530"/>
    <n v="155"/>
    <x v="3171"/>
    <n v="6678.68"/>
    <s v="Complete Access"/>
    <x v="567"/>
    <x v="0"/>
    <x v="69"/>
    <d v="1900-01-11T00:00:00"/>
    <n v="41"/>
    <x v="4"/>
    <x v="6"/>
  </r>
  <r>
    <x v="1531"/>
    <n v="-0.64"/>
    <x v="2859"/>
    <n v="6673.53"/>
    <s v="Complete Access"/>
    <x v="61"/>
    <x v="1"/>
    <x v="1"/>
    <d v="1900-01-10T00:00:00"/>
    <n v="41"/>
    <x v="4"/>
    <x v="6"/>
  </r>
  <r>
    <x v="1531"/>
    <n v="-40"/>
    <x v="3172"/>
    <n v="6683.07"/>
    <s v="Complete Access"/>
    <x v="12"/>
    <x v="5"/>
    <x v="8"/>
    <d v="1900-01-10T00:00:00"/>
    <n v="41"/>
    <x v="4"/>
    <x v="6"/>
  </r>
  <r>
    <x v="1531"/>
    <n v="-8.9"/>
    <x v="3173"/>
    <n v="6674.17"/>
    <s v="Complete Access"/>
    <x v="682"/>
    <x v="1"/>
    <x v="5"/>
    <d v="1900-01-10T00:00:00"/>
    <n v="41"/>
    <x v="4"/>
    <x v="6"/>
  </r>
  <r>
    <x v="1531"/>
    <n v="-9.4499999999999993"/>
    <x v="2762"/>
    <n v="6648.68"/>
    <s v="Complete Access"/>
    <x v="616"/>
    <x v="1"/>
    <x v="1"/>
    <d v="1900-01-10T00:00:00"/>
    <n v="41"/>
    <x v="4"/>
    <x v="6"/>
  </r>
  <r>
    <x v="1531"/>
    <n v="-15.4"/>
    <x v="2863"/>
    <n v="6658.13"/>
    <s v="Complete Access"/>
    <x v="186"/>
    <x v="1"/>
    <x v="5"/>
    <d v="1900-01-10T00:00:00"/>
    <n v="41"/>
    <x v="4"/>
    <x v="6"/>
  </r>
  <r>
    <x v="1532"/>
    <n v="-36.869999999999997"/>
    <x v="3174"/>
    <n v="6796.07"/>
    <s v="Complete Access"/>
    <x v="726"/>
    <x v="20"/>
    <x v="63"/>
    <d v="1900-01-09T00:00:00"/>
    <n v="41"/>
    <x v="4"/>
    <x v="6"/>
  </r>
  <r>
    <x v="1532"/>
    <n v="-73"/>
    <x v="2543"/>
    <n v="6723.07"/>
    <s v="Complete Access"/>
    <x v="17"/>
    <x v="7"/>
    <x v="11"/>
    <d v="1900-01-09T00:00:00"/>
    <n v="41"/>
    <x v="4"/>
    <x v="6"/>
  </r>
  <r>
    <x v="1533"/>
    <n v="-4.01"/>
    <x v="2859"/>
    <n v="6848.34"/>
    <s v="Complete Access"/>
    <x v="61"/>
    <x v="1"/>
    <x v="1"/>
    <d v="1900-01-08T00:00:00"/>
    <n v="41"/>
    <x v="4"/>
    <x v="6"/>
  </r>
  <r>
    <x v="1533"/>
    <n v="-28.5"/>
    <x v="3175"/>
    <n v="6852.35"/>
    <s v="Complete Access"/>
    <x v="8"/>
    <x v="1"/>
    <x v="5"/>
    <d v="1900-01-08T00:00:00"/>
    <n v="41"/>
    <x v="4"/>
    <x v="6"/>
  </r>
  <r>
    <x v="1533"/>
    <n v="-20"/>
    <x v="3176"/>
    <n v="6917.21"/>
    <s v="Complete Access"/>
    <x v="8"/>
    <x v="1"/>
    <x v="5"/>
    <d v="1900-01-08T00:00:00"/>
    <n v="41"/>
    <x v="4"/>
    <x v="6"/>
  </r>
  <r>
    <x v="1533"/>
    <n v="-11"/>
    <x v="3177"/>
    <n v="6937.21"/>
    <s v="Complete Access"/>
    <x v="727"/>
    <x v="1"/>
    <x v="5"/>
    <d v="1900-01-08T00:00:00"/>
    <n v="41"/>
    <x v="4"/>
    <x v="6"/>
  </r>
  <r>
    <x v="1533"/>
    <n v="-36.36"/>
    <x v="3178"/>
    <n v="6880.85"/>
    <s v="Complete Access"/>
    <x v="728"/>
    <x v="3"/>
    <x v="26"/>
    <d v="1900-01-08T00:00:00"/>
    <n v="41"/>
    <x v="4"/>
    <x v="6"/>
  </r>
  <r>
    <x v="1533"/>
    <n v="-15.4"/>
    <x v="2863"/>
    <n v="6832.94"/>
    <s v="Complete Access"/>
    <x v="186"/>
    <x v="1"/>
    <x v="5"/>
    <d v="1900-01-08T00:00:00"/>
    <n v="41"/>
    <x v="4"/>
    <x v="6"/>
  </r>
  <r>
    <x v="1533"/>
    <n v="-10.15"/>
    <x v="3179"/>
    <n v="6948.21"/>
    <s v="Complete Access"/>
    <x v="729"/>
    <x v="8"/>
    <x v="29"/>
    <d v="1900-01-08T00:00:00"/>
    <n v="41"/>
    <x v="4"/>
    <x v="6"/>
  </r>
  <r>
    <x v="1534"/>
    <n v="-40"/>
    <x v="3176"/>
    <n v="7037.02"/>
    <s v="Complete Access"/>
    <x v="8"/>
    <x v="1"/>
    <x v="5"/>
    <d v="1900-01-07T00:00:00"/>
    <n v="41"/>
    <x v="4"/>
    <x v="6"/>
  </r>
  <r>
    <x v="1534"/>
    <n v="-46"/>
    <x v="3180"/>
    <n v="7077.02"/>
    <s v="Complete Access"/>
    <x v="8"/>
    <x v="1"/>
    <x v="5"/>
    <d v="1900-01-07T00:00:00"/>
    <n v="41"/>
    <x v="4"/>
    <x v="6"/>
  </r>
  <r>
    <x v="1534"/>
    <n v="-38"/>
    <x v="3181"/>
    <n v="6990.12"/>
    <s v="Complete Access"/>
    <x v="8"/>
    <x v="1"/>
    <x v="5"/>
    <d v="1900-01-07T00:00:00"/>
    <n v="41"/>
    <x v="4"/>
    <x v="6"/>
  </r>
  <r>
    <x v="1534"/>
    <n v="-8.9"/>
    <x v="3182"/>
    <n v="7028.12"/>
    <s v="Complete Access"/>
    <x v="682"/>
    <x v="1"/>
    <x v="5"/>
    <d v="1900-01-07T00:00:00"/>
    <n v="41"/>
    <x v="4"/>
    <x v="6"/>
  </r>
  <r>
    <x v="1534"/>
    <n v="-10.5"/>
    <x v="2762"/>
    <n v="6979.62"/>
    <s v="Complete Access"/>
    <x v="616"/>
    <x v="1"/>
    <x v="1"/>
    <d v="1900-01-07T00:00:00"/>
    <n v="41"/>
    <x v="4"/>
    <x v="6"/>
  </r>
  <r>
    <x v="1534"/>
    <n v="-21.26"/>
    <x v="2643"/>
    <n v="6958.36"/>
    <s v="Complete Access"/>
    <x v="215"/>
    <x v="1"/>
    <x v="1"/>
    <d v="1900-01-07T00:00:00"/>
    <n v="41"/>
    <x v="4"/>
    <x v="6"/>
  </r>
  <r>
    <x v="1535"/>
    <n v="-140"/>
    <x v="3183"/>
    <n v="7125.92"/>
    <s v="Complete Access"/>
    <x v="601"/>
    <x v="0"/>
    <x v="0"/>
    <d v="1900-01-05T00:00:00"/>
    <n v="41"/>
    <x v="4"/>
    <x v="6"/>
  </r>
  <r>
    <x v="1535"/>
    <n v="-17"/>
    <x v="3184"/>
    <n v="7265.92"/>
    <s v="Complete Access"/>
    <x v="730"/>
    <x v="8"/>
    <x v="29"/>
    <d v="1900-01-05T00:00:00"/>
    <n v="41"/>
    <x v="4"/>
    <x v="6"/>
  </r>
  <r>
    <x v="1535"/>
    <n v="-2.9"/>
    <x v="72"/>
    <n v="7123.02"/>
    <s v="Complete Access"/>
    <x v="37"/>
    <x v="0"/>
    <x v="0"/>
    <d v="1900-01-05T00:00:00"/>
    <n v="41"/>
    <x v="4"/>
    <x v="6"/>
  </r>
  <r>
    <x v="1536"/>
    <n v="-15"/>
    <x v="3185"/>
    <n v="7282.92"/>
    <s v="Complete Access"/>
    <x v="254"/>
    <x v="16"/>
    <x v="35"/>
    <d v="1900-01-04T00:00:00"/>
    <n v="40"/>
    <x v="4"/>
    <x v="6"/>
  </r>
  <r>
    <x v="1536"/>
    <n v="-100"/>
    <x v="2274"/>
    <n v="7297.92"/>
    <s v="Complete Access"/>
    <x v="552"/>
    <x v="0"/>
    <x v="74"/>
    <d v="1900-01-04T00:00:00"/>
    <n v="40"/>
    <x v="4"/>
    <x v="6"/>
  </r>
  <r>
    <x v="1537"/>
    <n v="-51.6"/>
    <x v="3186"/>
    <n v="6368.14"/>
    <s v="Complete Access"/>
    <x v="8"/>
    <x v="1"/>
    <x v="5"/>
    <d v="1900-01-03T00:00:00"/>
    <n v="40"/>
    <x v="4"/>
    <x v="6"/>
  </r>
  <r>
    <x v="1537"/>
    <n v="-9.5"/>
    <x v="3187"/>
    <n v="6419.74"/>
    <s v="Complete Access"/>
    <x v="682"/>
    <x v="1"/>
    <x v="5"/>
    <d v="1900-01-03T00:00:00"/>
    <n v="40"/>
    <x v="4"/>
    <x v="6"/>
  </r>
  <r>
    <x v="1537"/>
    <n v="1044.94"/>
    <x v="3188"/>
    <n v="7397.92"/>
    <s v="Complete Access"/>
    <x v="14"/>
    <x v="6"/>
    <x v="9"/>
    <d v="1900-01-03T00:00:00"/>
    <n v="40"/>
    <x v="4"/>
    <x v="6"/>
  </r>
  <r>
    <x v="1537"/>
    <n v="-15.16"/>
    <x v="3189"/>
    <n v="6352.98"/>
    <s v="Complete Access"/>
    <x v="731"/>
    <x v="8"/>
    <x v="29"/>
    <d v="1900-01-03T00:00:00"/>
    <n v="40"/>
    <x v="4"/>
    <x v="6"/>
  </r>
  <r>
    <x v="1538"/>
    <n v="-40"/>
    <x v="3190"/>
    <n v="6454.24"/>
    <s v="Complete Access"/>
    <x v="12"/>
    <x v="5"/>
    <x v="8"/>
    <d v="1900-01-02T00:00:00"/>
    <n v="40"/>
    <x v="4"/>
    <x v="6"/>
  </r>
  <r>
    <x v="1538"/>
    <n v="-500"/>
    <x v="2294"/>
    <n v="6494.24"/>
    <s v="Complete Access"/>
    <x v="571"/>
    <x v="19"/>
    <x v="61"/>
    <d v="1900-01-02T00:00:00"/>
    <n v="40"/>
    <x v="4"/>
    <x v="6"/>
  </r>
  <r>
    <x v="1538"/>
    <n v="-25"/>
    <x v="3191"/>
    <n v="6429.24"/>
    <s v="Complete Access"/>
    <x v="732"/>
    <x v="8"/>
    <x v="29"/>
    <d v="1900-01-02T00:00:00"/>
    <n v="40"/>
    <x v="4"/>
    <x v="6"/>
  </r>
  <r>
    <x v="1539"/>
    <n v="-44.5"/>
    <x v="3192"/>
    <n v="7071.26"/>
    <s v="Complete Access"/>
    <x v="8"/>
    <x v="1"/>
    <x v="5"/>
    <d v="1900-01-01T00:00:00"/>
    <n v="40"/>
    <x v="4"/>
    <x v="6"/>
  </r>
  <r>
    <x v="1539"/>
    <n v="-23.3"/>
    <x v="3193"/>
    <n v="7047.96"/>
    <s v="Complete Access"/>
    <x v="8"/>
    <x v="1"/>
    <x v="5"/>
    <d v="1900-01-01T00:00:00"/>
    <n v="40"/>
    <x v="4"/>
    <x v="6"/>
  </r>
  <r>
    <x v="1539"/>
    <n v="-10"/>
    <x v="2929"/>
    <n v="6994.24"/>
    <s v="Complete Access"/>
    <x v="645"/>
    <x v="0"/>
    <x v="69"/>
    <d v="1900-01-01T00:00:00"/>
    <n v="40"/>
    <x v="4"/>
    <x v="6"/>
  </r>
  <r>
    <x v="1539"/>
    <n v="-30"/>
    <x v="2929"/>
    <n v="7004.24"/>
    <s v="Complete Access"/>
    <x v="645"/>
    <x v="0"/>
    <x v="69"/>
    <d v="1900-01-01T00:00:00"/>
    <n v="40"/>
    <x v="4"/>
    <x v="6"/>
  </r>
  <r>
    <x v="1539"/>
    <n v="-13.72"/>
    <x v="2688"/>
    <n v="7034.24"/>
    <s v="Complete Access"/>
    <x v="177"/>
    <x v="1"/>
    <x v="1"/>
    <d v="1900-01-01T00:00:00"/>
    <n v="40"/>
    <x v="4"/>
    <x v="6"/>
  </r>
  <r>
    <x v="1540"/>
    <n v="-53"/>
    <x v="3194"/>
    <n v="7298.96"/>
    <s v="Complete Access"/>
    <x v="8"/>
    <x v="1"/>
    <x v="5"/>
    <d v="1899-12-31T00:00:00"/>
    <n v="40"/>
    <x v="4"/>
    <x v="6"/>
  </r>
  <r>
    <x v="1540"/>
    <n v="-23"/>
    <x v="3195"/>
    <n v="7351.96"/>
    <s v="Complete Access"/>
    <x v="8"/>
    <x v="1"/>
    <x v="5"/>
    <d v="1899-12-31T00:00:00"/>
    <n v="40"/>
    <x v="4"/>
    <x v="6"/>
  </r>
  <r>
    <x v="1540"/>
    <n v="-9"/>
    <x v="3196"/>
    <n v="7374.96"/>
    <s v="Complete Access"/>
    <x v="682"/>
    <x v="1"/>
    <x v="5"/>
    <d v="1899-12-31T00:00:00"/>
    <n v="40"/>
    <x v="4"/>
    <x v="6"/>
  </r>
  <r>
    <x v="1540"/>
    <n v="-20"/>
    <x v="2229"/>
    <n v="7383.96"/>
    <s v="Complete Access"/>
    <x v="557"/>
    <x v="7"/>
    <x v="53"/>
    <d v="1899-12-31T00:00:00"/>
    <n v="40"/>
    <x v="4"/>
    <x v="6"/>
  </r>
  <r>
    <x v="1540"/>
    <n v="-172.3"/>
    <x v="3197"/>
    <n v="7115.76"/>
    <s v="Complete Access"/>
    <x v="76"/>
    <x v="2"/>
    <x v="2"/>
    <d v="1899-12-31T00:00:00"/>
    <n v="40"/>
    <x v="4"/>
    <x v="6"/>
  </r>
  <r>
    <x v="1540"/>
    <n v="-10.9"/>
    <x v="2863"/>
    <n v="7288.06"/>
    <s v="Complete Access"/>
    <x v="186"/>
    <x v="1"/>
    <x v="5"/>
    <d v="1899-12-31T00:00:00"/>
    <n v="40"/>
    <x v="4"/>
    <x v="6"/>
  </r>
  <r>
    <x v="1541"/>
    <n v="-0.93"/>
    <x v="2859"/>
    <n v="7443.03"/>
    <s v="Complete Access"/>
    <x v="61"/>
    <x v="1"/>
    <x v="1"/>
    <d v="1900-01-29T00:00:00"/>
    <n v="40"/>
    <x v="5"/>
    <x v="6"/>
  </r>
  <r>
    <x v="1541"/>
    <n v="-29.1"/>
    <x v="2762"/>
    <n v="7413.93"/>
    <s v="Complete Access"/>
    <x v="616"/>
    <x v="1"/>
    <x v="1"/>
    <d v="1900-01-29T00:00:00"/>
    <n v="40"/>
    <x v="5"/>
    <x v="6"/>
  </r>
  <r>
    <x v="1541"/>
    <n v="-9.9700000000000006"/>
    <x v="2643"/>
    <n v="7403.96"/>
    <s v="Complete Access"/>
    <x v="215"/>
    <x v="1"/>
    <x v="1"/>
    <d v="1900-01-29T00:00:00"/>
    <n v="40"/>
    <x v="5"/>
    <x v="6"/>
  </r>
  <r>
    <x v="1542"/>
    <n v="-25"/>
    <x v="2929"/>
    <n v="7443.96"/>
    <s v="Complete Access"/>
    <x v="645"/>
    <x v="0"/>
    <x v="69"/>
    <d v="1900-01-27T00:00:00"/>
    <n v="39"/>
    <x v="5"/>
    <x v="6"/>
  </r>
  <r>
    <x v="1542"/>
    <n v="-100"/>
    <x v="2274"/>
    <n v="7468.96"/>
    <s v="Complete Access"/>
    <x v="552"/>
    <x v="0"/>
    <x v="74"/>
    <d v="1900-01-27T00:00:00"/>
    <n v="39"/>
    <x v="5"/>
    <x v="6"/>
  </r>
  <r>
    <x v="1543"/>
    <n v="-0.99"/>
    <x v="2859"/>
    <n v="7568.96"/>
    <s v="Complete Access"/>
    <x v="61"/>
    <x v="1"/>
    <x v="1"/>
    <d v="1900-01-25T00:00:00"/>
    <n v="39"/>
    <x v="5"/>
    <x v="6"/>
  </r>
  <r>
    <x v="1543"/>
    <n v="-40"/>
    <x v="3198"/>
    <n v="7587.28"/>
    <s v="Complete Access"/>
    <x v="12"/>
    <x v="5"/>
    <x v="8"/>
    <d v="1900-01-25T00:00:00"/>
    <n v="39"/>
    <x v="5"/>
    <x v="6"/>
  </r>
  <r>
    <x v="1543"/>
    <n v="-17.329999999999998"/>
    <x v="3199"/>
    <n v="7569.95"/>
    <s v="Complete Access"/>
    <x v="237"/>
    <x v="15"/>
    <x v="34"/>
    <d v="1900-01-25T00:00:00"/>
    <n v="39"/>
    <x v="5"/>
    <x v="6"/>
  </r>
  <r>
    <x v="1544"/>
    <n v="-3.8"/>
    <x v="2859"/>
    <n v="5294.36"/>
    <s v="Complete Access"/>
    <x v="61"/>
    <x v="1"/>
    <x v="1"/>
    <d v="1900-01-24T00:00:00"/>
    <n v="39"/>
    <x v="5"/>
    <x v="6"/>
  </r>
  <r>
    <x v="1544"/>
    <n v="-15.2"/>
    <x v="3200"/>
    <n v="5298.16"/>
    <s v="Complete Access"/>
    <x v="8"/>
    <x v="1"/>
    <x v="5"/>
    <d v="1900-01-24T00:00:00"/>
    <n v="39"/>
    <x v="5"/>
    <x v="6"/>
  </r>
  <r>
    <x v="1544"/>
    <n v="-47"/>
    <x v="3200"/>
    <n v="5313.36"/>
    <s v="Complete Access"/>
    <x v="8"/>
    <x v="1"/>
    <x v="5"/>
    <d v="1900-01-24T00:00:00"/>
    <n v="39"/>
    <x v="5"/>
    <x v="6"/>
  </r>
  <r>
    <x v="1544"/>
    <n v="2366.8000000000002"/>
    <x v="3188"/>
    <n v="7627.28"/>
    <s v="Complete Access"/>
    <x v="14"/>
    <x v="6"/>
    <x v="9"/>
    <d v="1900-01-24T00:00:00"/>
    <n v="39"/>
    <x v="5"/>
    <x v="6"/>
  </r>
  <r>
    <x v="1544"/>
    <n v="-14.98"/>
    <x v="2643"/>
    <n v="5260.48"/>
    <s v="Complete Access"/>
    <x v="215"/>
    <x v="1"/>
    <x v="1"/>
    <d v="1900-01-24T00:00:00"/>
    <n v="39"/>
    <x v="5"/>
    <x v="6"/>
  </r>
  <r>
    <x v="1544"/>
    <n v="-18.899999999999999"/>
    <x v="2863"/>
    <n v="5275.46"/>
    <s v="Complete Access"/>
    <x v="186"/>
    <x v="1"/>
    <x v="5"/>
    <d v="1900-01-24T00:00:00"/>
    <n v="39"/>
    <x v="5"/>
    <x v="6"/>
  </r>
  <r>
    <x v="1544"/>
    <n v="-15.5"/>
    <x v="3201"/>
    <n v="5360.36"/>
    <s v="Complete Access"/>
    <x v="702"/>
    <x v="8"/>
    <x v="29"/>
    <d v="1900-01-24T00:00:00"/>
    <n v="39"/>
    <x v="5"/>
    <x v="6"/>
  </r>
  <r>
    <x v="1544"/>
    <n v="-14"/>
    <x v="3201"/>
    <n v="5375.86"/>
    <s v="Complete Access"/>
    <x v="702"/>
    <x v="8"/>
    <x v="29"/>
    <d v="1900-01-24T00:00:00"/>
    <n v="39"/>
    <x v="5"/>
    <x v="6"/>
  </r>
  <r>
    <x v="1545"/>
    <n v="-6.55"/>
    <x v="2762"/>
    <n v="5389.86"/>
    <s v="Complete Access"/>
    <x v="616"/>
    <x v="1"/>
    <x v="1"/>
    <d v="1900-01-23T00:00:00"/>
    <n v="39"/>
    <x v="5"/>
    <x v="6"/>
  </r>
  <r>
    <x v="1546"/>
    <n v="-1.1599999999999999"/>
    <x v="2859"/>
    <n v="5421.55"/>
    <s v="Complete Access"/>
    <x v="61"/>
    <x v="1"/>
    <x v="1"/>
    <d v="1900-01-22T00:00:00"/>
    <n v="39"/>
    <x v="5"/>
    <x v="6"/>
  </r>
  <r>
    <x v="1546"/>
    <n v="-20"/>
    <x v="3202"/>
    <n v="5401.55"/>
    <s v="Complete Access"/>
    <x v="601"/>
    <x v="0"/>
    <x v="0"/>
    <d v="1900-01-22T00:00:00"/>
    <n v="39"/>
    <x v="5"/>
    <x v="6"/>
  </r>
  <r>
    <x v="1546"/>
    <n v="-5.14"/>
    <x v="2643"/>
    <n v="5396.41"/>
    <s v="Complete Access"/>
    <x v="215"/>
    <x v="1"/>
    <x v="1"/>
    <d v="1900-01-22T00:00:00"/>
    <n v="39"/>
    <x v="5"/>
    <x v="6"/>
  </r>
  <r>
    <x v="1547"/>
    <n v="-100"/>
    <x v="2274"/>
    <n v="5422.71"/>
    <s v="Complete Access"/>
    <x v="552"/>
    <x v="0"/>
    <x v="74"/>
    <d v="1900-01-20T00:00:00"/>
    <n v="38"/>
    <x v="5"/>
    <x v="6"/>
  </r>
  <r>
    <x v="1548"/>
    <n v="-0.3"/>
    <x v="3203"/>
    <n v="5522.71"/>
    <s v="Complete Access"/>
    <x v="188"/>
    <x v="1"/>
    <x v="1"/>
    <d v="1900-01-19T00:00:00"/>
    <n v="38"/>
    <x v="5"/>
    <x v="6"/>
  </r>
  <r>
    <x v="1548"/>
    <n v="-1.37"/>
    <x v="2859"/>
    <n v="5523.01"/>
    <s v="Complete Access"/>
    <x v="61"/>
    <x v="1"/>
    <x v="1"/>
    <d v="1900-01-19T00:00:00"/>
    <n v="38"/>
    <x v="5"/>
    <x v="6"/>
  </r>
  <r>
    <x v="1548"/>
    <n v="-40"/>
    <x v="3204"/>
    <n v="5533.38"/>
    <s v="Complete Access"/>
    <x v="12"/>
    <x v="5"/>
    <x v="8"/>
    <d v="1900-01-19T00:00:00"/>
    <n v="38"/>
    <x v="5"/>
    <x v="6"/>
  </r>
  <r>
    <x v="1548"/>
    <n v="-9"/>
    <x v="3205"/>
    <n v="5524.38"/>
    <s v="Complete Access"/>
    <x v="682"/>
    <x v="1"/>
    <x v="5"/>
    <d v="1900-01-19T00:00:00"/>
    <n v="38"/>
    <x v="5"/>
    <x v="6"/>
  </r>
  <r>
    <x v="1549"/>
    <n v="-16.899999999999999"/>
    <x v="3206"/>
    <n v="5573.38"/>
    <s v="Complete Access"/>
    <x v="733"/>
    <x v="8"/>
    <x v="29"/>
    <d v="1900-01-18T00:00:00"/>
    <n v="38"/>
    <x v="5"/>
    <x v="6"/>
  </r>
  <r>
    <x v="1549"/>
    <n v="-500"/>
    <x v="2294"/>
    <n v="5590.28"/>
    <s v="Complete Access"/>
    <x v="571"/>
    <x v="19"/>
    <x v="61"/>
    <d v="1900-01-18T00:00:00"/>
    <n v="38"/>
    <x v="5"/>
    <x v="6"/>
  </r>
  <r>
    <x v="1550"/>
    <n v="-0.96"/>
    <x v="2859"/>
    <n v="6124.28"/>
    <s v="Complete Access"/>
    <x v="61"/>
    <x v="1"/>
    <x v="1"/>
    <d v="1900-01-17T00:00:00"/>
    <n v="38"/>
    <x v="5"/>
    <x v="6"/>
  </r>
  <r>
    <x v="1550"/>
    <n v="-23"/>
    <x v="3207"/>
    <n v="6160.24"/>
    <s v="Complete Access"/>
    <x v="8"/>
    <x v="1"/>
    <x v="5"/>
    <d v="1900-01-17T00:00:00"/>
    <n v="38"/>
    <x v="5"/>
    <x v="6"/>
  </r>
  <r>
    <x v="1550"/>
    <n v="-7"/>
    <x v="3208"/>
    <n v="6125.24"/>
    <s v="Complete Access"/>
    <x v="561"/>
    <x v="8"/>
    <x v="22"/>
    <d v="1900-01-17T00:00:00"/>
    <n v="38"/>
    <x v="5"/>
    <x v="6"/>
  </r>
  <r>
    <x v="1550"/>
    <n v="-3"/>
    <x v="3208"/>
    <n v="6132.24"/>
    <s v="Complete Access"/>
    <x v="561"/>
    <x v="8"/>
    <x v="22"/>
    <d v="1900-01-17T00:00:00"/>
    <n v="38"/>
    <x v="5"/>
    <x v="6"/>
  </r>
  <r>
    <x v="1550"/>
    <n v="-8.6999999999999993"/>
    <x v="2762"/>
    <n v="6090.28"/>
    <s v="Complete Access"/>
    <x v="616"/>
    <x v="1"/>
    <x v="1"/>
    <d v="1900-01-17T00:00:00"/>
    <n v="38"/>
    <x v="5"/>
    <x v="6"/>
  </r>
  <r>
    <x v="1550"/>
    <n v="-32.22"/>
    <x v="3209"/>
    <n v="6183.24"/>
    <s v="Complete Access"/>
    <x v="734"/>
    <x v="1"/>
    <x v="5"/>
    <d v="1900-01-17T00:00:00"/>
    <n v="38"/>
    <x v="5"/>
    <x v="6"/>
  </r>
  <r>
    <x v="1550"/>
    <n v="-25"/>
    <x v="3210"/>
    <n v="6135.24"/>
    <s v="Complete Access"/>
    <x v="735"/>
    <x v="8"/>
    <x v="22"/>
    <d v="1900-01-17T00:00:00"/>
    <n v="38"/>
    <x v="5"/>
    <x v="6"/>
  </r>
  <r>
    <x v="1550"/>
    <n v="-25.3"/>
    <x v="2863"/>
    <n v="6098.98"/>
    <s v="Complete Access"/>
    <x v="186"/>
    <x v="1"/>
    <x v="5"/>
    <d v="1900-01-17T00:00:00"/>
    <n v="38"/>
    <x v="5"/>
    <x v="6"/>
  </r>
  <r>
    <x v="1551"/>
    <n v="-2.56"/>
    <x v="2859"/>
    <n v="6254.86"/>
    <s v="Complete Access"/>
    <x v="61"/>
    <x v="1"/>
    <x v="1"/>
    <d v="1900-01-16T00:00:00"/>
    <n v="38"/>
    <x v="5"/>
    <x v="6"/>
  </r>
  <r>
    <x v="1551"/>
    <n v="-18.2"/>
    <x v="3211"/>
    <n v="6257.42"/>
    <s v="Complete Access"/>
    <x v="333"/>
    <x v="1"/>
    <x v="5"/>
    <d v="1900-01-16T00:00:00"/>
    <n v="38"/>
    <x v="5"/>
    <x v="6"/>
  </r>
  <r>
    <x v="1551"/>
    <n v="-26.5"/>
    <x v="3061"/>
    <n v="6215.46"/>
    <s v="Complete Access"/>
    <x v="27"/>
    <x v="1"/>
    <x v="5"/>
    <d v="1900-01-16T00:00:00"/>
    <n v="38"/>
    <x v="5"/>
    <x v="6"/>
  </r>
  <r>
    <x v="1551"/>
    <n v="-12.9"/>
    <x v="2863"/>
    <n v="6241.96"/>
    <s v="Complete Access"/>
    <x v="186"/>
    <x v="1"/>
    <x v="5"/>
    <d v="1900-01-16T00:00:00"/>
    <n v="38"/>
    <x v="5"/>
    <x v="6"/>
  </r>
  <r>
    <x v="1552"/>
    <n v="-23.15"/>
    <x v="2762"/>
    <n v="6237.92"/>
    <s v="Complete Access"/>
    <x v="616"/>
    <x v="1"/>
    <x v="1"/>
    <d v="1900-01-15T00:00:00"/>
    <n v="38"/>
    <x v="5"/>
    <x v="6"/>
  </r>
  <r>
    <x v="1552"/>
    <n v="-28.3"/>
    <x v="2643"/>
    <n v="6209.62"/>
    <s v="Complete Access"/>
    <x v="215"/>
    <x v="1"/>
    <x v="1"/>
    <d v="1900-01-15T00:00:00"/>
    <n v="38"/>
    <x v="5"/>
    <x v="6"/>
  </r>
  <r>
    <x v="1552"/>
    <n v="66"/>
    <x v="3024"/>
    <n v="6275.62"/>
    <s v="Complete Access"/>
    <x v="27"/>
    <x v="1"/>
    <x v="5"/>
    <d v="1900-01-15T00:00:00"/>
    <n v="38"/>
    <x v="5"/>
    <x v="6"/>
  </r>
  <r>
    <x v="1553"/>
    <n v="-39"/>
    <x v="3212"/>
    <n v="6370.07"/>
    <s v="Complete Access"/>
    <x v="8"/>
    <x v="1"/>
    <x v="5"/>
    <d v="1900-01-13T00:00:00"/>
    <n v="37"/>
    <x v="5"/>
    <x v="6"/>
  </r>
  <r>
    <x v="1553"/>
    <n v="-9"/>
    <x v="3213"/>
    <n v="6361.07"/>
    <s v="Complete Access"/>
    <x v="682"/>
    <x v="1"/>
    <x v="5"/>
    <d v="1900-01-13T00:00:00"/>
    <n v="37"/>
    <x v="5"/>
    <x v="6"/>
  </r>
  <r>
    <x v="1553"/>
    <n v="-100"/>
    <x v="2274"/>
    <n v="6261.07"/>
    <s v="Complete Access"/>
    <x v="552"/>
    <x v="0"/>
    <x v="74"/>
    <d v="1900-01-13T00:00:00"/>
    <n v="37"/>
    <x v="5"/>
    <x v="6"/>
  </r>
  <r>
    <x v="1554"/>
    <n v="-7.05"/>
    <x v="2859"/>
    <n v="4561.1099999999997"/>
    <s v="Complete Access"/>
    <x v="61"/>
    <x v="1"/>
    <x v="1"/>
    <d v="1900-01-12T00:00:00"/>
    <n v="37"/>
    <x v="5"/>
    <x v="6"/>
  </r>
  <r>
    <x v="1554"/>
    <n v="-100"/>
    <x v="3214"/>
    <n v="6411.57"/>
    <s v="Complete Access"/>
    <x v="601"/>
    <x v="0"/>
    <x v="0"/>
    <d v="1900-01-12T00:00:00"/>
    <n v="37"/>
    <x v="5"/>
    <x v="6"/>
  </r>
  <r>
    <x v="1554"/>
    <n v="-40"/>
    <x v="3215"/>
    <n v="4568.16"/>
    <s v="Complete Access"/>
    <x v="12"/>
    <x v="5"/>
    <x v="8"/>
    <d v="1900-01-12T00:00:00"/>
    <n v="37"/>
    <x v="5"/>
    <x v="6"/>
  </r>
  <r>
    <x v="1554"/>
    <n v="-23.1"/>
    <x v="2762"/>
    <n v="6526.11"/>
    <s v="Complete Access"/>
    <x v="616"/>
    <x v="1"/>
    <x v="1"/>
    <d v="1900-01-12T00:00:00"/>
    <n v="37"/>
    <x v="5"/>
    <x v="6"/>
  </r>
  <r>
    <x v="1554"/>
    <n v="-2.5"/>
    <x v="72"/>
    <n v="6409.07"/>
    <s v="Complete Access"/>
    <x v="37"/>
    <x v="0"/>
    <x v="0"/>
    <d v="1900-01-12T00:00:00"/>
    <n v="37"/>
    <x v="5"/>
    <x v="6"/>
  </r>
  <r>
    <x v="1554"/>
    <n v="-14.54"/>
    <x v="2643"/>
    <n v="6511.57"/>
    <s v="Complete Access"/>
    <x v="215"/>
    <x v="1"/>
    <x v="1"/>
    <d v="1900-01-12T00:00:00"/>
    <n v="37"/>
    <x v="5"/>
    <x v="6"/>
  </r>
  <r>
    <x v="1554"/>
    <n v="2000"/>
    <x v="3216"/>
    <n v="6549.21"/>
    <s v="Complete Access"/>
    <x v="736"/>
    <x v="4"/>
    <x v="27"/>
    <d v="1900-01-12T00:00:00"/>
    <n v="37"/>
    <x v="5"/>
    <x v="6"/>
  </r>
  <r>
    <x v="1554"/>
    <n v="-11.9"/>
    <x v="2863"/>
    <n v="4549.21"/>
    <s v="Complete Access"/>
    <x v="186"/>
    <x v="1"/>
    <x v="5"/>
    <d v="1900-01-12T00:00:00"/>
    <n v="37"/>
    <x v="5"/>
    <x v="6"/>
  </r>
  <r>
    <x v="1555"/>
    <n v="-1.19"/>
    <x v="2859"/>
    <n v="4608.16"/>
    <s v="Complete Access"/>
    <x v="61"/>
    <x v="1"/>
    <x v="1"/>
    <d v="1900-01-11T00:00:00"/>
    <n v="37"/>
    <x v="5"/>
    <x v="6"/>
  </r>
  <r>
    <x v="1556"/>
    <n v="-1.1599999999999999"/>
    <x v="2859"/>
    <n v="3505.5"/>
    <s v="Complete Access"/>
    <x v="61"/>
    <x v="1"/>
    <x v="1"/>
    <d v="1900-01-10T00:00:00"/>
    <n v="37"/>
    <x v="5"/>
    <x v="6"/>
  </r>
  <r>
    <x v="1556"/>
    <n v="-63.5"/>
    <x v="3217"/>
    <n v="3442"/>
    <s v="Complete Access"/>
    <x v="8"/>
    <x v="1"/>
    <x v="5"/>
    <d v="1900-01-10T00:00:00"/>
    <n v="37"/>
    <x v="5"/>
    <x v="6"/>
  </r>
  <r>
    <x v="1556"/>
    <n v="1182.25"/>
    <x v="3188"/>
    <n v="4609.3500000000004"/>
    <s v="Complete Access"/>
    <x v="14"/>
    <x v="6"/>
    <x v="9"/>
    <d v="1900-01-10T00:00:00"/>
    <n v="37"/>
    <x v="5"/>
    <x v="6"/>
  </r>
  <r>
    <x v="1556"/>
    <n v="-14.9"/>
    <x v="2863"/>
    <n v="3427.1"/>
    <s v="Complete Access"/>
    <x v="186"/>
    <x v="1"/>
    <x v="5"/>
    <d v="1900-01-10T00:00:00"/>
    <n v="37"/>
    <x v="5"/>
    <x v="6"/>
  </r>
  <r>
    <x v="1557"/>
    <n v="-2.09"/>
    <x v="2859"/>
    <n v="3518.96"/>
    <s v="Complete Access"/>
    <x v="61"/>
    <x v="1"/>
    <x v="1"/>
    <d v="1900-01-09T00:00:00"/>
    <n v="37"/>
    <x v="5"/>
    <x v="6"/>
  </r>
  <r>
    <x v="1557"/>
    <n v="-48.5"/>
    <x v="3218"/>
    <n v="3521.05"/>
    <s v="Complete Access"/>
    <x v="8"/>
    <x v="1"/>
    <x v="5"/>
    <d v="1900-01-09T00:00:00"/>
    <n v="37"/>
    <x v="5"/>
    <x v="6"/>
  </r>
  <r>
    <x v="1557"/>
    <n v="-12.3"/>
    <x v="2762"/>
    <n v="3506.66"/>
    <s v="Complete Access"/>
    <x v="616"/>
    <x v="1"/>
    <x v="1"/>
    <d v="1900-01-09T00:00:00"/>
    <n v="37"/>
    <x v="5"/>
    <x v="6"/>
  </r>
  <r>
    <x v="1557"/>
    <n v="-47"/>
    <x v="3219"/>
    <n v="3569.55"/>
    <s v="Complete Access"/>
    <x v="737"/>
    <x v="9"/>
    <x v="39"/>
    <d v="1900-01-09T00:00:00"/>
    <n v="37"/>
    <x v="5"/>
    <x v="6"/>
  </r>
  <r>
    <x v="1558"/>
    <n v="-0.99"/>
    <x v="2859"/>
    <n v="3703.55"/>
    <s v="Complete Access"/>
    <x v="61"/>
    <x v="1"/>
    <x v="1"/>
    <d v="1900-01-08T00:00:00"/>
    <n v="37"/>
    <x v="5"/>
    <x v="6"/>
  </r>
  <r>
    <x v="1558"/>
    <n v="-73"/>
    <x v="2543"/>
    <n v="3616.55"/>
    <s v="Complete Access"/>
    <x v="17"/>
    <x v="7"/>
    <x v="11"/>
    <d v="1900-01-08T00:00:00"/>
    <n v="37"/>
    <x v="5"/>
    <x v="6"/>
  </r>
  <r>
    <x v="1558"/>
    <n v="-14"/>
    <x v="3000"/>
    <n v="3689.55"/>
    <s v="Complete Access"/>
    <x v="687"/>
    <x v="1"/>
    <x v="5"/>
    <d v="1900-01-08T00:00:00"/>
    <n v="37"/>
    <x v="5"/>
    <x v="6"/>
  </r>
  <r>
    <x v="1559"/>
    <n v="31"/>
    <x v="3220"/>
    <n v="3704.54"/>
    <s v="Complete Access"/>
    <x v="583"/>
    <x v="0"/>
    <x v="69"/>
    <d v="1900-01-07T00:00:00"/>
    <n v="37"/>
    <x v="5"/>
    <x v="6"/>
  </r>
  <r>
    <x v="1560"/>
    <n v="-300"/>
    <x v="2956"/>
    <n v="3697.54"/>
    <s v="Complete Access"/>
    <x v="601"/>
    <x v="0"/>
    <x v="0"/>
    <d v="1900-01-06T00:00:00"/>
    <n v="36"/>
    <x v="5"/>
    <x v="6"/>
  </r>
  <r>
    <x v="1560"/>
    <n v="-10"/>
    <x v="3221"/>
    <n v="3673.54"/>
    <s v="Complete Access"/>
    <x v="738"/>
    <x v="8"/>
    <x v="29"/>
    <d v="1900-01-06T00:00:00"/>
    <n v="36"/>
    <x v="5"/>
    <x v="6"/>
  </r>
  <r>
    <x v="1560"/>
    <n v="-7"/>
    <x v="3221"/>
    <n v="3683.54"/>
    <s v="Complete Access"/>
    <x v="738"/>
    <x v="8"/>
    <x v="29"/>
    <d v="1900-01-06T00:00:00"/>
    <n v="36"/>
    <x v="5"/>
    <x v="6"/>
  </r>
  <r>
    <x v="1560"/>
    <n v="-7"/>
    <x v="3221"/>
    <n v="3690.54"/>
    <s v="Complete Access"/>
    <x v="738"/>
    <x v="8"/>
    <x v="29"/>
    <d v="1900-01-06T00:00:00"/>
    <n v="36"/>
    <x v="5"/>
    <x v="6"/>
  </r>
  <r>
    <x v="1560"/>
    <n v="-40"/>
    <x v="3222"/>
    <n v="3855.5"/>
    <s v="Complete Access"/>
    <x v="12"/>
    <x v="5"/>
    <x v="8"/>
    <d v="1900-01-06T00:00:00"/>
    <n v="36"/>
    <x v="5"/>
    <x v="6"/>
  </r>
  <r>
    <x v="1560"/>
    <n v="-9"/>
    <x v="3223"/>
    <n v="4116.49"/>
    <s v="Complete Access"/>
    <x v="682"/>
    <x v="1"/>
    <x v="5"/>
    <d v="1900-01-06T00:00:00"/>
    <n v="36"/>
    <x v="5"/>
    <x v="6"/>
  </r>
  <r>
    <x v="1560"/>
    <n v="-130"/>
    <x v="3224"/>
    <m/>
    <s v="Complete Access"/>
    <x v="739"/>
    <x v="4"/>
    <x v="20"/>
    <d v="1900-01-06T00:00:00"/>
    <n v="36"/>
    <x v="5"/>
    <x v="6"/>
  </r>
  <r>
    <x v="1560"/>
    <n v="269.99"/>
    <x v="3225"/>
    <n v="4125.49"/>
    <s v="Complete Access"/>
    <x v="703"/>
    <x v="3"/>
    <x v="15"/>
    <d v="1900-01-06T00:00:00"/>
    <n v="36"/>
    <x v="5"/>
    <x v="6"/>
  </r>
  <r>
    <x v="1560"/>
    <n v="-18.95"/>
    <x v="2643"/>
    <n v="3997.54"/>
    <s v="Complete Access"/>
    <x v="215"/>
    <x v="1"/>
    <x v="1"/>
    <d v="1900-01-06T00:00:00"/>
    <n v="36"/>
    <x v="5"/>
    <x v="6"/>
  </r>
  <r>
    <x v="1560"/>
    <n v="-100"/>
    <x v="2274"/>
    <n v="4016.49"/>
    <s v="Complete Access"/>
    <x v="552"/>
    <x v="0"/>
    <x v="74"/>
    <d v="1900-01-06T00:00:00"/>
    <n v="36"/>
    <x v="5"/>
    <x v="6"/>
  </r>
  <r>
    <x v="1561"/>
    <n v="-28.75"/>
    <x v="3226"/>
    <n v="3895.5"/>
    <s v="Complete Access"/>
    <x v="740"/>
    <x v="18"/>
    <x v="59"/>
    <d v="1900-01-05T00:00:00"/>
    <n v="36"/>
    <x v="5"/>
    <x v="6"/>
  </r>
  <r>
    <x v="1561"/>
    <n v="-21.95"/>
    <x v="3227"/>
    <n v="3924.25"/>
    <s v="Complete Access"/>
    <x v="617"/>
    <x v="4"/>
    <x v="73"/>
    <d v="1900-01-05T00:00:00"/>
    <n v="36"/>
    <x v="5"/>
    <x v="6"/>
  </r>
  <r>
    <x v="1562"/>
    <n v="-500"/>
    <x v="2294"/>
    <n v="4044.65"/>
    <s v="Complete Access"/>
    <x v="571"/>
    <x v="19"/>
    <x v="61"/>
    <d v="1900-01-04T00:00:00"/>
    <n v="36"/>
    <x v="5"/>
    <x v="6"/>
  </r>
  <r>
    <x v="1562"/>
    <n v="-82.55"/>
    <x v="3228"/>
    <n v="3946.2"/>
    <s v="Complete Access"/>
    <x v="512"/>
    <x v="1"/>
    <x v="5"/>
    <d v="1900-01-04T00:00:00"/>
    <n v="36"/>
    <x v="5"/>
    <x v="6"/>
  </r>
  <r>
    <x v="1562"/>
    <n v="-15.9"/>
    <x v="2863"/>
    <n v="4028.75"/>
    <s v="Complete Access"/>
    <x v="186"/>
    <x v="1"/>
    <x v="5"/>
    <d v="1900-01-04T00:00:00"/>
    <n v="36"/>
    <x v="5"/>
    <x v="6"/>
  </r>
  <r>
    <x v="1563"/>
    <n v="-8.98"/>
    <x v="2859"/>
    <n v="3511.21"/>
    <s v="Complete Access"/>
    <x v="61"/>
    <x v="1"/>
    <x v="1"/>
    <d v="1900-01-03T00:00:00"/>
    <n v="36"/>
    <x v="5"/>
    <x v="6"/>
  </r>
  <r>
    <x v="1563"/>
    <n v="-67.7"/>
    <x v="3229"/>
    <n v="3520.19"/>
    <s v="Complete Access"/>
    <x v="8"/>
    <x v="1"/>
    <x v="5"/>
    <d v="1900-01-03T00:00:00"/>
    <n v="36"/>
    <x v="5"/>
    <x v="6"/>
  </r>
  <r>
    <x v="1563"/>
    <n v="1048.94"/>
    <x v="3188"/>
    <n v="4544.6499999999996"/>
    <s v="Complete Access"/>
    <x v="14"/>
    <x v="6"/>
    <x v="9"/>
    <d v="1900-01-03T00:00:00"/>
    <n v="36"/>
    <x v="5"/>
    <x v="6"/>
  </r>
  <r>
    <x v="1563"/>
    <n v="-15.5"/>
    <x v="2863"/>
    <n v="3495.71"/>
    <s v="Complete Access"/>
    <x v="186"/>
    <x v="1"/>
    <x v="5"/>
    <d v="1900-01-03T00:00:00"/>
    <n v="36"/>
    <x v="5"/>
    <x v="6"/>
  </r>
  <r>
    <x v="1564"/>
    <n v="-18.899999999999999"/>
    <x v="3230"/>
    <n v="3602.64"/>
    <s v="Complete Access"/>
    <x v="8"/>
    <x v="1"/>
    <x v="5"/>
    <d v="1900-01-02T00:00:00"/>
    <n v="36"/>
    <x v="5"/>
    <x v="6"/>
  </r>
  <r>
    <x v="1564"/>
    <n v="-82"/>
    <x v="3231"/>
    <n v="3621.54"/>
    <s v="Complete Access"/>
    <x v="8"/>
    <x v="1"/>
    <x v="5"/>
    <d v="1900-01-02T00:00:00"/>
    <n v="36"/>
    <x v="5"/>
    <x v="6"/>
  </r>
  <r>
    <x v="1564"/>
    <n v="-0.49"/>
    <x v="3232"/>
    <n v="3703.54"/>
    <s v="Complete Access"/>
    <x v="10"/>
    <x v="0"/>
    <x v="0"/>
    <d v="1900-01-02T00:00:00"/>
    <n v="36"/>
    <x v="5"/>
    <x v="6"/>
  </r>
  <r>
    <x v="1564"/>
    <n v="-0.49"/>
    <x v="3232"/>
    <n v="3720.36"/>
    <s v="Complete Access"/>
    <x v="10"/>
    <x v="0"/>
    <x v="0"/>
    <d v="1900-01-02T00:00:00"/>
    <n v="36"/>
    <x v="5"/>
    <x v="6"/>
  </r>
  <r>
    <x v="1564"/>
    <n v="-14.75"/>
    <x v="2874"/>
    <n v="3587.89"/>
    <s v="Complete Access"/>
    <x v="663"/>
    <x v="1"/>
    <x v="1"/>
    <d v="1900-01-02T00:00:00"/>
    <n v="36"/>
    <x v="5"/>
    <x v="6"/>
  </r>
  <r>
    <x v="1564"/>
    <n v="-26.67"/>
    <x v="3233"/>
    <n v="3737.18"/>
    <s v="Complete Access"/>
    <x v="237"/>
    <x v="15"/>
    <x v="34"/>
    <d v="1900-01-02T00:00:00"/>
    <n v="36"/>
    <x v="5"/>
    <x v="6"/>
  </r>
  <r>
    <x v="1564"/>
    <n v="-16.329999999999998"/>
    <x v="3234"/>
    <n v="3704.03"/>
    <s v="Complete Access"/>
    <x v="327"/>
    <x v="4"/>
    <x v="27"/>
    <d v="1900-01-02T00:00:00"/>
    <n v="36"/>
    <x v="5"/>
    <x v="6"/>
  </r>
  <r>
    <x v="1564"/>
    <n v="-16.329999999999998"/>
    <x v="3235"/>
    <n v="3720.85"/>
    <s v="Complete Access"/>
    <x v="327"/>
    <x v="4"/>
    <x v="27"/>
    <d v="1900-01-02T00:00:00"/>
    <n v="36"/>
    <x v="5"/>
    <x v="6"/>
  </r>
  <r>
    <x v="1565"/>
    <n v="-4.51"/>
    <x v="2859"/>
    <n v="3922.82"/>
    <s v="Complete Access"/>
    <x v="61"/>
    <x v="1"/>
    <x v="1"/>
    <d v="1900-01-01T00:00:00"/>
    <n v="36"/>
    <x v="5"/>
    <x v="6"/>
  </r>
  <r>
    <x v="1565"/>
    <n v="-15.15"/>
    <x v="2916"/>
    <n v="3907.67"/>
    <s v="Complete Access"/>
    <x v="675"/>
    <x v="1"/>
    <x v="5"/>
    <d v="1900-01-01T00:00:00"/>
    <n v="36"/>
    <x v="5"/>
    <x v="6"/>
  </r>
  <r>
    <x v="1565"/>
    <n v="-21.52"/>
    <x v="2688"/>
    <n v="3886.15"/>
    <s v="Complete Access"/>
    <x v="177"/>
    <x v="1"/>
    <x v="1"/>
    <d v="1900-01-01T00:00:00"/>
    <n v="36"/>
    <x v="5"/>
    <x v="6"/>
  </r>
  <r>
    <x v="1565"/>
    <n v="50"/>
    <x v="3024"/>
    <n v="3936.15"/>
    <s v="Complete Access"/>
    <x v="27"/>
    <x v="1"/>
    <x v="5"/>
    <d v="1900-01-01T00:00:00"/>
    <n v="36"/>
    <x v="5"/>
    <x v="6"/>
  </r>
  <r>
    <x v="1565"/>
    <n v="-172.3"/>
    <x v="3236"/>
    <n v="3763.85"/>
    <s v="Complete Access"/>
    <x v="76"/>
    <x v="2"/>
    <x v="2"/>
    <d v="1900-01-01T00:00:00"/>
    <n v="36"/>
    <x v="5"/>
    <x v="6"/>
  </r>
  <r>
    <x v="1566"/>
    <n v="-20"/>
    <x v="2229"/>
    <n v="3927.33"/>
    <s v="Complete Access"/>
    <x v="557"/>
    <x v="7"/>
    <x v="53"/>
    <d v="1899-12-31T00:00:00"/>
    <n v="36"/>
    <x v="5"/>
    <x v="6"/>
  </r>
  <r>
    <x v="1567"/>
    <n v="-40"/>
    <x v="3237"/>
    <n v="3991.08"/>
    <s v="Complete Access"/>
    <x v="12"/>
    <x v="5"/>
    <x v="8"/>
    <d v="1900-01-30T00:00:00"/>
    <n v="35"/>
    <x v="6"/>
    <x v="6"/>
  </r>
  <r>
    <x v="1567"/>
    <n v="-22.05"/>
    <x v="3238"/>
    <n v="3969.03"/>
    <s v="Complete Access"/>
    <x v="47"/>
    <x v="1"/>
    <x v="5"/>
    <d v="1900-01-30T00:00:00"/>
    <n v="35"/>
    <x v="6"/>
    <x v="6"/>
  </r>
  <r>
    <x v="1567"/>
    <n v="-100"/>
    <x v="2274"/>
    <n v="4031.08"/>
    <s v="Complete Access"/>
    <x v="552"/>
    <x v="0"/>
    <x v="74"/>
    <d v="1900-01-30T00:00:00"/>
    <n v="35"/>
    <x v="6"/>
    <x v="6"/>
  </r>
  <r>
    <x v="1567"/>
    <n v="-21.7"/>
    <x v="3239"/>
    <n v="3947.33"/>
    <s v="Complete Access"/>
    <x v="460"/>
    <x v="8"/>
    <x v="29"/>
    <d v="1900-01-30T00:00:00"/>
    <n v="35"/>
    <x v="6"/>
    <x v="6"/>
  </r>
  <r>
    <x v="1568"/>
    <n v="-29.4"/>
    <x v="3240"/>
    <n v="4145.9799999999996"/>
    <s v="Complete Access"/>
    <x v="237"/>
    <x v="15"/>
    <x v="34"/>
    <d v="1900-01-29T00:00:00"/>
    <n v="35"/>
    <x v="6"/>
    <x v="6"/>
  </r>
  <r>
    <x v="1568"/>
    <n v="-14.9"/>
    <x v="2863"/>
    <n v="4131.08"/>
    <s v="Complete Access"/>
    <x v="186"/>
    <x v="1"/>
    <x v="5"/>
    <d v="1900-01-29T00:00:00"/>
    <n v="35"/>
    <x v="6"/>
    <x v="6"/>
  </r>
  <r>
    <x v="1569"/>
    <n v="-1.42"/>
    <x v="3241"/>
    <n v="4282.6099999999997"/>
    <s v="Complete Access"/>
    <x v="61"/>
    <x v="1"/>
    <x v="1"/>
    <d v="1900-01-28T00:00:00"/>
    <n v="35"/>
    <x v="6"/>
    <x v="6"/>
  </r>
  <r>
    <x v="1569"/>
    <n v="-51"/>
    <x v="3242"/>
    <n v="4385.2299999999996"/>
    <s v="Complete Access"/>
    <x v="8"/>
    <x v="1"/>
    <x v="5"/>
    <d v="1900-01-28T00:00:00"/>
    <n v="35"/>
    <x v="6"/>
    <x v="6"/>
  </r>
  <r>
    <x v="1569"/>
    <n v="-8.9"/>
    <x v="3243"/>
    <n v="4284.03"/>
    <s v="Complete Access"/>
    <x v="682"/>
    <x v="1"/>
    <x v="5"/>
    <d v="1900-01-28T00:00:00"/>
    <n v="35"/>
    <x v="6"/>
    <x v="6"/>
  </r>
  <r>
    <x v="1569"/>
    <n v="-27.83"/>
    <x v="2897"/>
    <n v="4175.38"/>
    <s v="Complete Access"/>
    <x v="559"/>
    <x v="20"/>
    <x v="63"/>
    <d v="1900-01-28T00:00:00"/>
    <n v="35"/>
    <x v="6"/>
    <x v="6"/>
  </r>
  <r>
    <x v="1569"/>
    <n v="-30.45"/>
    <x v="3244"/>
    <n v="4292.93"/>
    <s v="Complete Access"/>
    <x v="237"/>
    <x v="15"/>
    <x v="34"/>
    <d v="1900-01-28T00:00:00"/>
    <n v="35"/>
    <x v="6"/>
    <x v="6"/>
  </r>
  <r>
    <x v="1569"/>
    <n v="-12.29"/>
    <x v="3244"/>
    <n v="4323.38"/>
    <s v="Complete Access"/>
    <x v="237"/>
    <x v="15"/>
    <x v="34"/>
    <d v="1900-01-28T00:00:00"/>
    <n v="35"/>
    <x v="6"/>
    <x v="6"/>
  </r>
  <r>
    <x v="1569"/>
    <n v="-15.75"/>
    <x v="3244"/>
    <n v="4335.67"/>
    <s v="Complete Access"/>
    <x v="237"/>
    <x v="15"/>
    <x v="34"/>
    <d v="1900-01-28T00:00:00"/>
    <n v="35"/>
    <x v="6"/>
    <x v="6"/>
  </r>
  <r>
    <x v="1569"/>
    <n v="-33.81"/>
    <x v="3245"/>
    <n v="4351.42"/>
    <s v="Complete Access"/>
    <x v="237"/>
    <x v="15"/>
    <x v="34"/>
    <d v="1900-01-28T00:00:00"/>
    <n v="35"/>
    <x v="6"/>
    <x v="6"/>
  </r>
  <r>
    <x v="1569"/>
    <n v="-45.4"/>
    <x v="3246"/>
    <n v="4203.21"/>
    <s v="Complete Access"/>
    <x v="741"/>
    <x v="16"/>
    <x v="81"/>
    <d v="1900-01-28T00:00:00"/>
    <n v="35"/>
    <x v="6"/>
    <x v="6"/>
  </r>
  <r>
    <x v="1569"/>
    <n v="-14"/>
    <x v="3000"/>
    <n v="4248.6099999999997"/>
    <s v="Complete Access"/>
    <x v="687"/>
    <x v="1"/>
    <x v="5"/>
    <d v="1900-01-28T00:00:00"/>
    <n v="35"/>
    <x v="6"/>
    <x v="6"/>
  </r>
  <r>
    <x v="1569"/>
    <n v="-20"/>
    <x v="3247"/>
    <n v="4262.6099999999997"/>
    <s v="Complete Access"/>
    <x v="34"/>
    <x v="9"/>
    <x v="12"/>
    <d v="1900-01-28T00:00:00"/>
    <n v="35"/>
    <x v="6"/>
    <x v="6"/>
  </r>
  <r>
    <x v="1570"/>
    <n v="-36.5"/>
    <x v="3248"/>
    <n v="3280.15"/>
    <s v="Complete Access"/>
    <x v="8"/>
    <x v="1"/>
    <x v="5"/>
    <d v="1900-01-27T00:00:00"/>
    <n v="35"/>
    <x v="6"/>
    <x v="6"/>
  </r>
  <r>
    <x v="1570"/>
    <n v="1178.48"/>
    <x v="3188"/>
    <n v="4436.2299999999996"/>
    <s v="Complete Access"/>
    <x v="14"/>
    <x v="6"/>
    <x v="9"/>
    <d v="1900-01-27T00:00:00"/>
    <n v="35"/>
    <x v="6"/>
    <x v="6"/>
  </r>
  <r>
    <x v="1570"/>
    <n v="-16.899999999999999"/>
    <x v="2863"/>
    <n v="3257.75"/>
    <s v="Complete Access"/>
    <x v="186"/>
    <x v="1"/>
    <x v="5"/>
    <d v="1900-01-27T00:00:00"/>
    <n v="35"/>
    <x v="6"/>
    <x v="6"/>
  </r>
  <r>
    <x v="1570"/>
    <n v="-5.5"/>
    <x v="3249"/>
    <n v="3274.65"/>
    <s v="Complete Access"/>
    <x v="34"/>
    <x v="9"/>
    <x v="12"/>
    <d v="1900-01-27T00:00:00"/>
    <n v="35"/>
    <x v="6"/>
    <x v="6"/>
  </r>
  <r>
    <x v="1571"/>
    <n v="-18.14"/>
    <x v="3250"/>
    <n v="3316.65"/>
    <s v="Complete Access"/>
    <x v="8"/>
    <x v="1"/>
    <x v="5"/>
    <d v="1900-01-26T00:00:00"/>
    <n v="35"/>
    <x v="6"/>
    <x v="6"/>
  </r>
  <r>
    <x v="1571"/>
    <n v="-9.18"/>
    <x v="3251"/>
    <n v="3350.79"/>
    <s v="Complete Access"/>
    <x v="742"/>
    <x v="8"/>
    <x v="29"/>
    <d v="1900-01-26T00:00:00"/>
    <n v="35"/>
    <x v="6"/>
    <x v="6"/>
  </r>
  <r>
    <x v="1571"/>
    <n v="-16"/>
    <x v="3252"/>
    <n v="3334.79"/>
    <s v="Complete Access"/>
    <x v="743"/>
    <x v="1"/>
    <x v="5"/>
    <d v="1900-01-26T00:00:00"/>
    <n v="35"/>
    <x v="6"/>
    <x v="6"/>
  </r>
  <r>
    <x v="1572"/>
    <n v="-26"/>
    <x v="3253"/>
    <n v="3359.97"/>
    <s v="Complete Access"/>
    <x v="27"/>
    <x v="1"/>
    <x v="5"/>
    <d v="1900-01-24T00:00:00"/>
    <n v="35"/>
    <x v="6"/>
    <x v="6"/>
  </r>
  <r>
    <x v="1573"/>
    <n v="-22.15"/>
    <x v="2762"/>
    <n v="3471.97"/>
    <s v="Complete Access"/>
    <x v="616"/>
    <x v="1"/>
    <x v="1"/>
    <d v="1900-01-23T00:00:00"/>
    <n v="34"/>
    <x v="6"/>
    <x v="6"/>
  </r>
  <r>
    <x v="1573"/>
    <n v="-12.95"/>
    <x v="3254"/>
    <n v="3531.59"/>
    <s v="Complete Access"/>
    <x v="744"/>
    <x v="3"/>
    <x v="15"/>
    <d v="1900-01-23T00:00:00"/>
    <n v="34"/>
    <x v="6"/>
    <x v="6"/>
  </r>
  <r>
    <x v="1573"/>
    <n v="-269.99"/>
    <x v="3255"/>
    <n v="3544.54"/>
    <s v="Complete Access"/>
    <x v="703"/>
    <x v="3"/>
    <x v="15"/>
    <d v="1900-01-23T00:00:00"/>
    <n v="34"/>
    <x v="6"/>
    <x v="6"/>
  </r>
  <r>
    <x v="1573"/>
    <n v="-10.19"/>
    <x v="2874"/>
    <n v="3521.4"/>
    <s v="Complete Access"/>
    <x v="663"/>
    <x v="1"/>
    <x v="1"/>
    <d v="1900-01-23T00:00:00"/>
    <n v="34"/>
    <x v="6"/>
    <x v="6"/>
  </r>
  <r>
    <x v="1573"/>
    <n v="-100"/>
    <x v="2274"/>
    <n v="3814.53"/>
    <s v="Complete Access"/>
    <x v="552"/>
    <x v="0"/>
    <x v="74"/>
    <d v="1900-01-23T00:00:00"/>
    <n v="34"/>
    <x v="6"/>
    <x v="6"/>
  </r>
  <r>
    <x v="1573"/>
    <n v="-27.28"/>
    <x v="2688"/>
    <n v="3494.12"/>
    <s v="Complete Access"/>
    <x v="177"/>
    <x v="1"/>
    <x v="1"/>
    <d v="1900-01-23T00:00:00"/>
    <n v="34"/>
    <x v="6"/>
    <x v="6"/>
  </r>
  <r>
    <x v="1573"/>
    <n v="-86"/>
    <x v="2700"/>
    <n v="3385.97"/>
    <s v="Complete Access"/>
    <x v="243"/>
    <x v="1"/>
    <x v="23"/>
    <d v="1900-01-23T00:00:00"/>
    <n v="34"/>
    <x v="6"/>
    <x v="6"/>
  </r>
  <r>
    <x v="1574"/>
    <n v="-2.97"/>
    <x v="2859"/>
    <n v="3951.03"/>
    <s v="Complete Access"/>
    <x v="61"/>
    <x v="1"/>
    <x v="1"/>
    <d v="1900-01-22T00:00:00"/>
    <n v="34"/>
    <x v="6"/>
    <x v="6"/>
  </r>
  <r>
    <x v="1574"/>
    <n v="-21.5"/>
    <x v="3256"/>
    <n v="3914.53"/>
    <s v="Complete Access"/>
    <x v="745"/>
    <x v="8"/>
    <x v="22"/>
    <d v="1900-01-22T00:00:00"/>
    <n v="34"/>
    <x v="6"/>
    <x v="6"/>
  </r>
  <r>
    <x v="1574"/>
    <n v="-15"/>
    <x v="3256"/>
    <n v="3936.03"/>
    <s v="Complete Access"/>
    <x v="745"/>
    <x v="8"/>
    <x v="22"/>
    <d v="1900-01-22T00:00:00"/>
    <n v="34"/>
    <x v="6"/>
    <x v="6"/>
  </r>
  <r>
    <x v="1575"/>
    <n v="-500"/>
    <x v="2294"/>
    <n v="3969"/>
    <s v="Complete Access"/>
    <x v="571"/>
    <x v="19"/>
    <x v="61"/>
    <d v="1900-01-21T00:00:00"/>
    <n v="34"/>
    <x v="6"/>
    <x v="6"/>
  </r>
  <r>
    <x v="1575"/>
    <n v="-15"/>
    <x v="3257"/>
    <n v="3954"/>
    <s v="Complete Access"/>
    <x v="254"/>
    <x v="16"/>
    <x v="35"/>
    <d v="1900-01-21T00:00:00"/>
    <n v="34"/>
    <x v="6"/>
    <x v="6"/>
  </r>
  <r>
    <x v="1576"/>
    <n v="-84"/>
    <x v="3258"/>
    <n v="918.32"/>
    <s v="Complete Access"/>
    <x v="8"/>
    <x v="1"/>
    <x v="5"/>
    <d v="1900-01-20T00:00:00"/>
    <n v="34"/>
    <x v="6"/>
    <x v="6"/>
  </r>
  <r>
    <x v="1576"/>
    <n v="-40"/>
    <x v="3259"/>
    <n v="1002.32"/>
    <s v="Complete Access"/>
    <x v="12"/>
    <x v="5"/>
    <x v="8"/>
    <d v="1900-01-20T00:00:00"/>
    <n v="34"/>
    <x v="6"/>
    <x v="6"/>
  </r>
  <r>
    <x v="1576"/>
    <n v="3550.68"/>
    <x v="3188"/>
    <n v="4469"/>
    <s v="Complete Access"/>
    <x v="14"/>
    <x v="6"/>
    <x v="9"/>
    <d v="1900-01-20T00:00:00"/>
    <n v="34"/>
    <x v="6"/>
    <x v="6"/>
  </r>
  <r>
    <x v="1577"/>
    <n v="-57.3"/>
    <x v="3260"/>
    <n v="1241.92"/>
    <s v="Complete Access"/>
    <x v="8"/>
    <x v="1"/>
    <x v="5"/>
    <d v="1900-01-19T00:00:00"/>
    <n v="34"/>
    <x v="6"/>
    <x v="6"/>
  </r>
  <r>
    <x v="1577"/>
    <n v="-12.5"/>
    <x v="3261"/>
    <n v="1229.42"/>
    <s v="Complete Access"/>
    <x v="682"/>
    <x v="1"/>
    <x v="5"/>
    <d v="1900-01-19T00:00:00"/>
    <n v="34"/>
    <x v="6"/>
    <x v="6"/>
  </r>
  <r>
    <x v="1577"/>
    <n v="-16"/>
    <x v="3191"/>
    <n v="1213.42"/>
    <s v="Complete Access"/>
    <x v="732"/>
    <x v="8"/>
    <x v="29"/>
    <d v="1900-01-19T00:00:00"/>
    <n v="34"/>
    <x v="6"/>
    <x v="6"/>
  </r>
  <r>
    <x v="1577"/>
    <n v="-171.1"/>
    <x v="3262"/>
    <n v="1042.32"/>
    <s v="Complete Access"/>
    <x v="746"/>
    <x v="12"/>
    <x v="21"/>
    <d v="1900-01-19T00:00:00"/>
    <n v="34"/>
    <x v="6"/>
    <x v="6"/>
  </r>
  <r>
    <x v="1578"/>
    <n v="-16"/>
    <x v="2863"/>
    <n v="1299.22"/>
    <s v="Complete Access"/>
    <x v="186"/>
    <x v="1"/>
    <x v="5"/>
    <d v="1900-01-18T00:00:00"/>
    <n v="34"/>
    <x v="6"/>
    <x v="6"/>
  </r>
  <r>
    <x v="1579"/>
    <n v="20"/>
    <x v="3136"/>
    <n v="1265.22"/>
    <s v="Complete Access"/>
    <x v="27"/>
    <x v="1"/>
    <x v="5"/>
    <d v="1900-01-17T00:00:00"/>
    <n v="34"/>
    <x v="6"/>
    <x v="6"/>
  </r>
  <r>
    <x v="1579"/>
    <n v="50"/>
    <x v="3024"/>
    <n v="1315.22"/>
    <s v="Complete Access"/>
    <x v="27"/>
    <x v="1"/>
    <x v="5"/>
    <d v="1900-01-17T00:00:00"/>
    <n v="34"/>
    <x v="6"/>
    <x v="6"/>
  </r>
  <r>
    <x v="1579"/>
    <n v="12"/>
    <x v="2876"/>
    <n v="1245.22"/>
    <s v="Complete Access"/>
    <x v="27"/>
    <x v="1"/>
    <x v="5"/>
    <d v="1900-01-17T00:00:00"/>
    <n v="34"/>
    <x v="6"/>
    <x v="6"/>
  </r>
  <r>
    <x v="1580"/>
    <n v="-100"/>
    <x v="2274"/>
    <n v="1233.22"/>
    <s v="Complete Access"/>
    <x v="552"/>
    <x v="0"/>
    <x v="74"/>
    <d v="1900-01-16T00:00:00"/>
    <n v="33"/>
    <x v="6"/>
    <x v="6"/>
  </r>
  <r>
    <x v="1581"/>
    <n v="1.59"/>
    <x v="2702"/>
    <n v="1333.22"/>
    <s v="Complete Access"/>
    <x v="6"/>
    <x v="4"/>
    <x v="4"/>
    <d v="1900-01-15T00:00:00"/>
    <n v="33"/>
    <x v="6"/>
    <x v="6"/>
  </r>
  <r>
    <x v="1582"/>
    <n v="-12.81"/>
    <x v="3263"/>
    <n v="1433.01"/>
    <s v="Complete Access"/>
    <x v="556"/>
    <x v="15"/>
    <x v="34"/>
    <d v="1900-01-14T00:00:00"/>
    <n v="33"/>
    <x v="6"/>
    <x v="6"/>
  </r>
  <r>
    <x v="1582"/>
    <n v="-10.3"/>
    <x v="3264"/>
    <n v="1422.71"/>
    <s v="Complete Access"/>
    <x v="682"/>
    <x v="1"/>
    <x v="5"/>
    <d v="1900-01-14T00:00:00"/>
    <n v="33"/>
    <x v="6"/>
    <x v="6"/>
  </r>
  <r>
    <x v="1582"/>
    <n v="-12.5"/>
    <x v="3265"/>
    <n v="1377.03"/>
    <s v="Complete Access"/>
    <x v="747"/>
    <x v="1"/>
    <x v="5"/>
    <d v="1900-01-14T00:00:00"/>
    <n v="33"/>
    <x v="6"/>
    <x v="6"/>
  </r>
  <r>
    <x v="1582"/>
    <n v="-33.18"/>
    <x v="3266"/>
    <n v="1389.53"/>
    <s v="Complete Access"/>
    <x v="237"/>
    <x v="15"/>
    <x v="34"/>
    <d v="1900-01-14T00:00:00"/>
    <n v="33"/>
    <x v="6"/>
    <x v="6"/>
  </r>
  <r>
    <x v="1582"/>
    <n v="-45.4"/>
    <x v="3267"/>
    <n v="1331.63"/>
    <s v="Complete Access"/>
    <x v="741"/>
    <x v="16"/>
    <x v="81"/>
    <d v="1900-01-14T00:00:00"/>
    <n v="33"/>
    <x v="6"/>
    <x v="6"/>
  </r>
  <r>
    <x v="1583"/>
    <n v="-0.5"/>
    <x v="2859"/>
    <n v="1495.82"/>
    <s v="Complete Access"/>
    <x v="61"/>
    <x v="1"/>
    <x v="1"/>
    <d v="1900-01-13T00:00:00"/>
    <n v="33"/>
    <x v="6"/>
    <x v="6"/>
  </r>
  <r>
    <x v="1583"/>
    <n v="-23.79"/>
    <x v="3268"/>
    <n v="1591.62"/>
    <s v="Complete Access"/>
    <x v="8"/>
    <x v="1"/>
    <x v="5"/>
    <d v="1900-01-13T00:00:00"/>
    <n v="33"/>
    <x v="6"/>
    <x v="6"/>
  </r>
  <r>
    <x v="1583"/>
    <n v="-59.5"/>
    <x v="3269"/>
    <n v="1532.12"/>
    <s v="Complete Access"/>
    <x v="8"/>
    <x v="1"/>
    <x v="5"/>
    <d v="1900-01-13T00:00:00"/>
    <n v="33"/>
    <x v="6"/>
    <x v="6"/>
  </r>
  <r>
    <x v="1583"/>
    <n v="-40"/>
    <x v="3270"/>
    <n v="1719.08"/>
    <s v="Complete Access"/>
    <x v="12"/>
    <x v="5"/>
    <x v="8"/>
    <d v="1900-01-13T00:00:00"/>
    <n v="33"/>
    <x v="6"/>
    <x v="6"/>
  </r>
  <r>
    <x v="1583"/>
    <n v="-103.67"/>
    <x v="3271"/>
    <n v="1615.41"/>
    <s v="Complete Access"/>
    <x v="343"/>
    <x v="1"/>
    <x v="5"/>
    <d v="1900-01-13T00:00:00"/>
    <n v="33"/>
    <x v="6"/>
    <x v="6"/>
  </r>
  <r>
    <x v="1583"/>
    <n v="-50"/>
    <x v="2929"/>
    <n v="1445.82"/>
    <s v="Complete Access"/>
    <x v="645"/>
    <x v="0"/>
    <x v="69"/>
    <d v="1900-01-13T00:00:00"/>
    <n v="33"/>
    <x v="6"/>
    <x v="6"/>
  </r>
  <r>
    <x v="1583"/>
    <n v="-29.3"/>
    <x v="3272"/>
    <n v="1502.82"/>
    <s v="Complete Access"/>
    <x v="460"/>
    <x v="8"/>
    <x v="29"/>
    <d v="1900-01-13T00:00:00"/>
    <n v="33"/>
    <x v="6"/>
    <x v="6"/>
  </r>
  <r>
    <x v="1583"/>
    <n v="-6.5"/>
    <x v="3273"/>
    <n v="1496.32"/>
    <s v="Complete Access"/>
    <x v="34"/>
    <x v="9"/>
    <x v="12"/>
    <d v="1900-01-13T00:00:00"/>
    <n v="33"/>
    <x v="6"/>
    <x v="6"/>
  </r>
  <r>
    <x v="1584"/>
    <n v="-1.58"/>
    <x v="2859"/>
    <n v="1795.87"/>
    <s v="Complete Access"/>
    <x v="61"/>
    <x v="1"/>
    <x v="1"/>
    <d v="1900-01-12T00:00:00"/>
    <n v="33"/>
    <x v="6"/>
    <x v="6"/>
  </r>
  <r>
    <x v="1584"/>
    <n v="-51.5"/>
    <x v="3274"/>
    <n v="1808.45"/>
    <s v="Complete Access"/>
    <x v="8"/>
    <x v="1"/>
    <x v="5"/>
    <d v="1900-01-12T00:00:00"/>
    <n v="33"/>
    <x v="6"/>
    <x v="6"/>
  </r>
  <r>
    <x v="1584"/>
    <n v="-20.399999999999999"/>
    <x v="3275"/>
    <n v="1759.08"/>
    <s v="Complete Access"/>
    <x v="27"/>
    <x v="1"/>
    <x v="5"/>
    <d v="1900-01-12T00:00:00"/>
    <n v="33"/>
    <x v="6"/>
    <x v="6"/>
  </r>
  <r>
    <x v="1584"/>
    <n v="-11"/>
    <x v="3276"/>
    <n v="1797.45"/>
    <s v="Complete Access"/>
    <x v="682"/>
    <x v="1"/>
    <x v="5"/>
    <d v="1900-01-12T00:00:00"/>
    <n v="33"/>
    <x v="6"/>
    <x v="6"/>
  </r>
  <r>
    <x v="1584"/>
    <n v="-14.5"/>
    <x v="3277"/>
    <n v="1867.39"/>
    <s v="Complete Access"/>
    <x v="10"/>
    <x v="0"/>
    <x v="0"/>
    <d v="1900-01-12T00:00:00"/>
    <n v="33"/>
    <x v="6"/>
    <x v="6"/>
  </r>
  <r>
    <x v="1584"/>
    <n v="-4.59"/>
    <x v="2643"/>
    <n v="1779.48"/>
    <s v="Complete Access"/>
    <x v="215"/>
    <x v="1"/>
    <x v="1"/>
    <d v="1900-01-12T00:00:00"/>
    <n v="33"/>
    <x v="6"/>
    <x v="6"/>
  </r>
  <r>
    <x v="1584"/>
    <n v="-3.8"/>
    <x v="2863"/>
    <n v="1792.07"/>
    <s v="Complete Access"/>
    <x v="186"/>
    <x v="1"/>
    <x v="5"/>
    <d v="1900-01-12T00:00:00"/>
    <n v="33"/>
    <x v="6"/>
    <x v="6"/>
  </r>
  <r>
    <x v="1584"/>
    <n v="-7.44"/>
    <x v="3278"/>
    <n v="1859.95"/>
    <s v="Complete Access"/>
    <x v="44"/>
    <x v="4"/>
    <x v="27"/>
    <d v="1900-01-12T00:00:00"/>
    <n v="33"/>
    <x v="6"/>
    <x v="6"/>
  </r>
  <r>
    <x v="1584"/>
    <n v="-8"/>
    <x v="2925"/>
    <n v="1784.07"/>
    <s v="Complete Access"/>
    <x v="678"/>
    <x v="20"/>
    <x v="63"/>
    <d v="1900-01-12T00:00:00"/>
    <n v="33"/>
    <x v="6"/>
    <x v="6"/>
  </r>
  <r>
    <x v="1584"/>
    <n v="-483.32"/>
    <x v="3279"/>
    <n v="1881.89"/>
    <s v="Complete Access"/>
    <x v="748"/>
    <x v="18"/>
    <x v="3"/>
    <d v="1900-01-12T00:00:00"/>
    <n v="33"/>
    <x v="6"/>
    <x v="6"/>
  </r>
  <r>
    <x v="1585"/>
    <n v="-13.5"/>
    <x v="3280"/>
    <n v="2365.21"/>
    <s v="Complete Access"/>
    <x v="749"/>
    <x v="1"/>
    <x v="5"/>
    <d v="1900-01-11T00:00:00"/>
    <n v="33"/>
    <x v="6"/>
    <x v="6"/>
  </r>
  <r>
    <x v="1585"/>
    <n v="-20"/>
    <x v="3281"/>
    <n v="2378.71"/>
    <s v="Complete Access"/>
    <x v="750"/>
    <x v="1"/>
    <x v="5"/>
    <d v="1900-01-11T00:00:00"/>
    <n v="33"/>
    <x v="6"/>
    <x v="6"/>
  </r>
  <r>
    <x v="1586"/>
    <n v="-23.7"/>
    <x v="3282"/>
    <n v="2398.71"/>
    <s v="Complete Access"/>
    <x v="751"/>
    <x v="1"/>
    <x v="5"/>
    <d v="1900-01-10T00:00:00"/>
    <n v="33"/>
    <x v="6"/>
    <x v="6"/>
  </r>
  <r>
    <x v="1587"/>
    <n v="-100"/>
    <x v="3283"/>
    <n v="2424.91"/>
    <s v="Complete Access"/>
    <x v="601"/>
    <x v="0"/>
    <x v="0"/>
    <d v="1900-01-09T00:00:00"/>
    <n v="32"/>
    <x v="6"/>
    <x v="6"/>
  </r>
  <r>
    <x v="1587"/>
    <n v="-9"/>
    <x v="3284"/>
    <n v="2624.91"/>
    <s v="Complete Access"/>
    <x v="682"/>
    <x v="1"/>
    <x v="5"/>
    <d v="1900-01-09T00:00:00"/>
    <n v="32"/>
    <x v="6"/>
    <x v="6"/>
  </r>
  <r>
    <x v="1587"/>
    <n v="-2.5"/>
    <x v="72"/>
    <n v="2422.41"/>
    <s v="Complete Access"/>
    <x v="37"/>
    <x v="0"/>
    <x v="0"/>
    <d v="1900-01-09T00:00:00"/>
    <n v="32"/>
    <x v="6"/>
    <x v="6"/>
  </r>
  <r>
    <x v="1587"/>
    <n v="-100"/>
    <x v="2274"/>
    <n v="2524.91"/>
    <s v="Complete Access"/>
    <x v="552"/>
    <x v="0"/>
    <x v="74"/>
    <d v="1900-01-09T00:00:00"/>
    <n v="32"/>
    <x v="6"/>
    <x v="6"/>
  </r>
  <r>
    <x v="1588"/>
    <n v="-1.76"/>
    <x v="2859"/>
    <n v="2706.91"/>
    <s v="Complete Access"/>
    <x v="61"/>
    <x v="1"/>
    <x v="1"/>
    <d v="1900-01-08T00:00:00"/>
    <n v="32"/>
    <x v="6"/>
    <x v="6"/>
  </r>
  <r>
    <x v="1588"/>
    <n v="-73"/>
    <x v="2543"/>
    <n v="2633.91"/>
    <s v="Complete Access"/>
    <x v="17"/>
    <x v="7"/>
    <x v="11"/>
    <d v="1900-01-08T00:00:00"/>
    <n v="32"/>
    <x v="6"/>
    <x v="6"/>
  </r>
  <r>
    <x v="1589"/>
    <n v="-0.5"/>
    <x v="2859"/>
    <n v="2724.07"/>
    <s v="Complete Access"/>
    <x v="61"/>
    <x v="1"/>
    <x v="1"/>
    <d v="1900-01-07T00:00:00"/>
    <n v="32"/>
    <x v="6"/>
    <x v="6"/>
  </r>
  <r>
    <x v="1589"/>
    <n v="-55.5"/>
    <x v="3285"/>
    <n v="2724.57"/>
    <s v="Complete Access"/>
    <x v="8"/>
    <x v="1"/>
    <x v="5"/>
    <d v="1900-01-07T00:00:00"/>
    <n v="32"/>
    <x v="6"/>
    <x v="6"/>
  </r>
  <r>
    <x v="1589"/>
    <n v="-40"/>
    <x v="3286"/>
    <n v="2780.07"/>
    <s v="Complete Access"/>
    <x v="12"/>
    <x v="5"/>
    <x v="8"/>
    <d v="1900-01-07T00:00:00"/>
    <n v="32"/>
    <x v="6"/>
    <x v="6"/>
  </r>
  <r>
    <x v="1589"/>
    <n v="-500"/>
    <x v="2294"/>
    <n v="2820.07"/>
    <s v="Complete Access"/>
    <x v="571"/>
    <x v="19"/>
    <x v="61"/>
    <d v="1900-01-07T00:00:00"/>
    <n v="32"/>
    <x v="6"/>
    <x v="6"/>
  </r>
  <r>
    <x v="1589"/>
    <n v="-15.4"/>
    <x v="2863"/>
    <n v="2708.67"/>
    <s v="Complete Access"/>
    <x v="186"/>
    <x v="1"/>
    <x v="5"/>
    <d v="1900-01-07T00:00:00"/>
    <n v="32"/>
    <x v="6"/>
    <x v="6"/>
  </r>
  <r>
    <x v="1590"/>
    <n v="-5.9"/>
    <x v="2915"/>
    <n v="3320.07"/>
    <s v="Complete Access"/>
    <x v="674"/>
    <x v="8"/>
    <x v="29"/>
    <d v="1900-01-06T00:00:00"/>
    <n v="32"/>
    <x v="6"/>
    <x v="6"/>
  </r>
  <r>
    <x v="1591"/>
    <n v="-35"/>
    <x v="3287"/>
    <n v="3330.72"/>
    <s v="Complete Access"/>
    <x v="8"/>
    <x v="1"/>
    <x v="5"/>
    <d v="1900-01-05T00:00:00"/>
    <n v="32"/>
    <x v="6"/>
    <x v="6"/>
  </r>
  <r>
    <x v="1591"/>
    <n v="-12.5"/>
    <x v="3288"/>
    <n v="3365.72"/>
    <s v="Complete Access"/>
    <x v="682"/>
    <x v="1"/>
    <x v="5"/>
    <d v="1900-01-05T00:00:00"/>
    <n v="32"/>
    <x v="6"/>
    <x v="6"/>
  </r>
  <r>
    <x v="1591"/>
    <n v="-4.75"/>
    <x v="2643"/>
    <n v="3325.97"/>
    <s v="Complete Access"/>
    <x v="215"/>
    <x v="1"/>
    <x v="1"/>
    <d v="1900-01-05T00:00:00"/>
    <n v="32"/>
    <x v="6"/>
    <x v="6"/>
  </r>
  <r>
    <x v="1592"/>
    <n v="-0.51"/>
    <x v="2859"/>
    <n v="3401.11"/>
    <s v="Complete Access"/>
    <x v="61"/>
    <x v="1"/>
    <x v="1"/>
    <d v="1900-01-04T00:00:00"/>
    <n v="32"/>
    <x v="6"/>
    <x v="6"/>
  </r>
  <r>
    <x v="1592"/>
    <n v="-4.99"/>
    <x v="2643"/>
    <n v="3378.22"/>
    <s v="Complete Access"/>
    <x v="215"/>
    <x v="1"/>
    <x v="1"/>
    <d v="1900-01-04T00:00:00"/>
    <n v="32"/>
    <x v="6"/>
    <x v="6"/>
  </r>
  <r>
    <x v="1592"/>
    <n v="-17.899999999999999"/>
    <x v="2863"/>
    <n v="3383.21"/>
    <s v="Complete Access"/>
    <x v="186"/>
    <x v="1"/>
    <x v="5"/>
    <d v="1900-01-04T00:00:00"/>
    <n v="32"/>
    <x v="6"/>
    <x v="6"/>
  </r>
  <r>
    <x v="1593"/>
    <n v="-12.5"/>
    <x v="3289"/>
    <n v="3478.23"/>
    <s v="Complete Access"/>
    <x v="682"/>
    <x v="1"/>
    <x v="5"/>
    <d v="1900-01-02T00:00:00"/>
    <n v="31"/>
    <x v="6"/>
    <x v="6"/>
  </r>
  <r>
    <x v="1593"/>
    <n v="-100"/>
    <x v="2274"/>
    <n v="3490.73"/>
    <s v="Complete Access"/>
    <x v="552"/>
    <x v="0"/>
    <x v="74"/>
    <d v="1900-01-02T00:00:00"/>
    <n v="31"/>
    <x v="6"/>
    <x v="6"/>
  </r>
  <r>
    <x v="1593"/>
    <n v="-76.61"/>
    <x v="2688"/>
    <n v="3401.62"/>
    <s v="Complete Access"/>
    <x v="177"/>
    <x v="1"/>
    <x v="1"/>
    <d v="1900-01-02T00:00:00"/>
    <n v="31"/>
    <x v="6"/>
    <x v="6"/>
  </r>
  <r>
    <x v="1594"/>
    <n v="-40"/>
    <x v="3290"/>
    <n v="3606.73"/>
    <s v="Complete Access"/>
    <x v="12"/>
    <x v="5"/>
    <x v="8"/>
    <d v="1900-01-01T00:00:00"/>
    <n v="31"/>
    <x v="6"/>
    <x v="6"/>
  </r>
  <r>
    <x v="1594"/>
    <n v="-16"/>
    <x v="2863"/>
    <n v="3590.73"/>
    <s v="Complete Access"/>
    <x v="186"/>
    <x v="1"/>
    <x v="5"/>
    <d v="1900-01-01T00:00:00"/>
    <n v="31"/>
    <x v="6"/>
    <x v="6"/>
  </r>
  <r>
    <x v="1595"/>
    <n v="-0.69"/>
    <x v="2859"/>
    <n v="3864.43"/>
    <s v="Complete Access"/>
    <x v="61"/>
    <x v="1"/>
    <x v="1"/>
    <d v="1899-12-31T00:00:00"/>
    <n v="31"/>
    <x v="6"/>
    <x v="6"/>
  </r>
  <r>
    <x v="1595"/>
    <n v="-26"/>
    <x v="3291"/>
    <n v="3865.12"/>
    <s v="Complete Access"/>
    <x v="752"/>
    <x v="1"/>
    <x v="5"/>
    <d v="1899-12-31T00:00:00"/>
    <n v="31"/>
    <x v="6"/>
    <x v="6"/>
  </r>
  <r>
    <x v="1595"/>
    <n v="-20"/>
    <x v="2229"/>
    <n v="3922.83"/>
    <s v="Complete Access"/>
    <x v="557"/>
    <x v="7"/>
    <x v="53"/>
    <d v="1899-12-31T00:00:00"/>
    <n v="31"/>
    <x v="6"/>
    <x v="6"/>
  </r>
  <r>
    <x v="1595"/>
    <n v="-10.5"/>
    <x v="3292"/>
    <n v="3912.33"/>
    <s v="Complete Access"/>
    <x v="237"/>
    <x v="15"/>
    <x v="34"/>
    <d v="1899-12-31T00:00:00"/>
    <n v="31"/>
    <x v="6"/>
    <x v="6"/>
  </r>
  <r>
    <x v="1595"/>
    <n v="-45.4"/>
    <x v="3293"/>
    <n v="3646.73"/>
    <s v="Complete Access"/>
    <x v="741"/>
    <x v="16"/>
    <x v="81"/>
    <d v="1899-12-31T00:00:00"/>
    <n v="31"/>
    <x v="6"/>
    <x v="6"/>
  </r>
  <r>
    <x v="1595"/>
    <n v="-172.3"/>
    <x v="3294"/>
    <n v="3692.13"/>
    <s v="Complete Access"/>
    <x v="76"/>
    <x v="2"/>
    <x v="2"/>
    <d v="1899-12-31T00:00:00"/>
    <n v="31"/>
    <x v="6"/>
    <x v="6"/>
  </r>
  <r>
    <x v="1595"/>
    <n v="-21.21"/>
    <x v="3295"/>
    <n v="3891.12"/>
    <s v="Complete Access"/>
    <x v="753"/>
    <x v="1"/>
    <x v="5"/>
    <d v="1899-12-31T00:00:00"/>
    <n v="31"/>
    <x v="6"/>
    <x v="6"/>
  </r>
  <r>
    <x v="1596"/>
    <n v="-9"/>
    <x v="2859"/>
    <n v="2815.05"/>
    <s v="Complete Access"/>
    <x v="61"/>
    <x v="1"/>
    <x v="1"/>
    <d v="1900-01-30T00:00:00"/>
    <n v="31"/>
    <x v="7"/>
    <x v="6"/>
  </r>
  <r>
    <x v="1596"/>
    <n v="-26.82"/>
    <x v="3296"/>
    <n v="2824.05"/>
    <s v="Complete Access"/>
    <x v="8"/>
    <x v="1"/>
    <x v="5"/>
    <d v="1900-01-30T00:00:00"/>
    <n v="31"/>
    <x v="7"/>
    <x v="6"/>
  </r>
  <r>
    <x v="1596"/>
    <n v="1182.02"/>
    <x v="3188"/>
    <n v="3942.83"/>
    <s v="Complete Access"/>
    <x v="14"/>
    <x v="6"/>
    <x v="9"/>
    <d v="1900-01-30T00:00:00"/>
    <n v="31"/>
    <x v="7"/>
    <x v="6"/>
  </r>
  <r>
    <x v="1596"/>
    <n v="-3.19"/>
    <x v="2643"/>
    <n v="2760.81"/>
    <s v="Complete Access"/>
    <x v="215"/>
    <x v="1"/>
    <x v="1"/>
    <d v="1900-01-30T00:00:00"/>
    <n v="31"/>
    <x v="7"/>
    <x v="6"/>
  </r>
  <r>
    <x v="1596"/>
    <n v="-24.75"/>
    <x v="2688"/>
    <n v="2764"/>
    <s v="Complete Access"/>
    <x v="177"/>
    <x v="1"/>
    <x v="1"/>
    <d v="1900-01-30T00:00:00"/>
    <n v="31"/>
    <x v="7"/>
    <x v="6"/>
  </r>
  <r>
    <x v="1596"/>
    <n v="-12.3"/>
    <x v="2863"/>
    <n v="2802.75"/>
    <s v="Complete Access"/>
    <x v="186"/>
    <x v="1"/>
    <x v="5"/>
    <d v="1900-01-30T00:00:00"/>
    <n v="31"/>
    <x v="7"/>
    <x v="6"/>
  </r>
  <r>
    <x v="1596"/>
    <n v="-14"/>
    <x v="3000"/>
    <n v="2788.75"/>
    <s v="Complete Access"/>
    <x v="687"/>
    <x v="1"/>
    <x v="5"/>
    <d v="1900-01-30T00:00:00"/>
    <n v="31"/>
    <x v="7"/>
    <x v="6"/>
  </r>
  <r>
    <x v="1597"/>
    <n v="-0.55000000000000004"/>
    <x v="2859"/>
    <n v="2870.87"/>
    <s v="Complete Access"/>
    <x v="61"/>
    <x v="1"/>
    <x v="1"/>
    <d v="1900-01-29T00:00:00"/>
    <n v="31"/>
    <x v="7"/>
    <x v="6"/>
  </r>
  <r>
    <x v="1597"/>
    <n v="-15"/>
    <x v="3297"/>
    <n v="2871.42"/>
    <s v="Complete Access"/>
    <x v="754"/>
    <x v="8"/>
    <x v="29"/>
    <d v="1900-01-29T00:00:00"/>
    <n v="31"/>
    <x v="7"/>
    <x v="6"/>
  </r>
  <r>
    <x v="1597"/>
    <n v="-37.4"/>
    <x v="3298"/>
    <n v="2889.62"/>
    <s v="Complete Access"/>
    <x v="755"/>
    <x v="8"/>
    <x v="29"/>
    <d v="1900-01-29T00:00:00"/>
    <n v="31"/>
    <x v="7"/>
    <x v="6"/>
  </r>
  <r>
    <x v="1597"/>
    <n v="-10.5"/>
    <x v="3299"/>
    <n v="2927.02"/>
    <s v="Complete Access"/>
    <x v="682"/>
    <x v="1"/>
    <x v="5"/>
    <d v="1900-01-29T00:00:00"/>
    <n v="31"/>
    <x v="7"/>
    <x v="6"/>
  </r>
  <r>
    <x v="1597"/>
    <n v="-20"/>
    <x v="3300"/>
    <n v="2850.87"/>
    <s v="Complete Access"/>
    <x v="756"/>
    <x v="0"/>
    <x v="69"/>
    <d v="1900-01-29T00:00:00"/>
    <n v="31"/>
    <x v="7"/>
    <x v="6"/>
  </r>
  <r>
    <x v="1597"/>
    <n v="-3.2"/>
    <x v="3301"/>
    <n v="2886.42"/>
    <s v="Complete Access"/>
    <x v="757"/>
    <x v="8"/>
    <x v="29"/>
    <d v="1900-01-29T00:00:00"/>
    <n v="31"/>
    <x v="7"/>
    <x v="6"/>
  </r>
  <r>
    <x v="1598"/>
    <n v="-26.14"/>
    <x v="2874"/>
    <n v="2943.7"/>
    <s v="Complete Access"/>
    <x v="663"/>
    <x v="1"/>
    <x v="1"/>
    <d v="1900-01-28T00:00:00"/>
    <n v="31"/>
    <x v="7"/>
    <x v="6"/>
  </r>
  <r>
    <x v="1598"/>
    <n v="-6.18"/>
    <x v="2688"/>
    <n v="2937.52"/>
    <s v="Complete Access"/>
    <x v="177"/>
    <x v="1"/>
    <x v="1"/>
    <d v="1900-01-28T00:00:00"/>
    <n v="31"/>
    <x v="7"/>
    <x v="6"/>
  </r>
  <r>
    <x v="1599"/>
    <n v="-76.95"/>
    <x v="3302"/>
    <n v="2969.84"/>
    <s v="Complete Access"/>
    <x v="758"/>
    <x v="3"/>
    <x v="26"/>
    <d v="1900-01-27T00:00:00"/>
    <n v="31"/>
    <x v="7"/>
    <x v="6"/>
  </r>
  <r>
    <x v="1600"/>
    <n v="-8.9"/>
    <x v="3303"/>
    <n v="3144.78"/>
    <s v="Complete Access"/>
    <x v="682"/>
    <x v="1"/>
    <x v="5"/>
    <d v="1900-01-26T00:00:00"/>
    <n v="30"/>
    <x v="7"/>
    <x v="6"/>
  </r>
  <r>
    <x v="1600"/>
    <n v="-20"/>
    <x v="3304"/>
    <n v="3046.79"/>
    <s v="Complete Access"/>
    <x v="759"/>
    <x v="8"/>
    <x v="29"/>
    <d v="1900-01-26T00:00:00"/>
    <n v="30"/>
    <x v="7"/>
    <x v="6"/>
  </r>
  <r>
    <x v="1600"/>
    <n v="-75"/>
    <x v="2929"/>
    <n v="3066.79"/>
    <s v="Complete Access"/>
    <x v="645"/>
    <x v="0"/>
    <x v="69"/>
    <d v="1900-01-26T00:00:00"/>
    <n v="30"/>
    <x v="7"/>
    <x v="6"/>
  </r>
  <r>
    <x v="1600"/>
    <n v="-100"/>
    <x v="2274"/>
    <n v="3153.68"/>
    <s v="Complete Access"/>
    <x v="552"/>
    <x v="0"/>
    <x v="74"/>
    <d v="1900-01-26T00:00:00"/>
    <n v="30"/>
    <x v="7"/>
    <x v="6"/>
  </r>
  <r>
    <x v="1600"/>
    <n v="-2.99"/>
    <x v="3305"/>
    <n v="3141.79"/>
    <s v="Complete Access"/>
    <x v="587"/>
    <x v="8"/>
    <x v="22"/>
    <d v="1900-01-26T00:00:00"/>
    <n v="30"/>
    <x v="7"/>
    <x v="6"/>
  </r>
  <r>
    <x v="1601"/>
    <n v="-1.35"/>
    <x v="2859"/>
    <n v="3325.05"/>
    <s v="Complete Access"/>
    <x v="61"/>
    <x v="1"/>
    <x v="1"/>
    <d v="1900-01-25T00:00:00"/>
    <n v="30"/>
    <x v="7"/>
    <x v="6"/>
  </r>
  <r>
    <x v="1601"/>
    <n v="-40"/>
    <x v="3306"/>
    <n v="3338.9"/>
    <s v="Complete Access"/>
    <x v="12"/>
    <x v="5"/>
    <x v="8"/>
    <d v="1900-01-25T00:00:00"/>
    <n v="30"/>
    <x v="7"/>
    <x v="6"/>
  </r>
  <r>
    <x v="1601"/>
    <n v="-12.5"/>
    <x v="3307"/>
    <n v="3326.4"/>
    <s v="Complete Access"/>
    <x v="682"/>
    <x v="1"/>
    <x v="5"/>
    <d v="1900-01-25T00:00:00"/>
    <n v="30"/>
    <x v="7"/>
    <x v="6"/>
  </r>
  <r>
    <x v="1601"/>
    <n v="-37.07"/>
    <x v="3308"/>
    <n v="3253.68"/>
    <s v="Complete Access"/>
    <x v="77"/>
    <x v="4"/>
    <x v="27"/>
    <d v="1900-01-25T00:00:00"/>
    <n v="30"/>
    <x v="7"/>
    <x v="6"/>
  </r>
  <r>
    <x v="1601"/>
    <n v="-13.8"/>
    <x v="3256"/>
    <n v="3290.75"/>
    <s v="Complete Access"/>
    <x v="745"/>
    <x v="8"/>
    <x v="22"/>
    <d v="1900-01-25T00:00:00"/>
    <n v="30"/>
    <x v="7"/>
    <x v="6"/>
  </r>
  <r>
    <x v="1601"/>
    <n v="-6"/>
    <x v="3256"/>
    <n v="3304.55"/>
    <s v="Complete Access"/>
    <x v="745"/>
    <x v="8"/>
    <x v="22"/>
    <d v="1900-01-25T00:00:00"/>
    <n v="30"/>
    <x v="7"/>
    <x v="6"/>
  </r>
  <r>
    <x v="1601"/>
    <n v="-14.5"/>
    <x v="2863"/>
    <n v="3310.55"/>
    <s v="Complete Access"/>
    <x v="186"/>
    <x v="1"/>
    <x v="5"/>
    <d v="1900-01-25T00:00:00"/>
    <n v="30"/>
    <x v="7"/>
    <x v="6"/>
  </r>
  <r>
    <x v="1602"/>
    <n v="-500"/>
    <x v="2294"/>
    <n v="3400.95"/>
    <s v="Complete Access"/>
    <x v="571"/>
    <x v="19"/>
    <x v="61"/>
    <d v="1900-01-24T00:00:00"/>
    <n v="30"/>
    <x v="7"/>
    <x v="6"/>
  </r>
  <r>
    <x v="1602"/>
    <n v="-22.05"/>
    <x v="3309"/>
    <n v="3378.9"/>
    <s v="Complete Access"/>
    <x v="237"/>
    <x v="15"/>
    <x v="34"/>
    <d v="1900-01-24T00:00:00"/>
    <n v="30"/>
    <x v="7"/>
    <x v="6"/>
  </r>
  <r>
    <x v="1603"/>
    <n v="-23.5"/>
    <x v="2915"/>
    <n v="2718.7"/>
    <s v="Complete Access"/>
    <x v="674"/>
    <x v="8"/>
    <x v="29"/>
    <d v="1900-01-23T00:00:00"/>
    <n v="30"/>
    <x v="7"/>
    <x v="6"/>
  </r>
  <r>
    <x v="1603"/>
    <n v="-1.64"/>
    <x v="2859"/>
    <n v="2757.2"/>
    <s v="Complete Access"/>
    <x v="61"/>
    <x v="1"/>
    <x v="1"/>
    <d v="1900-01-23T00:00:00"/>
    <n v="30"/>
    <x v="7"/>
    <x v="6"/>
  </r>
  <r>
    <x v="1603"/>
    <n v="-16.2"/>
    <x v="3310"/>
    <n v="2774.33"/>
    <s v="Complete Access"/>
    <x v="106"/>
    <x v="5"/>
    <x v="41"/>
    <d v="1900-01-23T00:00:00"/>
    <n v="30"/>
    <x v="7"/>
    <x v="6"/>
  </r>
  <r>
    <x v="1603"/>
    <n v="-3"/>
    <x v="3311"/>
    <n v="2790.53"/>
    <s v="Complete Access"/>
    <x v="106"/>
    <x v="5"/>
    <x v="41"/>
    <d v="1900-01-23T00:00:00"/>
    <n v="30"/>
    <x v="7"/>
    <x v="6"/>
  </r>
  <r>
    <x v="1603"/>
    <n v="-15.49"/>
    <x v="3312"/>
    <n v="2758.84"/>
    <s v="Complete Access"/>
    <x v="8"/>
    <x v="1"/>
    <x v="5"/>
    <d v="1900-01-23T00:00:00"/>
    <n v="30"/>
    <x v="7"/>
    <x v="6"/>
  </r>
  <r>
    <x v="1603"/>
    <n v="1182.25"/>
    <x v="3188"/>
    <n v="3900.95"/>
    <s v="Complete Access"/>
    <x v="14"/>
    <x v="6"/>
    <x v="9"/>
    <d v="1900-01-23T00:00:00"/>
    <n v="30"/>
    <x v="7"/>
    <x v="6"/>
  </r>
  <r>
    <x v="1603"/>
    <n v="-15"/>
    <x v="2863"/>
    <n v="2742.2"/>
    <s v="Complete Access"/>
    <x v="186"/>
    <x v="1"/>
    <x v="5"/>
    <d v="1900-01-23T00:00:00"/>
    <n v="30"/>
    <x v="7"/>
    <x v="6"/>
  </r>
  <r>
    <x v="1604"/>
    <n v="-11.15"/>
    <x v="2915"/>
    <n v="2833.53"/>
    <s v="Complete Access"/>
    <x v="674"/>
    <x v="8"/>
    <x v="29"/>
    <d v="1900-01-22T00:00:00"/>
    <n v="30"/>
    <x v="7"/>
    <x v="6"/>
  </r>
  <r>
    <x v="1604"/>
    <n v="-0.38"/>
    <x v="2859"/>
    <n v="2844.68"/>
    <s v="Complete Access"/>
    <x v="61"/>
    <x v="1"/>
    <x v="1"/>
    <d v="1900-01-22T00:00:00"/>
    <n v="30"/>
    <x v="7"/>
    <x v="6"/>
  </r>
  <r>
    <x v="1604"/>
    <n v="-15.82"/>
    <x v="3313"/>
    <n v="2845.06"/>
    <s v="Complete Access"/>
    <x v="106"/>
    <x v="5"/>
    <x v="41"/>
    <d v="1900-01-22T00:00:00"/>
    <n v="30"/>
    <x v="7"/>
    <x v="6"/>
  </r>
  <r>
    <x v="1604"/>
    <n v="-8.9"/>
    <x v="3314"/>
    <n v="2860.88"/>
    <s v="Complete Access"/>
    <x v="682"/>
    <x v="1"/>
    <x v="5"/>
    <d v="1900-01-22T00:00:00"/>
    <n v="30"/>
    <x v="7"/>
    <x v="6"/>
  </r>
  <r>
    <x v="1604"/>
    <n v="-40"/>
    <x v="3315"/>
    <n v="2793.53"/>
    <s v="Complete Access"/>
    <x v="557"/>
    <x v="7"/>
    <x v="53"/>
    <d v="1900-01-22T00:00:00"/>
    <n v="30"/>
    <x v="7"/>
    <x v="6"/>
  </r>
  <r>
    <x v="1604"/>
    <n v="-9.14"/>
    <x v="3316"/>
    <n v="2869.78"/>
    <s v="Complete Access"/>
    <x v="760"/>
    <x v="8"/>
    <x v="29"/>
    <d v="1900-01-22T00:00:00"/>
    <n v="30"/>
    <x v="7"/>
    <x v="6"/>
  </r>
  <r>
    <x v="1604"/>
    <n v="-27.43"/>
    <x v="3316"/>
    <n v="2878.92"/>
    <s v="Complete Access"/>
    <x v="760"/>
    <x v="8"/>
    <x v="29"/>
    <d v="1900-01-22T00:00:00"/>
    <n v="30"/>
    <x v="7"/>
    <x v="6"/>
  </r>
  <r>
    <x v="1604"/>
    <n v="-9.14"/>
    <x v="3316"/>
    <n v="2906.35"/>
    <s v="Complete Access"/>
    <x v="760"/>
    <x v="8"/>
    <x v="29"/>
    <d v="1900-01-22T00:00:00"/>
    <n v="30"/>
    <x v="7"/>
    <x v="6"/>
  </r>
  <r>
    <x v="1604"/>
    <n v="-9.14"/>
    <x v="3316"/>
    <n v="2915.49"/>
    <s v="Complete Access"/>
    <x v="760"/>
    <x v="8"/>
    <x v="29"/>
    <d v="1900-01-22T00:00:00"/>
    <n v="30"/>
    <x v="7"/>
    <x v="6"/>
  </r>
  <r>
    <x v="1605"/>
    <n v="-15.8"/>
    <x v="2915"/>
    <n v="2924.63"/>
    <s v="Complete Access"/>
    <x v="674"/>
    <x v="8"/>
    <x v="29"/>
    <d v="1900-01-21T00:00:00"/>
    <n v="30"/>
    <x v="7"/>
    <x v="6"/>
  </r>
  <r>
    <x v="1605"/>
    <n v="-1"/>
    <x v="2859"/>
    <n v="2940.43"/>
    <s v="Complete Access"/>
    <x v="61"/>
    <x v="1"/>
    <x v="1"/>
    <d v="1900-01-21T00:00:00"/>
    <n v="30"/>
    <x v="7"/>
    <x v="6"/>
  </r>
  <r>
    <x v="1606"/>
    <n v="-18.27"/>
    <x v="3317"/>
    <n v="3004.23"/>
    <s v="Complete Access"/>
    <x v="761"/>
    <x v="15"/>
    <x v="34"/>
    <d v="1900-01-20T00:00:00"/>
    <n v="30"/>
    <x v="7"/>
    <x v="6"/>
  </r>
  <r>
    <x v="1606"/>
    <n v="-43"/>
    <x v="2929"/>
    <n v="2961.23"/>
    <s v="Complete Access"/>
    <x v="645"/>
    <x v="0"/>
    <x v="69"/>
    <d v="1900-01-20T00:00:00"/>
    <n v="30"/>
    <x v="7"/>
    <x v="6"/>
  </r>
  <r>
    <x v="1606"/>
    <n v="-19.8"/>
    <x v="3061"/>
    <n v="2941.43"/>
    <s v="Complete Access"/>
    <x v="27"/>
    <x v="1"/>
    <x v="5"/>
    <d v="1900-01-20T00:00:00"/>
    <n v="30"/>
    <x v="7"/>
    <x v="6"/>
  </r>
  <r>
    <x v="1607"/>
    <n v="-100"/>
    <x v="2274"/>
    <n v="3037.7"/>
    <s v="Complete Access"/>
    <x v="552"/>
    <x v="0"/>
    <x v="74"/>
    <d v="1900-01-19T00:00:00"/>
    <n v="29"/>
    <x v="7"/>
    <x v="6"/>
  </r>
  <r>
    <x v="1607"/>
    <n v="-15.2"/>
    <x v="3318"/>
    <n v="3022.5"/>
    <s v="Complete Access"/>
    <x v="91"/>
    <x v="9"/>
    <x v="12"/>
    <d v="1900-01-19T00:00:00"/>
    <n v="29"/>
    <x v="7"/>
    <x v="6"/>
  </r>
  <r>
    <x v="1608"/>
    <n v="-0.88"/>
    <x v="2859"/>
    <n v="2064.4499999999998"/>
    <s v="Complete Access"/>
    <x v="61"/>
    <x v="1"/>
    <x v="1"/>
    <d v="1900-01-18T00:00:00"/>
    <n v="29"/>
    <x v="7"/>
    <x v="6"/>
  </r>
  <r>
    <x v="1608"/>
    <n v="-40"/>
    <x v="3319"/>
    <n v="2093.5500000000002"/>
    <s v="Complete Access"/>
    <x v="12"/>
    <x v="5"/>
    <x v="8"/>
    <d v="1900-01-18T00:00:00"/>
    <n v="29"/>
    <x v="7"/>
    <x v="6"/>
  </r>
  <r>
    <x v="1608"/>
    <n v="1182.25"/>
    <x v="3188"/>
    <n v="3137.7"/>
    <s v="Complete Access"/>
    <x v="14"/>
    <x v="6"/>
    <x v="9"/>
    <d v="1900-01-18T00:00:00"/>
    <n v="29"/>
    <x v="7"/>
    <x v="6"/>
  </r>
  <r>
    <x v="1608"/>
    <n v="-28.22"/>
    <x v="3320"/>
    <n v="2065.33"/>
    <s v="Complete Access"/>
    <x v="56"/>
    <x v="9"/>
    <x v="31"/>
    <d v="1900-01-18T00:00:00"/>
    <n v="29"/>
    <x v="7"/>
    <x v="6"/>
  </r>
  <r>
    <x v="1608"/>
    <n v="-100"/>
    <x v="2929"/>
    <n v="1964.45"/>
    <s v="Complete Access"/>
    <x v="645"/>
    <x v="0"/>
    <x v="69"/>
    <d v="1900-01-18T00:00:00"/>
    <n v="29"/>
    <x v="7"/>
    <x v="6"/>
  </r>
  <r>
    <x v="1608"/>
    <n v="-9"/>
    <x v="2863"/>
    <n v="1955.45"/>
    <s v="Complete Access"/>
    <x v="186"/>
    <x v="1"/>
    <x v="5"/>
    <d v="1900-01-18T00:00:00"/>
    <n v="29"/>
    <x v="7"/>
    <x v="6"/>
  </r>
  <r>
    <x v="1609"/>
    <n v="-22.5"/>
    <x v="3061"/>
    <n v="2178.9499999999998"/>
    <s v="Complete Access"/>
    <x v="27"/>
    <x v="1"/>
    <x v="5"/>
    <d v="1900-01-17T00:00:00"/>
    <n v="29"/>
    <x v="7"/>
    <x v="6"/>
  </r>
  <r>
    <x v="1609"/>
    <n v="-45.4"/>
    <x v="3321"/>
    <n v="2133.5500000000002"/>
    <s v="Complete Access"/>
    <x v="741"/>
    <x v="16"/>
    <x v="81"/>
    <d v="1900-01-17T00:00:00"/>
    <n v="29"/>
    <x v="7"/>
    <x v="6"/>
  </r>
  <r>
    <x v="1610"/>
    <n v="-1.43"/>
    <x v="2859"/>
    <n v="2201.4499999999998"/>
    <s v="Complete Access"/>
    <x v="61"/>
    <x v="1"/>
    <x v="1"/>
    <d v="1900-01-16T00:00:00"/>
    <n v="29"/>
    <x v="7"/>
    <x v="6"/>
  </r>
  <r>
    <x v="1610"/>
    <n v="-69"/>
    <x v="3322"/>
    <n v="2306.38"/>
    <s v="Complete Access"/>
    <x v="8"/>
    <x v="1"/>
    <x v="5"/>
    <d v="1900-01-16T00:00:00"/>
    <n v="29"/>
    <x v="7"/>
    <x v="6"/>
  </r>
  <r>
    <x v="1610"/>
    <n v="-65"/>
    <x v="3323"/>
    <n v="2235.38"/>
    <s v="Complete Access"/>
    <x v="8"/>
    <x v="1"/>
    <x v="5"/>
    <d v="1900-01-16T00:00:00"/>
    <n v="29"/>
    <x v="7"/>
    <x v="6"/>
  </r>
  <r>
    <x v="1610"/>
    <n v="-6"/>
    <x v="3324"/>
    <n v="2300.38"/>
    <s v="Complete Access"/>
    <x v="752"/>
    <x v="1"/>
    <x v="5"/>
    <d v="1900-01-16T00:00:00"/>
    <n v="29"/>
    <x v="7"/>
    <x v="6"/>
  </r>
  <r>
    <x v="1610"/>
    <n v="-23"/>
    <x v="3325"/>
    <n v="2212.38"/>
    <s v="Complete Access"/>
    <x v="716"/>
    <x v="11"/>
    <x v="49"/>
    <d v="1900-01-16T00:00:00"/>
    <n v="29"/>
    <x v="7"/>
    <x v="6"/>
  </r>
  <r>
    <x v="1610"/>
    <n v="-9.5"/>
    <x v="3326"/>
    <n v="2202.88"/>
    <s v="Complete Access"/>
    <x v="34"/>
    <x v="9"/>
    <x v="12"/>
    <d v="1900-01-16T00:00:00"/>
    <n v="29"/>
    <x v="7"/>
    <x v="6"/>
  </r>
  <r>
    <x v="1611"/>
    <n v="-6.51"/>
    <x v="2859"/>
    <n v="2384.2800000000002"/>
    <s v="Complete Access"/>
    <x v="61"/>
    <x v="1"/>
    <x v="1"/>
    <d v="1900-01-15T00:00:00"/>
    <n v="29"/>
    <x v="7"/>
    <x v="6"/>
  </r>
  <r>
    <x v="1611"/>
    <n v="-3.5"/>
    <x v="3327"/>
    <n v="2390.79"/>
    <s v="Complete Access"/>
    <x v="277"/>
    <x v="8"/>
    <x v="29"/>
    <d v="1900-01-15T00:00:00"/>
    <n v="29"/>
    <x v="7"/>
    <x v="6"/>
  </r>
  <r>
    <x v="1611"/>
    <n v="-8.9"/>
    <x v="2863"/>
    <n v="2375.38"/>
    <s v="Complete Access"/>
    <x v="186"/>
    <x v="1"/>
    <x v="5"/>
    <d v="1900-01-15T00:00:00"/>
    <n v="29"/>
    <x v="7"/>
    <x v="6"/>
  </r>
  <r>
    <x v="1612"/>
    <n v="-1.21"/>
    <x v="2859"/>
    <n v="2403.19"/>
    <s v="Complete Access"/>
    <x v="61"/>
    <x v="1"/>
    <x v="1"/>
    <d v="1900-01-14T00:00:00"/>
    <n v="29"/>
    <x v="7"/>
    <x v="6"/>
  </r>
  <r>
    <x v="1612"/>
    <n v="-8.9"/>
    <x v="2863"/>
    <n v="2394.29"/>
    <s v="Complete Access"/>
    <x v="186"/>
    <x v="1"/>
    <x v="5"/>
    <d v="1900-01-14T00:00:00"/>
    <n v="29"/>
    <x v="7"/>
    <x v="6"/>
  </r>
  <r>
    <x v="1613"/>
    <n v="20"/>
    <x v="3136"/>
    <n v="2378.4"/>
    <s v="Complete Access"/>
    <x v="27"/>
    <x v="1"/>
    <x v="5"/>
    <d v="1900-01-13T00:00:00"/>
    <n v="29"/>
    <x v="7"/>
    <x v="6"/>
  </r>
  <r>
    <x v="1613"/>
    <n v="26"/>
    <x v="3024"/>
    <n v="2404.4"/>
    <s v="Complete Access"/>
    <x v="27"/>
    <x v="1"/>
    <x v="5"/>
    <d v="1900-01-13T00:00:00"/>
    <n v="29"/>
    <x v="7"/>
    <x v="6"/>
  </r>
  <r>
    <x v="1613"/>
    <n v="-17.8"/>
    <x v="3061"/>
    <n v="2358.4"/>
    <s v="Complete Access"/>
    <x v="27"/>
    <x v="1"/>
    <x v="5"/>
    <d v="1900-01-13T00:00:00"/>
    <n v="29"/>
    <x v="7"/>
    <x v="6"/>
  </r>
  <r>
    <x v="1614"/>
    <n v="-50"/>
    <x v="3214"/>
    <n v="2378.6999999999998"/>
    <s v="Complete Access"/>
    <x v="601"/>
    <x v="0"/>
    <x v="0"/>
    <d v="1900-01-12T00:00:00"/>
    <n v="28"/>
    <x v="7"/>
    <x v="6"/>
  </r>
  <r>
    <x v="1614"/>
    <n v="-40"/>
    <x v="3328"/>
    <n v="2477.71"/>
    <s v="Complete Access"/>
    <x v="12"/>
    <x v="5"/>
    <x v="8"/>
    <d v="1900-01-12T00:00:00"/>
    <n v="28"/>
    <x v="7"/>
    <x v="6"/>
  </r>
  <r>
    <x v="1614"/>
    <n v="-3.5"/>
    <x v="3329"/>
    <n v="2466.21"/>
    <s v="Complete Access"/>
    <x v="277"/>
    <x v="8"/>
    <x v="29"/>
    <d v="1900-01-12T00:00:00"/>
    <n v="28"/>
    <x v="7"/>
    <x v="6"/>
  </r>
  <r>
    <x v="1614"/>
    <n v="-2.5"/>
    <x v="72"/>
    <n v="2376.1999999999998"/>
    <s v="Complete Access"/>
    <x v="37"/>
    <x v="0"/>
    <x v="0"/>
    <d v="1900-01-12T00:00:00"/>
    <n v="28"/>
    <x v="7"/>
    <x v="6"/>
  </r>
  <r>
    <x v="1614"/>
    <n v="-15.52"/>
    <x v="2643"/>
    <n v="2428.6999999999998"/>
    <s v="Complete Access"/>
    <x v="215"/>
    <x v="1"/>
    <x v="1"/>
    <d v="1900-01-12T00:00:00"/>
    <n v="28"/>
    <x v="7"/>
    <x v="6"/>
  </r>
  <r>
    <x v="1614"/>
    <n v="-10"/>
    <x v="2874"/>
    <n v="2456.21"/>
    <s v="Complete Access"/>
    <x v="663"/>
    <x v="1"/>
    <x v="1"/>
    <d v="1900-01-12T00:00:00"/>
    <n v="28"/>
    <x v="7"/>
    <x v="6"/>
  </r>
  <r>
    <x v="1614"/>
    <n v="-100"/>
    <x v="2274"/>
    <n v="2517.71"/>
    <s v="Complete Access"/>
    <x v="552"/>
    <x v="0"/>
    <x v="74"/>
    <d v="1900-01-12T00:00:00"/>
    <n v="28"/>
    <x v="7"/>
    <x v="6"/>
  </r>
  <r>
    <x v="1614"/>
    <n v="-11.99"/>
    <x v="2688"/>
    <n v="2444.2199999999998"/>
    <s v="Complete Access"/>
    <x v="177"/>
    <x v="1"/>
    <x v="1"/>
    <d v="1900-01-12T00:00:00"/>
    <n v="28"/>
    <x v="7"/>
    <x v="6"/>
  </r>
  <r>
    <x v="1614"/>
    <n v="-8"/>
    <x v="3330"/>
    <n v="2469.71"/>
    <s v="Complete Access"/>
    <x v="762"/>
    <x v="1"/>
    <x v="5"/>
    <d v="1900-01-12T00:00:00"/>
    <n v="28"/>
    <x v="7"/>
    <x v="6"/>
  </r>
  <r>
    <x v="1615"/>
    <n v="-1.48"/>
    <x v="2859"/>
    <n v="2606.61"/>
    <s v="Complete Access"/>
    <x v="61"/>
    <x v="1"/>
    <x v="1"/>
    <d v="1900-01-11T00:00:00"/>
    <n v="28"/>
    <x v="7"/>
    <x v="6"/>
  </r>
  <r>
    <x v="1615"/>
    <n v="20"/>
    <x v="2876"/>
    <n v="2617.71"/>
    <s v="Complete Access"/>
    <x v="27"/>
    <x v="1"/>
    <x v="5"/>
    <d v="1900-01-11T00:00:00"/>
    <n v="28"/>
    <x v="7"/>
    <x v="6"/>
  </r>
  <r>
    <x v="1615"/>
    <n v="-8.9"/>
    <x v="2863"/>
    <n v="2597.71"/>
    <s v="Complete Access"/>
    <x v="186"/>
    <x v="1"/>
    <x v="5"/>
    <d v="1900-01-11T00:00:00"/>
    <n v="28"/>
    <x v="7"/>
    <x v="6"/>
  </r>
  <r>
    <x v="1616"/>
    <n v="-1.59"/>
    <x v="2859"/>
    <n v="5200.09"/>
    <s v="Complete Access"/>
    <x v="61"/>
    <x v="1"/>
    <x v="1"/>
    <d v="1900-01-10T00:00:00"/>
    <n v="28"/>
    <x v="7"/>
    <x v="6"/>
  </r>
  <r>
    <x v="1616"/>
    <n v="-20"/>
    <x v="3331"/>
    <n v="5135.59"/>
    <s v="Complete Access"/>
    <x v="680"/>
    <x v="1"/>
    <x v="5"/>
    <d v="1900-01-10T00:00:00"/>
    <n v="28"/>
    <x v="7"/>
    <x v="6"/>
  </r>
  <r>
    <x v="1616"/>
    <n v="-500"/>
    <x v="2294"/>
    <n v="5201.68"/>
    <s v="Complete Access"/>
    <x v="571"/>
    <x v="19"/>
    <x v="61"/>
    <d v="1900-01-10T00:00:00"/>
    <n v="28"/>
    <x v="7"/>
    <x v="6"/>
  </r>
  <r>
    <x v="1616"/>
    <n v="-2.5"/>
    <x v="72"/>
    <n v="5133.09"/>
    <s v="Complete Access"/>
    <x v="37"/>
    <x v="0"/>
    <x v="0"/>
    <d v="1900-01-10T00:00:00"/>
    <n v="28"/>
    <x v="7"/>
    <x v="6"/>
  </r>
  <r>
    <x v="1616"/>
    <n v="-5"/>
    <x v="3281"/>
    <n v="5108.09"/>
    <s v="Complete Access"/>
    <x v="750"/>
    <x v="1"/>
    <x v="5"/>
    <d v="1900-01-10T00:00:00"/>
    <n v="28"/>
    <x v="7"/>
    <x v="6"/>
  </r>
  <r>
    <x v="1616"/>
    <n v="1500"/>
    <x v="2274"/>
    <n v="2608.09"/>
    <s v="Complete Access"/>
    <x v="552"/>
    <x v="0"/>
    <x v="74"/>
    <d v="1900-01-10T00:00:00"/>
    <n v="28"/>
    <x v="7"/>
    <x v="6"/>
  </r>
  <r>
    <x v="1616"/>
    <n v="-20"/>
    <x v="3191"/>
    <n v="5113.09"/>
    <s v="Complete Access"/>
    <x v="732"/>
    <x v="8"/>
    <x v="29"/>
    <d v="1900-01-10T00:00:00"/>
    <n v="28"/>
    <x v="7"/>
    <x v="6"/>
  </r>
  <r>
    <x v="1616"/>
    <n v="-20"/>
    <x v="3191"/>
    <n v="5155.59"/>
    <s v="Complete Access"/>
    <x v="732"/>
    <x v="8"/>
    <x v="29"/>
    <d v="1900-01-10T00:00:00"/>
    <n v="28"/>
    <x v="7"/>
    <x v="6"/>
  </r>
  <r>
    <x v="1616"/>
    <n v="-4.5"/>
    <x v="3191"/>
    <n v="5175.59"/>
    <s v="Complete Access"/>
    <x v="732"/>
    <x v="8"/>
    <x v="29"/>
    <d v="1900-01-10T00:00:00"/>
    <n v="28"/>
    <x v="7"/>
    <x v="6"/>
  </r>
  <r>
    <x v="1616"/>
    <n v="-20"/>
    <x v="3191"/>
    <n v="5180.09"/>
    <s v="Complete Access"/>
    <x v="732"/>
    <x v="8"/>
    <x v="29"/>
    <d v="1900-01-10T00:00:00"/>
    <n v="28"/>
    <x v="7"/>
    <x v="6"/>
  </r>
  <r>
    <x v="1616"/>
    <n v="-4000"/>
    <x v="2954"/>
    <n v="1108.0899999999999"/>
    <s v="Complete Access"/>
    <x v="504"/>
    <x v="0"/>
    <x v="72"/>
    <d v="1900-01-10T00:00:00"/>
    <n v="28"/>
    <x v="7"/>
    <x v="6"/>
  </r>
  <r>
    <x v="1617"/>
    <n v="-1.49"/>
    <x v="2859"/>
    <n v="4591.7299999999996"/>
    <s v="Complete Access"/>
    <x v="61"/>
    <x v="1"/>
    <x v="1"/>
    <d v="1900-01-09T00:00:00"/>
    <n v="28"/>
    <x v="7"/>
    <x v="6"/>
  </r>
  <r>
    <x v="1617"/>
    <n v="-68.5"/>
    <x v="3332"/>
    <n v="4593.22"/>
    <s v="Complete Access"/>
    <x v="8"/>
    <x v="1"/>
    <x v="5"/>
    <d v="1900-01-09T00:00:00"/>
    <n v="28"/>
    <x v="7"/>
    <x v="6"/>
  </r>
  <r>
    <x v="1617"/>
    <n v="1219.07"/>
    <x v="3188"/>
    <n v="5701.68"/>
    <s v="Complete Access"/>
    <x v="14"/>
    <x v="6"/>
    <x v="9"/>
    <d v="1900-01-09T00:00:00"/>
    <n v="28"/>
    <x v="7"/>
    <x v="6"/>
  </r>
  <r>
    <x v="1617"/>
    <n v="-25.72"/>
    <x v="2688"/>
    <n v="4557.1099999999997"/>
    <s v="Complete Access"/>
    <x v="177"/>
    <x v="1"/>
    <x v="1"/>
    <d v="1900-01-09T00:00:00"/>
    <n v="28"/>
    <x v="7"/>
    <x v="6"/>
  </r>
  <r>
    <x v="1617"/>
    <n v="-74.5"/>
    <x v="2543"/>
    <n v="4482.6099999999997"/>
    <s v="Complete Access"/>
    <x v="17"/>
    <x v="7"/>
    <x v="11"/>
    <d v="1900-01-09T00:00:00"/>
    <n v="28"/>
    <x v="7"/>
    <x v="6"/>
  </r>
  <r>
    <x v="1617"/>
    <n v="-8.9"/>
    <x v="2863"/>
    <n v="4582.83"/>
    <s v="Complete Access"/>
    <x v="186"/>
    <x v="1"/>
    <x v="5"/>
    <d v="1900-01-09T00:00:00"/>
    <n v="28"/>
    <x v="7"/>
    <x v="6"/>
  </r>
  <r>
    <x v="1618"/>
    <n v="-40"/>
    <x v="3333"/>
    <n v="4691.3100000000004"/>
    <s v="Complete Access"/>
    <x v="12"/>
    <x v="5"/>
    <x v="8"/>
    <d v="1900-01-08T00:00:00"/>
    <n v="28"/>
    <x v="7"/>
    <x v="6"/>
  </r>
  <r>
    <x v="1618"/>
    <n v="-12.5"/>
    <x v="3334"/>
    <n v="4678.8100000000004"/>
    <s v="Complete Access"/>
    <x v="682"/>
    <x v="1"/>
    <x v="5"/>
    <d v="1900-01-08T00:00:00"/>
    <n v="28"/>
    <x v="7"/>
    <x v="6"/>
  </r>
  <r>
    <x v="1618"/>
    <n v="-9.5"/>
    <x v="3335"/>
    <n v="4669.3100000000004"/>
    <s v="Complete Access"/>
    <x v="682"/>
    <x v="1"/>
    <x v="5"/>
    <d v="1900-01-08T00:00:00"/>
    <n v="28"/>
    <x v="7"/>
    <x v="6"/>
  </r>
  <r>
    <x v="1618"/>
    <n v="-7.59"/>
    <x v="2643"/>
    <n v="4661.72"/>
    <s v="Complete Access"/>
    <x v="215"/>
    <x v="1"/>
    <x v="1"/>
    <d v="1900-01-08T00:00:00"/>
    <n v="28"/>
    <x v="7"/>
    <x v="6"/>
  </r>
  <r>
    <x v="1619"/>
    <n v="-8.5"/>
    <x v="2915"/>
    <n v="4731.3100000000004"/>
    <s v="Complete Access"/>
    <x v="674"/>
    <x v="8"/>
    <x v="29"/>
    <d v="1900-01-07T00:00:00"/>
    <n v="28"/>
    <x v="7"/>
    <x v="6"/>
  </r>
  <r>
    <x v="1619"/>
    <n v="-0.75"/>
    <x v="2859"/>
    <n v="4748.71"/>
    <s v="Complete Access"/>
    <x v="61"/>
    <x v="1"/>
    <x v="1"/>
    <d v="1900-01-07T00:00:00"/>
    <n v="28"/>
    <x v="7"/>
    <x v="6"/>
  </r>
  <r>
    <x v="1619"/>
    <n v="-8.9"/>
    <x v="2863"/>
    <n v="4739.8100000000004"/>
    <s v="Complete Access"/>
    <x v="186"/>
    <x v="1"/>
    <x v="5"/>
    <d v="1900-01-07T00:00:00"/>
    <n v="28"/>
    <x v="7"/>
    <x v="6"/>
  </r>
  <r>
    <x v="1620"/>
    <n v="16"/>
    <x v="2876"/>
    <n v="4749.46"/>
    <s v="Complete Access"/>
    <x v="27"/>
    <x v="1"/>
    <x v="5"/>
    <d v="1900-01-06T00:00:00"/>
    <n v="28"/>
    <x v="7"/>
    <x v="6"/>
  </r>
  <r>
    <x v="1621"/>
    <n v="-28.3"/>
    <x v="3336"/>
    <n v="4733.46"/>
    <s v="Complete Access"/>
    <x v="8"/>
    <x v="1"/>
    <x v="5"/>
    <d v="1900-01-05T00:00:00"/>
    <n v="27"/>
    <x v="7"/>
    <x v="6"/>
  </r>
  <r>
    <x v="1621"/>
    <n v="-100"/>
    <x v="2274"/>
    <n v="4761.76"/>
    <s v="Complete Access"/>
    <x v="552"/>
    <x v="0"/>
    <x v="74"/>
    <d v="1900-01-05T00:00:00"/>
    <n v="27"/>
    <x v="7"/>
    <x v="6"/>
  </r>
  <r>
    <x v="1622"/>
    <n v="-33.590000000000003"/>
    <x v="2915"/>
    <n v="4929.6099999999997"/>
    <s v="Complete Access"/>
    <x v="674"/>
    <x v="8"/>
    <x v="29"/>
    <d v="1900-01-04T00:00:00"/>
    <n v="27"/>
    <x v="7"/>
    <x v="6"/>
  </r>
  <r>
    <x v="1622"/>
    <n v="-1"/>
    <x v="2859"/>
    <n v="4963.2"/>
    <s v="Complete Access"/>
    <x v="61"/>
    <x v="1"/>
    <x v="1"/>
    <d v="1900-01-04T00:00:00"/>
    <n v="27"/>
    <x v="7"/>
    <x v="6"/>
  </r>
  <r>
    <x v="1622"/>
    <n v="-17.850000000000001"/>
    <x v="3337"/>
    <n v="4861.76"/>
    <s v="Complete Access"/>
    <x v="763"/>
    <x v="1"/>
    <x v="5"/>
    <d v="1900-01-04T00:00:00"/>
    <n v="27"/>
    <x v="7"/>
    <x v="6"/>
  </r>
  <r>
    <x v="1622"/>
    <n v="-25"/>
    <x v="2929"/>
    <n v="4879.6099999999997"/>
    <s v="Complete Access"/>
    <x v="645"/>
    <x v="0"/>
    <x v="69"/>
    <d v="1900-01-04T00:00:00"/>
    <n v="27"/>
    <x v="7"/>
    <x v="6"/>
  </r>
  <r>
    <x v="1622"/>
    <n v="-25"/>
    <x v="2929"/>
    <n v="4904.6099999999997"/>
    <s v="Complete Access"/>
    <x v="645"/>
    <x v="0"/>
    <x v="69"/>
    <d v="1900-01-04T00:00:00"/>
    <n v="27"/>
    <x v="7"/>
    <x v="6"/>
  </r>
  <r>
    <x v="1623"/>
    <n v="-6"/>
    <x v="2859"/>
    <n v="5022.6000000000004"/>
    <s v="Complete Access"/>
    <x v="61"/>
    <x v="1"/>
    <x v="1"/>
    <d v="1900-01-03T00:00:00"/>
    <n v="27"/>
    <x v="7"/>
    <x v="6"/>
  </r>
  <r>
    <x v="1623"/>
    <n v="-13"/>
    <x v="2929"/>
    <n v="5009.6000000000004"/>
    <s v="Complete Access"/>
    <x v="645"/>
    <x v="0"/>
    <x v="69"/>
    <d v="1900-01-03T00:00:00"/>
    <n v="27"/>
    <x v="7"/>
    <x v="6"/>
  </r>
  <r>
    <x v="1623"/>
    <n v="-33.18"/>
    <x v="3338"/>
    <n v="5028.6000000000004"/>
    <s v="Complete Access"/>
    <x v="237"/>
    <x v="15"/>
    <x v="34"/>
    <d v="1900-01-03T00:00:00"/>
    <n v="27"/>
    <x v="7"/>
    <x v="6"/>
  </r>
  <r>
    <x v="1623"/>
    <n v="-45.4"/>
    <x v="3339"/>
    <n v="4964.2"/>
    <s v="Complete Access"/>
    <x v="741"/>
    <x v="16"/>
    <x v="81"/>
    <d v="1900-01-03T00:00:00"/>
    <n v="27"/>
    <x v="7"/>
    <x v="6"/>
  </r>
  <r>
    <x v="1624"/>
    <n v="-0.87"/>
    <x v="2859"/>
    <n v="3805.1"/>
    <s v="Complete Access"/>
    <x v="61"/>
    <x v="1"/>
    <x v="1"/>
    <d v="1900-01-02T00:00:00"/>
    <n v="27"/>
    <x v="7"/>
    <x v="6"/>
  </r>
  <r>
    <x v="1624"/>
    <n v="-9"/>
    <x v="3340"/>
    <n v="3805.97"/>
    <s v="Complete Access"/>
    <x v="764"/>
    <x v="4"/>
    <x v="82"/>
    <d v="1900-01-02T00:00:00"/>
    <n v="27"/>
    <x v="7"/>
    <x v="6"/>
  </r>
  <r>
    <x v="1624"/>
    <n v="-9"/>
    <x v="3340"/>
    <n v="3814.97"/>
    <s v="Complete Access"/>
    <x v="764"/>
    <x v="4"/>
    <x v="82"/>
    <d v="1900-01-02T00:00:00"/>
    <n v="27"/>
    <x v="7"/>
    <x v="6"/>
  </r>
  <r>
    <x v="1624"/>
    <n v="1265.58"/>
    <x v="3188"/>
    <n v="5061.78"/>
    <s v="Complete Access"/>
    <x v="14"/>
    <x v="6"/>
    <x v="9"/>
    <d v="1900-01-02T00:00:00"/>
    <n v="27"/>
    <x v="7"/>
    <x v="6"/>
  </r>
  <r>
    <x v="1624"/>
    <n v="-8.9"/>
    <x v="2863"/>
    <n v="3796.2"/>
    <s v="Complete Access"/>
    <x v="186"/>
    <x v="1"/>
    <x v="5"/>
    <d v="1900-01-02T00:00:00"/>
    <n v="27"/>
    <x v="7"/>
    <x v="6"/>
  </r>
  <r>
    <x v="1625"/>
    <n v="-0.57999999999999996"/>
    <x v="2859"/>
    <n v="3832.87"/>
    <s v="Complete Access"/>
    <x v="61"/>
    <x v="1"/>
    <x v="1"/>
    <d v="1900-01-01T00:00:00"/>
    <n v="27"/>
    <x v="7"/>
    <x v="6"/>
  </r>
  <r>
    <x v="1625"/>
    <n v="-10.33"/>
    <x v="3341"/>
    <n v="4061.14"/>
    <s v="Complete Access"/>
    <x v="106"/>
    <x v="5"/>
    <x v="41"/>
    <d v="1900-01-01T00:00:00"/>
    <n v="27"/>
    <x v="7"/>
    <x v="6"/>
  </r>
  <r>
    <x v="1625"/>
    <n v="-40"/>
    <x v="3342"/>
    <n v="4071.47"/>
    <s v="Complete Access"/>
    <x v="12"/>
    <x v="5"/>
    <x v="8"/>
    <d v="1900-01-01T00:00:00"/>
    <n v="27"/>
    <x v="7"/>
    <x v="6"/>
  </r>
  <r>
    <x v="1625"/>
    <n v="-12.5"/>
    <x v="3343"/>
    <n v="3833.45"/>
    <s v="Complete Access"/>
    <x v="682"/>
    <x v="1"/>
    <x v="5"/>
    <d v="1900-01-01T00:00:00"/>
    <n v="27"/>
    <x v="7"/>
    <x v="6"/>
  </r>
  <r>
    <x v="1625"/>
    <n v="-203.23"/>
    <x v="3344"/>
    <n v="3845.95"/>
    <s v="Complete Access"/>
    <x v="765"/>
    <x v="12"/>
    <x v="21"/>
    <d v="1900-01-01T00:00:00"/>
    <n v="27"/>
    <x v="7"/>
    <x v="6"/>
  </r>
  <r>
    <x v="1625"/>
    <n v="-8.9"/>
    <x v="2863"/>
    <n v="3823.97"/>
    <s v="Complete Access"/>
    <x v="186"/>
    <x v="1"/>
    <x v="5"/>
    <d v="1900-01-01T00:00:00"/>
    <n v="27"/>
    <x v="7"/>
    <x v="6"/>
  </r>
  <r>
    <x v="1625"/>
    <n v="-11.96"/>
    <x v="3345"/>
    <n v="4049.18"/>
    <s v="Complete Access"/>
    <x v="540"/>
    <x v="12"/>
    <x v="21"/>
    <d v="1900-01-01T00:00:00"/>
    <n v="27"/>
    <x v="7"/>
    <x v="6"/>
  </r>
  <r>
    <x v="1626"/>
    <n v="-0.99"/>
    <x v="2859"/>
    <n v="4292.67"/>
    <s v="Complete Access"/>
    <x v="61"/>
    <x v="1"/>
    <x v="1"/>
    <d v="1899-12-31T00:00:00"/>
    <n v="27"/>
    <x v="7"/>
    <x v="6"/>
  </r>
  <r>
    <x v="1626"/>
    <n v="-172.3"/>
    <x v="3346"/>
    <n v="4111.47"/>
    <s v="Complete Access"/>
    <x v="76"/>
    <x v="2"/>
    <x v="2"/>
    <d v="1899-12-31T00:00:00"/>
    <n v="27"/>
    <x v="7"/>
    <x v="6"/>
  </r>
  <r>
    <x v="1626"/>
    <n v="-8.9"/>
    <x v="2863"/>
    <n v="4283.7700000000004"/>
    <s v="Complete Access"/>
    <x v="186"/>
    <x v="1"/>
    <x v="5"/>
    <d v="1899-12-31T00:00:00"/>
    <n v="27"/>
    <x v="7"/>
    <x v="6"/>
  </r>
  <r>
    <x v="1627"/>
    <n v="-72.53"/>
    <x v="2643"/>
    <n v="4314.66"/>
    <s v="Complete Access"/>
    <x v="215"/>
    <x v="1"/>
    <x v="1"/>
    <d v="1900-01-28T00:00:00"/>
    <n v="26"/>
    <x v="8"/>
    <x v="6"/>
  </r>
  <r>
    <x v="1627"/>
    <n v="-100"/>
    <x v="2274"/>
    <n v="4395.1899999999996"/>
    <s v="Complete Access"/>
    <x v="552"/>
    <x v="0"/>
    <x v="74"/>
    <d v="1900-01-28T00:00:00"/>
    <n v="26"/>
    <x v="8"/>
    <x v="6"/>
  </r>
  <r>
    <x v="1627"/>
    <n v="-8"/>
    <x v="3347"/>
    <n v="4387.1899999999996"/>
    <s v="Complete Access"/>
    <x v="762"/>
    <x v="1"/>
    <x v="5"/>
    <d v="1900-01-28T00:00:00"/>
    <n v="26"/>
    <x v="8"/>
    <x v="6"/>
  </r>
  <r>
    <x v="1627"/>
    <n v="-21"/>
    <x v="2700"/>
    <n v="4293.66"/>
    <s v="Complete Access"/>
    <x v="243"/>
    <x v="1"/>
    <x v="23"/>
    <d v="1900-01-28T00:00:00"/>
    <n v="26"/>
    <x v="8"/>
    <x v="6"/>
  </r>
  <r>
    <x v="1628"/>
    <n v="-0.92"/>
    <x v="2859"/>
    <n v="4706.6000000000004"/>
    <s v="Complete Access"/>
    <x v="61"/>
    <x v="1"/>
    <x v="1"/>
    <d v="1900-01-27T00:00:00"/>
    <n v="26"/>
    <x v="8"/>
    <x v="6"/>
  </r>
  <r>
    <x v="1628"/>
    <n v="-100"/>
    <x v="3348"/>
    <n v="4495.1899999999996"/>
    <s v="Complete Access"/>
    <x v="601"/>
    <x v="0"/>
    <x v="0"/>
    <d v="1900-01-27T00:00:00"/>
    <n v="26"/>
    <x v="8"/>
    <x v="6"/>
  </r>
  <r>
    <x v="1628"/>
    <n v="-27.41"/>
    <x v="3349"/>
    <n v="4679.1899999999996"/>
    <s v="Complete Access"/>
    <x v="766"/>
    <x v="0"/>
    <x v="69"/>
    <d v="1900-01-27T00:00:00"/>
    <n v="26"/>
    <x v="8"/>
    <x v="6"/>
  </r>
  <r>
    <x v="1628"/>
    <n v="-8"/>
    <x v="3350"/>
    <n v="4707.5200000000004"/>
    <s v="Complete Access"/>
    <x v="762"/>
    <x v="1"/>
    <x v="5"/>
    <d v="1900-01-27T00:00:00"/>
    <n v="26"/>
    <x v="8"/>
    <x v="6"/>
  </r>
  <r>
    <x v="1628"/>
    <n v="-84"/>
    <x v="2700"/>
    <n v="4595.1899999999996"/>
    <s v="Complete Access"/>
    <x v="243"/>
    <x v="1"/>
    <x v="23"/>
    <d v="1900-01-27T00:00:00"/>
    <n v="26"/>
    <x v="8"/>
    <x v="6"/>
  </r>
  <r>
    <x v="1629"/>
    <n v="-16.16"/>
    <x v="3351"/>
    <n v="4665.5200000000004"/>
    <s v="Complete Access"/>
    <x v="767"/>
    <x v="8"/>
    <x v="29"/>
    <d v="1900-01-26T00:00:00"/>
    <n v="26"/>
    <x v="8"/>
    <x v="6"/>
  </r>
  <r>
    <x v="1629"/>
    <n v="-8.08"/>
    <x v="3351"/>
    <n v="4681.68"/>
    <s v="Complete Access"/>
    <x v="767"/>
    <x v="8"/>
    <x v="29"/>
    <d v="1900-01-26T00:00:00"/>
    <n v="26"/>
    <x v="8"/>
    <x v="6"/>
  </r>
  <r>
    <x v="1629"/>
    <n v="-6.57"/>
    <x v="3351"/>
    <n v="4689.76"/>
    <s v="Complete Access"/>
    <x v="767"/>
    <x v="8"/>
    <x v="29"/>
    <d v="1900-01-26T00:00:00"/>
    <n v="26"/>
    <x v="8"/>
    <x v="6"/>
  </r>
  <r>
    <x v="1629"/>
    <n v="-40"/>
    <x v="3352"/>
    <n v="4799.66"/>
    <s v="Complete Access"/>
    <x v="12"/>
    <x v="5"/>
    <x v="8"/>
    <d v="1900-01-26T00:00:00"/>
    <n v="26"/>
    <x v="8"/>
    <x v="6"/>
  </r>
  <r>
    <x v="1629"/>
    <n v="-500"/>
    <x v="2294"/>
    <n v="4839.66"/>
    <s v="Complete Access"/>
    <x v="571"/>
    <x v="19"/>
    <x v="61"/>
    <d v="1900-01-26T00:00:00"/>
    <n v="26"/>
    <x v="8"/>
    <x v="6"/>
  </r>
  <r>
    <x v="1629"/>
    <n v="-30.35"/>
    <x v="3353"/>
    <n v="4696.33"/>
    <s v="Complete Access"/>
    <x v="237"/>
    <x v="15"/>
    <x v="34"/>
    <d v="1900-01-26T00:00:00"/>
    <n v="26"/>
    <x v="8"/>
    <x v="6"/>
  </r>
  <r>
    <x v="1629"/>
    <n v="-72.98"/>
    <x v="3353"/>
    <n v="4726.68"/>
    <s v="Complete Access"/>
    <x v="237"/>
    <x v="15"/>
    <x v="34"/>
    <d v="1900-01-26T00:00:00"/>
    <n v="26"/>
    <x v="8"/>
    <x v="6"/>
  </r>
  <r>
    <x v="1629"/>
    <n v="-50"/>
    <x v="3061"/>
    <n v="4715.5200000000004"/>
    <s v="Complete Access"/>
    <x v="27"/>
    <x v="1"/>
    <x v="5"/>
    <d v="1900-01-26T00:00:00"/>
    <n v="26"/>
    <x v="8"/>
    <x v="6"/>
  </r>
  <r>
    <x v="1629"/>
    <n v="100"/>
    <x v="3354"/>
    <n v="4765.5200000000004"/>
    <s v="Complete Access"/>
    <x v="722"/>
    <x v="0"/>
    <x v="0"/>
    <d v="1900-01-26T00:00:00"/>
    <n v="26"/>
    <x v="8"/>
    <x v="6"/>
  </r>
  <r>
    <x v="1630"/>
    <n v="-0.78"/>
    <x v="2859"/>
    <n v="3101.07"/>
    <s v="Complete Access"/>
    <x v="61"/>
    <x v="1"/>
    <x v="1"/>
    <d v="1900-01-25T00:00:00"/>
    <n v="26"/>
    <x v="8"/>
    <x v="6"/>
  </r>
  <r>
    <x v="1630"/>
    <n v="2247.4899999999998"/>
    <x v="3188"/>
    <n v="5339.66"/>
    <s v="Complete Access"/>
    <x v="14"/>
    <x v="6"/>
    <x v="9"/>
    <d v="1900-01-25T00:00:00"/>
    <n v="26"/>
    <x v="8"/>
    <x v="6"/>
  </r>
  <r>
    <x v="1630"/>
    <n v="-23.63"/>
    <x v="3355"/>
    <n v="3101.85"/>
    <s v="Complete Access"/>
    <x v="768"/>
    <x v="8"/>
    <x v="29"/>
    <d v="1900-01-25T00:00:00"/>
    <n v="26"/>
    <x v="8"/>
    <x v="6"/>
  </r>
  <r>
    <x v="1630"/>
    <n v="-23"/>
    <x v="3355"/>
    <n v="3125.48"/>
    <s v="Complete Access"/>
    <x v="768"/>
    <x v="8"/>
    <x v="29"/>
    <d v="1900-01-25T00:00:00"/>
    <n v="26"/>
    <x v="8"/>
    <x v="6"/>
  </r>
  <r>
    <x v="1630"/>
    <n v="-20"/>
    <x v="3355"/>
    <n v="3148.48"/>
    <s v="Complete Access"/>
    <x v="768"/>
    <x v="8"/>
    <x v="29"/>
    <d v="1900-01-25T00:00:00"/>
    <n v="26"/>
    <x v="8"/>
    <x v="6"/>
  </r>
  <r>
    <x v="1630"/>
    <n v="-10.1"/>
    <x v="3355"/>
    <n v="3168.48"/>
    <s v="Complete Access"/>
    <x v="768"/>
    <x v="8"/>
    <x v="29"/>
    <d v="1900-01-25T00:00:00"/>
    <n v="26"/>
    <x v="8"/>
    <x v="6"/>
  </r>
  <r>
    <x v="1630"/>
    <n v="-8.9"/>
    <x v="2863"/>
    <n v="3092.17"/>
    <s v="Complete Access"/>
    <x v="186"/>
    <x v="1"/>
    <x v="5"/>
    <d v="1900-01-25T00:00:00"/>
    <n v="26"/>
    <x v="8"/>
    <x v="6"/>
  </r>
  <r>
    <x v="1631"/>
    <n v="-5.7"/>
    <x v="2915"/>
    <n v="3178.58"/>
    <s v="Complete Access"/>
    <x v="674"/>
    <x v="8"/>
    <x v="29"/>
    <d v="1900-01-24T00:00:00"/>
    <n v="26"/>
    <x v="8"/>
    <x v="6"/>
  </r>
  <r>
    <x v="1631"/>
    <n v="-1.05"/>
    <x v="2859"/>
    <n v="3184.28"/>
    <s v="Complete Access"/>
    <x v="61"/>
    <x v="1"/>
    <x v="1"/>
    <d v="1900-01-24T00:00:00"/>
    <n v="26"/>
    <x v="8"/>
    <x v="6"/>
  </r>
  <r>
    <x v="1632"/>
    <n v="-38.979999999999997"/>
    <x v="2915"/>
    <n v="3245.33"/>
    <s v="Complete Access"/>
    <x v="674"/>
    <x v="8"/>
    <x v="29"/>
    <d v="1900-01-23T00:00:00"/>
    <n v="26"/>
    <x v="8"/>
    <x v="6"/>
  </r>
  <r>
    <x v="1632"/>
    <n v="-60"/>
    <x v="2929"/>
    <n v="3185.33"/>
    <s v="Complete Access"/>
    <x v="645"/>
    <x v="0"/>
    <x v="69"/>
    <d v="1900-01-23T00:00:00"/>
    <n v="26"/>
    <x v="8"/>
    <x v="6"/>
  </r>
  <r>
    <x v="1633"/>
    <n v="-19.75"/>
    <x v="3356"/>
    <n v="3315.71"/>
    <s v="Complete Access"/>
    <x v="769"/>
    <x v="5"/>
    <x v="83"/>
    <d v="1900-01-21T00:00:00"/>
    <n v="25"/>
    <x v="8"/>
    <x v="6"/>
  </r>
  <r>
    <x v="1633"/>
    <n v="-31.4"/>
    <x v="3357"/>
    <n v="3284.31"/>
    <s v="Complete Access"/>
    <x v="770"/>
    <x v="20"/>
    <x v="63"/>
    <d v="1900-01-21T00:00:00"/>
    <n v="25"/>
    <x v="8"/>
    <x v="6"/>
  </r>
  <r>
    <x v="1633"/>
    <n v="-100"/>
    <x v="2274"/>
    <n v="3345.36"/>
    <s v="Complete Access"/>
    <x v="552"/>
    <x v="0"/>
    <x v="74"/>
    <d v="1900-01-21T00:00:00"/>
    <n v="25"/>
    <x v="8"/>
    <x v="6"/>
  </r>
  <r>
    <x v="1633"/>
    <n v="-9.9"/>
    <x v="3358"/>
    <n v="3335.46"/>
    <s v="Complete Access"/>
    <x v="186"/>
    <x v="1"/>
    <x v="5"/>
    <d v="1900-01-21T00:00:00"/>
    <n v="25"/>
    <x v="8"/>
    <x v="6"/>
  </r>
  <r>
    <x v="1634"/>
    <n v="-19.75"/>
    <x v="3356"/>
    <n v="3445.36"/>
    <s v="Complete Access"/>
    <x v="769"/>
    <x v="5"/>
    <x v="83"/>
    <d v="1900-01-20T00:00:00"/>
    <n v="25"/>
    <x v="8"/>
    <x v="6"/>
  </r>
  <r>
    <x v="1634"/>
    <n v="-14.45"/>
    <x v="3357"/>
    <n v="3465.11"/>
    <s v="Complete Access"/>
    <x v="770"/>
    <x v="20"/>
    <x v="63"/>
    <d v="1900-01-20T00:00:00"/>
    <n v="25"/>
    <x v="8"/>
    <x v="6"/>
  </r>
  <r>
    <x v="1634"/>
    <n v="-9.5"/>
    <x v="3359"/>
    <n v="3492.81"/>
    <s v="Complete Access"/>
    <x v="186"/>
    <x v="1"/>
    <x v="5"/>
    <d v="1900-01-20T00:00:00"/>
    <n v="25"/>
    <x v="8"/>
    <x v="6"/>
  </r>
  <r>
    <x v="1634"/>
    <n v="-13.25"/>
    <x v="3360"/>
    <n v="3479.56"/>
    <s v="Complete Access"/>
    <x v="34"/>
    <x v="9"/>
    <x v="12"/>
    <d v="1900-01-20T00:00:00"/>
    <n v="25"/>
    <x v="8"/>
    <x v="6"/>
  </r>
  <r>
    <x v="1635"/>
    <n v="-0.71"/>
    <x v="2859"/>
    <n v="3597.71"/>
    <s v="Complete Access"/>
    <x v="61"/>
    <x v="1"/>
    <x v="1"/>
    <d v="1900-01-19T00:00:00"/>
    <n v="25"/>
    <x v="8"/>
    <x v="6"/>
  </r>
  <r>
    <x v="1635"/>
    <n v="-50"/>
    <x v="3361"/>
    <n v="3547.71"/>
    <s v="Complete Access"/>
    <x v="12"/>
    <x v="5"/>
    <x v="8"/>
    <d v="1900-01-19T00:00:00"/>
    <n v="25"/>
    <x v="8"/>
    <x v="6"/>
  </r>
  <r>
    <x v="1635"/>
    <n v="-10"/>
    <x v="3362"/>
    <n v="3607.32"/>
    <s v="Complete Access"/>
    <x v="762"/>
    <x v="1"/>
    <x v="5"/>
    <d v="1900-01-19T00:00:00"/>
    <n v="25"/>
    <x v="8"/>
    <x v="6"/>
  </r>
  <r>
    <x v="1635"/>
    <n v="-45.4"/>
    <x v="3363"/>
    <n v="3502.31"/>
    <s v="Complete Access"/>
    <x v="741"/>
    <x v="16"/>
    <x v="81"/>
    <d v="1900-01-19T00:00:00"/>
    <n v="25"/>
    <x v="8"/>
    <x v="6"/>
  </r>
  <r>
    <x v="1635"/>
    <n v="-8.9"/>
    <x v="3364"/>
    <n v="3598.42"/>
    <s v="Complete Access"/>
    <x v="186"/>
    <x v="1"/>
    <x v="5"/>
    <d v="1900-01-19T00:00:00"/>
    <n v="25"/>
    <x v="8"/>
    <x v="6"/>
  </r>
  <r>
    <x v="1636"/>
    <n v="-4.24"/>
    <x v="2915"/>
    <n v="1709.82"/>
    <s v="Complete Access"/>
    <x v="674"/>
    <x v="8"/>
    <x v="29"/>
    <d v="1900-01-18T00:00:00"/>
    <n v="25"/>
    <x v="8"/>
    <x v="6"/>
  </r>
  <r>
    <x v="1636"/>
    <n v="-8.01"/>
    <x v="2859"/>
    <n v="1614.06"/>
    <s v="Complete Access"/>
    <x v="61"/>
    <x v="1"/>
    <x v="1"/>
    <d v="1900-01-18T00:00:00"/>
    <n v="25"/>
    <x v="8"/>
    <x v="6"/>
  </r>
  <r>
    <x v="1636"/>
    <n v="-150"/>
    <x v="3214"/>
    <n v="1559.82"/>
    <s v="Complete Access"/>
    <x v="601"/>
    <x v="0"/>
    <x v="0"/>
    <d v="1900-01-18T00:00:00"/>
    <n v="25"/>
    <x v="8"/>
    <x v="6"/>
  </r>
  <r>
    <x v="1636"/>
    <n v="100"/>
    <x v="3365"/>
    <n v="1714.06"/>
    <s v="Complete Access"/>
    <x v="0"/>
    <x v="0"/>
    <x v="0"/>
    <d v="1900-01-18T00:00:00"/>
    <n v="25"/>
    <x v="8"/>
    <x v="6"/>
  </r>
  <r>
    <x v="1636"/>
    <n v="-2.5"/>
    <x v="72"/>
    <n v="1557.32"/>
    <s v="Complete Access"/>
    <x v="37"/>
    <x v="0"/>
    <x v="0"/>
    <d v="1900-01-18T00:00:00"/>
    <n v="25"/>
    <x v="8"/>
    <x v="6"/>
  </r>
  <r>
    <x v="1636"/>
    <n v="2060"/>
    <x v="3366"/>
    <n v="3617.32"/>
    <s v="Complete Access"/>
    <x v="67"/>
    <x v="0"/>
    <x v="0"/>
    <d v="1900-01-18T00:00:00"/>
    <n v="25"/>
    <x v="8"/>
    <x v="6"/>
  </r>
  <r>
    <x v="1636"/>
    <n v="-12.5"/>
    <x v="3367"/>
    <n v="1622.07"/>
    <s v="Complete Access"/>
    <x v="771"/>
    <x v="1"/>
    <x v="5"/>
    <d v="1900-01-18T00:00:00"/>
    <n v="25"/>
    <x v="8"/>
    <x v="6"/>
  </r>
  <r>
    <x v="1637"/>
    <n v="-10"/>
    <x v="3368"/>
    <n v="1643.47"/>
    <s v="Complete Access"/>
    <x v="762"/>
    <x v="1"/>
    <x v="5"/>
    <d v="1900-01-17T00:00:00"/>
    <n v="25"/>
    <x v="8"/>
    <x v="6"/>
  </r>
  <r>
    <x v="1637"/>
    <n v="-8.9"/>
    <x v="3369"/>
    <n v="1634.57"/>
    <s v="Complete Access"/>
    <x v="186"/>
    <x v="1"/>
    <x v="5"/>
    <d v="1900-01-17T00:00:00"/>
    <n v="25"/>
    <x v="8"/>
    <x v="6"/>
  </r>
  <r>
    <x v="1638"/>
    <n v="-0.97"/>
    <x v="2859"/>
    <n v="1653.41"/>
    <s v="Complete Access"/>
    <x v="61"/>
    <x v="1"/>
    <x v="1"/>
    <d v="1900-01-16T00:00:00"/>
    <n v="25"/>
    <x v="8"/>
    <x v="6"/>
  </r>
  <r>
    <x v="1638"/>
    <n v="0.06"/>
    <x v="3370"/>
    <n v="1653.47"/>
    <s v="Complete Access"/>
    <x v="772"/>
    <x v="0"/>
    <x v="0"/>
    <d v="1900-01-16T00:00:00"/>
    <n v="25"/>
    <x v="8"/>
    <x v="6"/>
  </r>
  <r>
    <x v="1639"/>
    <n v="-19"/>
    <x v="3371"/>
    <n v="1654.38"/>
    <s v="Complete Access"/>
    <x v="27"/>
    <x v="1"/>
    <x v="5"/>
    <d v="1900-01-15T00:00:00"/>
    <n v="25"/>
    <x v="8"/>
    <x v="6"/>
  </r>
  <r>
    <x v="1640"/>
    <n v="-45.35"/>
    <x v="2643"/>
    <n v="1673.38"/>
    <s v="Complete Access"/>
    <x v="215"/>
    <x v="1"/>
    <x v="1"/>
    <d v="1900-01-14T00:00:00"/>
    <n v="24"/>
    <x v="8"/>
    <x v="6"/>
  </r>
  <r>
    <x v="1640"/>
    <n v="-100"/>
    <x v="2274"/>
    <n v="1718.73"/>
    <s v="Complete Access"/>
    <x v="552"/>
    <x v="0"/>
    <x v="74"/>
    <d v="1900-01-14T00:00:00"/>
    <n v="24"/>
    <x v="8"/>
    <x v="6"/>
  </r>
  <r>
    <x v="1641"/>
    <n v="-20.88"/>
    <x v="2915"/>
    <n v="636.48"/>
    <s v="Complete Access"/>
    <x v="674"/>
    <x v="8"/>
    <x v="29"/>
    <d v="1900-01-13T00:00:00"/>
    <n v="24"/>
    <x v="8"/>
    <x v="6"/>
  </r>
  <r>
    <x v="1641"/>
    <n v="-22.33"/>
    <x v="3372"/>
    <n v="666.26"/>
    <s v="Complete Access"/>
    <x v="773"/>
    <x v="1"/>
    <x v="5"/>
    <d v="1900-01-13T00:00:00"/>
    <n v="24"/>
    <x v="8"/>
    <x v="6"/>
  </r>
  <r>
    <x v="1641"/>
    <n v="1182.25"/>
    <x v="3188"/>
    <n v="1818.73"/>
    <s v="Complete Access"/>
    <x v="14"/>
    <x v="6"/>
    <x v="9"/>
    <d v="1900-01-13T00:00:00"/>
    <n v="24"/>
    <x v="8"/>
    <x v="6"/>
  </r>
  <r>
    <x v="1641"/>
    <n v="-8.9"/>
    <x v="3373"/>
    <n v="657.36"/>
    <s v="Complete Access"/>
    <x v="186"/>
    <x v="1"/>
    <x v="5"/>
    <d v="1900-01-13T00:00:00"/>
    <n v="24"/>
    <x v="8"/>
    <x v="6"/>
  </r>
  <r>
    <x v="1642"/>
    <n v="-500"/>
    <x v="2294"/>
    <n v="746.07"/>
    <s v="Complete Access"/>
    <x v="571"/>
    <x v="19"/>
    <x v="61"/>
    <d v="1900-01-12T00:00:00"/>
    <n v="24"/>
    <x v="8"/>
    <x v="6"/>
  </r>
  <r>
    <x v="1642"/>
    <n v="-18.98"/>
    <x v="3374"/>
    <n v="727.09"/>
    <s v="Complete Access"/>
    <x v="774"/>
    <x v="8"/>
    <x v="29"/>
    <d v="1900-01-12T00:00:00"/>
    <n v="24"/>
    <x v="8"/>
    <x v="6"/>
  </r>
  <r>
    <x v="1642"/>
    <n v="-9"/>
    <x v="3375"/>
    <n v="718.09"/>
    <s v="Complete Access"/>
    <x v="186"/>
    <x v="1"/>
    <x v="5"/>
    <d v="1900-01-12T00:00:00"/>
    <n v="24"/>
    <x v="8"/>
    <x v="6"/>
  </r>
  <r>
    <x v="1642"/>
    <n v="-21.5"/>
    <x v="3376"/>
    <n v="688.59"/>
    <s v="Complete Access"/>
    <x v="775"/>
    <x v="8"/>
    <x v="29"/>
    <d v="1900-01-12T00:00:00"/>
    <n v="24"/>
    <x v="8"/>
    <x v="6"/>
  </r>
  <r>
    <x v="1642"/>
    <n v="-4"/>
    <x v="3376"/>
    <n v="710.09"/>
    <s v="Complete Access"/>
    <x v="775"/>
    <x v="8"/>
    <x v="29"/>
    <d v="1900-01-12T00:00:00"/>
    <n v="24"/>
    <x v="8"/>
    <x v="6"/>
  </r>
  <r>
    <x v="1642"/>
    <n v="-4"/>
    <x v="3376"/>
    <n v="714.09"/>
    <s v="Complete Access"/>
    <x v="775"/>
    <x v="8"/>
    <x v="29"/>
    <d v="1900-01-12T00:00:00"/>
    <n v="24"/>
    <x v="8"/>
    <x v="6"/>
  </r>
  <r>
    <x v="1643"/>
    <n v="-8"/>
    <x v="2915"/>
    <n v="1246.07"/>
    <s v="Complete Access"/>
    <x v="674"/>
    <x v="8"/>
    <x v="29"/>
    <d v="1900-01-11T00:00:00"/>
    <n v="24"/>
    <x v="8"/>
    <x v="6"/>
  </r>
  <r>
    <x v="1643"/>
    <n v="-50"/>
    <x v="3377"/>
    <n v="1254.07"/>
    <s v="Complete Access"/>
    <x v="776"/>
    <x v="5"/>
    <x v="83"/>
    <d v="1900-01-11T00:00:00"/>
    <n v="24"/>
    <x v="8"/>
    <x v="6"/>
  </r>
  <r>
    <x v="1643"/>
    <n v="-15"/>
    <x v="2929"/>
    <n v="1304.07"/>
    <s v="Complete Access"/>
    <x v="645"/>
    <x v="0"/>
    <x v="69"/>
    <d v="1900-01-11T00:00:00"/>
    <n v="24"/>
    <x v="8"/>
    <x v="6"/>
  </r>
  <r>
    <x v="1643"/>
    <n v="200"/>
    <x v="3378"/>
    <n v="1319.07"/>
    <s v="Complete Access"/>
    <x v="722"/>
    <x v="0"/>
    <x v="0"/>
    <d v="1900-01-11T00:00:00"/>
    <n v="24"/>
    <x v="8"/>
    <x v="6"/>
  </r>
  <r>
    <x v="1644"/>
    <n v="-11.35"/>
    <x v="2643"/>
    <n v="1119.07"/>
    <s v="Complete Access"/>
    <x v="215"/>
    <x v="1"/>
    <x v="1"/>
    <d v="1900-01-10T00:00:00"/>
    <n v="24"/>
    <x v="8"/>
    <x v="6"/>
  </r>
  <r>
    <x v="1644"/>
    <n v="-8.9"/>
    <x v="3379"/>
    <n v="1130.42"/>
    <s v="Complete Access"/>
    <x v="186"/>
    <x v="1"/>
    <x v="5"/>
    <d v="1900-01-10T00:00:00"/>
    <n v="24"/>
    <x v="8"/>
    <x v="6"/>
  </r>
  <r>
    <x v="1645"/>
    <n v="-22.33"/>
    <x v="3380"/>
    <n v="1213.32"/>
    <s v="Complete Access"/>
    <x v="773"/>
    <x v="1"/>
    <x v="5"/>
    <d v="1900-01-09T00:00:00"/>
    <n v="24"/>
    <x v="8"/>
    <x v="6"/>
  </r>
  <r>
    <x v="1645"/>
    <n v="-19.5"/>
    <x v="3381"/>
    <n v="1235.6500000000001"/>
    <s v="Complete Access"/>
    <x v="777"/>
    <x v="8"/>
    <x v="29"/>
    <d v="1900-01-09T00:00:00"/>
    <n v="24"/>
    <x v="8"/>
    <x v="6"/>
  </r>
  <r>
    <x v="1645"/>
    <n v="-10"/>
    <x v="3381"/>
    <n v="1255.1500000000001"/>
    <s v="Complete Access"/>
    <x v="777"/>
    <x v="8"/>
    <x v="29"/>
    <d v="1900-01-09T00:00:00"/>
    <n v="24"/>
    <x v="8"/>
    <x v="6"/>
  </r>
  <r>
    <x v="1645"/>
    <n v="-74"/>
    <x v="2543"/>
    <n v="1139.32"/>
    <s v="Complete Access"/>
    <x v="17"/>
    <x v="7"/>
    <x v="11"/>
    <d v="1900-01-09T00:00:00"/>
    <n v="24"/>
    <x v="8"/>
    <x v="6"/>
  </r>
  <r>
    <x v="1646"/>
    <n v="-48.74"/>
    <x v="3382"/>
    <n v="1265.1500000000001"/>
    <s v="Complete Access"/>
    <x v="188"/>
    <x v="1"/>
    <x v="1"/>
    <d v="1900-01-07T00:00:00"/>
    <n v="23"/>
    <x v="8"/>
    <x v="6"/>
  </r>
  <r>
    <x v="1646"/>
    <n v="-200"/>
    <x v="3383"/>
    <n v="1430"/>
    <s v="Complete Access"/>
    <x v="778"/>
    <x v="9"/>
    <x v="39"/>
    <d v="1900-01-07T00:00:00"/>
    <n v="23"/>
    <x v="8"/>
    <x v="6"/>
  </r>
  <r>
    <x v="1646"/>
    <n v="-100"/>
    <x v="2274"/>
    <n v="1321.1"/>
    <s v="Complete Access"/>
    <x v="552"/>
    <x v="0"/>
    <x v="74"/>
    <d v="1900-01-07T00:00:00"/>
    <n v="23"/>
    <x v="8"/>
    <x v="6"/>
  </r>
  <r>
    <x v="1646"/>
    <n v="-7.21"/>
    <x v="3384"/>
    <n v="1313.89"/>
    <s v="Complete Access"/>
    <x v="779"/>
    <x v="1"/>
    <x v="1"/>
    <d v="1900-01-07T00:00:00"/>
    <n v="23"/>
    <x v="8"/>
    <x v="6"/>
  </r>
  <r>
    <x v="1646"/>
    <n v="-8.9"/>
    <x v="3385"/>
    <n v="1421.1"/>
    <s v="Complete Access"/>
    <x v="186"/>
    <x v="1"/>
    <x v="5"/>
    <d v="1900-01-07T00:00:00"/>
    <n v="23"/>
    <x v="8"/>
    <x v="6"/>
  </r>
  <r>
    <x v="1647"/>
    <n v="-1.1399999999999999"/>
    <x v="2859"/>
    <n v="1637.5"/>
    <s v="Complete Access"/>
    <x v="61"/>
    <x v="1"/>
    <x v="1"/>
    <d v="1900-01-06T00:00:00"/>
    <n v="23"/>
    <x v="8"/>
    <x v="6"/>
  </r>
  <r>
    <x v="1647"/>
    <n v="-7.5"/>
    <x v="2643"/>
    <n v="1630"/>
    <s v="Complete Access"/>
    <x v="215"/>
    <x v="1"/>
    <x v="1"/>
    <d v="1900-01-06T00:00:00"/>
    <n v="23"/>
    <x v="8"/>
    <x v="6"/>
  </r>
  <r>
    <x v="1647"/>
    <n v="-10"/>
    <x v="3386"/>
    <n v="1647.64"/>
    <s v="Complete Access"/>
    <x v="762"/>
    <x v="1"/>
    <x v="5"/>
    <d v="1900-01-06T00:00:00"/>
    <n v="23"/>
    <x v="8"/>
    <x v="6"/>
  </r>
  <r>
    <x v="1647"/>
    <n v="-9"/>
    <x v="3387"/>
    <n v="1638.64"/>
    <s v="Complete Access"/>
    <x v="186"/>
    <x v="1"/>
    <x v="5"/>
    <d v="1900-01-06T00:00:00"/>
    <n v="23"/>
    <x v="8"/>
    <x v="6"/>
  </r>
  <r>
    <x v="1648"/>
    <n v="-7.31"/>
    <x v="2859"/>
    <n v="1703.04"/>
    <s v="Complete Access"/>
    <x v="61"/>
    <x v="1"/>
    <x v="1"/>
    <d v="1900-01-05T00:00:00"/>
    <n v="23"/>
    <x v="8"/>
    <x v="6"/>
  </r>
  <r>
    <x v="1648"/>
    <n v="-40.47"/>
    <x v="3388"/>
    <n v="1710.35"/>
    <s v="Complete Access"/>
    <x v="780"/>
    <x v="9"/>
    <x v="31"/>
    <d v="1900-01-05T00:00:00"/>
    <n v="23"/>
    <x v="8"/>
    <x v="6"/>
  </r>
  <r>
    <x v="1648"/>
    <n v="-25.2"/>
    <x v="3389"/>
    <n v="1750.82"/>
    <s v="Complete Access"/>
    <x v="47"/>
    <x v="1"/>
    <x v="5"/>
    <d v="1900-01-05T00:00:00"/>
    <n v="23"/>
    <x v="8"/>
    <x v="6"/>
  </r>
  <r>
    <x v="1648"/>
    <n v="-45.4"/>
    <x v="3390"/>
    <n v="1657.64"/>
    <s v="Complete Access"/>
    <x v="741"/>
    <x v="16"/>
    <x v="81"/>
    <d v="1900-01-05T00:00:00"/>
    <n v="23"/>
    <x v="8"/>
    <x v="6"/>
  </r>
  <r>
    <x v="1649"/>
    <n v="-2.14"/>
    <x v="2859"/>
    <n v="607.04"/>
    <s v="Complete Access"/>
    <x v="61"/>
    <x v="1"/>
    <x v="1"/>
    <d v="1900-01-04T00:00:00"/>
    <n v="23"/>
    <x v="8"/>
    <x v="6"/>
  </r>
  <r>
    <x v="1649"/>
    <n v="-52.7"/>
    <x v="3391"/>
    <n v="935.31"/>
    <s v="Complete Access"/>
    <x v="8"/>
    <x v="1"/>
    <x v="5"/>
    <d v="1900-01-04T00:00:00"/>
    <n v="23"/>
    <x v="8"/>
    <x v="6"/>
  </r>
  <r>
    <x v="1649"/>
    <n v="-14"/>
    <x v="3392"/>
    <n v="988.01"/>
    <s v="Complete Access"/>
    <x v="593"/>
    <x v="1"/>
    <x v="5"/>
    <d v="1900-01-04T00:00:00"/>
    <n v="23"/>
    <x v="8"/>
    <x v="6"/>
  </r>
  <r>
    <x v="1649"/>
    <n v="1182.25"/>
    <x v="3188"/>
    <n v="1776.02"/>
    <s v="Complete Access"/>
    <x v="14"/>
    <x v="6"/>
    <x v="9"/>
    <d v="1900-01-04T00:00:00"/>
    <n v="23"/>
    <x v="8"/>
    <x v="6"/>
  </r>
  <r>
    <x v="1649"/>
    <n v="4.95"/>
    <x v="3393"/>
    <n v="1015.31"/>
    <s v="Complete Access"/>
    <x v="8"/>
    <x v="1"/>
    <x v="5"/>
    <d v="1900-01-04T00:00:00"/>
    <n v="23"/>
    <x v="8"/>
    <x v="6"/>
  </r>
  <r>
    <x v="1649"/>
    <n v="-13.27"/>
    <x v="2643"/>
    <n v="593.77"/>
    <s v="Complete Access"/>
    <x v="215"/>
    <x v="1"/>
    <x v="1"/>
    <d v="1900-01-04T00:00:00"/>
    <n v="23"/>
    <x v="8"/>
    <x v="6"/>
  </r>
  <r>
    <x v="1649"/>
    <n v="-249"/>
    <x v="3394"/>
    <n v="686.31"/>
    <s v="Complete Access"/>
    <x v="781"/>
    <x v="10"/>
    <x v="13"/>
    <d v="1900-01-04T00:00:00"/>
    <n v="23"/>
    <x v="8"/>
    <x v="6"/>
  </r>
  <r>
    <x v="1649"/>
    <n v="-70.63"/>
    <x v="3395"/>
    <n v="609.17999999999995"/>
    <s v="Complete Access"/>
    <x v="1"/>
    <x v="1"/>
    <x v="1"/>
    <d v="1900-01-04T00:00:00"/>
    <n v="23"/>
    <x v="8"/>
    <x v="6"/>
  </r>
  <r>
    <x v="1649"/>
    <n v="-13.3"/>
    <x v="3396"/>
    <n v="1002.01"/>
    <s v="Complete Access"/>
    <x v="186"/>
    <x v="1"/>
    <x v="5"/>
    <d v="1900-01-04T00:00:00"/>
    <n v="23"/>
    <x v="8"/>
    <x v="6"/>
  </r>
  <r>
    <x v="1649"/>
    <n v="-6.5"/>
    <x v="3397"/>
    <n v="679.81"/>
    <s v="Complete Access"/>
    <x v="34"/>
    <x v="9"/>
    <x v="12"/>
    <d v="1900-01-04T00:00:00"/>
    <n v="23"/>
    <x v="8"/>
    <x v="6"/>
  </r>
  <r>
    <x v="1650"/>
    <n v="-3.45"/>
    <x v="2859"/>
    <n v="1010.36"/>
    <s v="Complete Access"/>
    <x v="61"/>
    <x v="1"/>
    <x v="1"/>
    <d v="1900-01-03T00:00:00"/>
    <n v="23"/>
    <x v="8"/>
    <x v="6"/>
  </r>
  <r>
    <x v="1650"/>
    <n v="-50"/>
    <x v="3361"/>
    <n v="1013.81"/>
    <s v="Complete Access"/>
    <x v="12"/>
    <x v="5"/>
    <x v="8"/>
    <d v="1900-01-03T00:00:00"/>
    <n v="23"/>
    <x v="8"/>
    <x v="6"/>
  </r>
  <r>
    <x v="1650"/>
    <n v="-12.25"/>
    <x v="3398"/>
    <n v="1063.81"/>
    <s v="Complete Access"/>
    <x v="609"/>
    <x v="1"/>
    <x v="1"/>
    <d v="1900-01-03T00:00:00"/>
    <n v="23"/>
    <x v="8"/>
    <x v="6"/>
  </r>
  <r>
    <x v="1650"/>
    <n v="-10"/>
    <x v="3399"/>
    <n v="1386.06"/>
    <s v="Complete Access"/>
    <x v="762"/>
    <x v="1"/>
    <x v="5"/>
    <d v="1900-01-03T00:00:00"/>
    <n v="23"/>
    <x v="8"/>
    <x v="6"/>
  </r>
  <r>
    <x v="1650"/>
    <n v="-310"/>
    <x v="3400"/>
    <n v="1076.06"/>
    <s v="Complete Access"/>
    <x v="782"/>
    <x v="10"/>
    <x v="75"/>
    <d v="1900-01-03T00:00:00"/>
    <n v="23"/>
    <x v="8"/>
    <x v="6"/>
  </r>
  <r>
    <x v="1651"/>
    <n v="-3.14"/>
    <x v="2859"/>
    <n v="1665.7"/>
    <s v="Complete Access"/>
    <x v="61"/>
    <x v="1"/>
    <x v="1"/>
    <d v="1900-01-02T00:00:00"/>
    <n v="23"/>
    <x v="8"/>
    <x v="6"/>
  </r>
  <r>
    <x v="1651"/>
    <n v="-67"/>
    <x v="2929"/>
    <n v="1396.06"/>
    <s v="Complete Access"/>
    <x v="645"/>
    <x v="0"/>
    <x v="69"/>
    <d v="1900-01-02T00:00:00"/>
    <n v="23"/>
    <x v="8"/>
    <x v="6"/>
  </r>
  <r>
    <x v="1651"/>
    <n v="-172.3"/>
    <x v="3401"/>
    <n v="1463.06"/>
    <s v="Complete Access"/>
    <x v="76"/>
    <x v="2"/>
    <x v="2"/>
    <d v="1900-01-02T00:00:00"/>
    <n v="23"/>
    <x v="8"/>
    <x v="6"/>
  </r>
  <r>
    <x v="1651"/>
    <n v="-30.34"/>
    <x v="3402"/>
    <n v="1635.36"/>
    <s v="Complete Access"/>
    <x v="21"/>
    <x v="10"/>
    <x v="13"/>
    <d v="1900-01-02T00:00:00"/>
    <n v="23"/>
    <x v="8"/>
    <x v="6"/>
  </r>
  <r>
    <x v="1652"/>
    <n v="-600"/>
    <x v="3403"/>
    <n v="168.84"/>
    <s v="Complete Access"/>
    <x v="601"/>
    <x v="0"/>
    <x v="0"/>
    <d v="1899-12-31T00:00:00"/>
    <n v="22"/>
    <x v="8"/>
    <x v="6"/>
  </r>
  <r>
    <x v="1652"/>
    <n v="-515"/>
    <x v="3404"/>
    <n v="775.74"/>
    <s v="Complete Access"/>
    <x v="783"/>
    <x v="19"/>
    <x v="61"/>
    <d v="1899-12-31T00:00:00"/>
    <n v="22"/>
    <x v="8"/>
    <x v="6"/>
  </r>
  <r>
    <x v="1652"/>
    <n v="-2.72"/>
    <x v="3405"/>
    <n v="1399.74"/>
    <s v="Complete Access"/>
    <x v="609"/>
    <x v="1"/>
    <x v="1"/>
    <d v="1899-12-31T00:00:00"/>
    <n v="22"/>
    <x v="8"/>
    <x v="6"/>
  </r>
  <r>
    <x v="1652"/>
    <n v="-6.9"/>
    <x v="3406"/>
    <n v="768.84"/>
    <s v="Complete Access"/>
    <x v="784"/>
    <x v="11"/>
    <x v="14"/>
    <d v="1899-12-31T00:00:00"/>
    <n v="22"/>
    <x v="8"/>
    <x v="6"/>
  </r>
  <r>
    <x v="1652"/>
    <n v="-100"/>
    <x v="2274"/>
    <n v="1290.74"/>
    <s v="Complete Access"/>
    <x v="552"/>
    <x v="0"/>
    <x v="74"/>
    <d v="1899-12-31T00:00:00"/>
    <n v="22"/>
    <x v="8"/>
    <x v="6"/>
  </r>
  <r>
    <x v="1652"/>
    <n v="1500"/>
    <x v="3407"/>
    <n v="1668.84"/>
    <s v="Complete Access"/>
    <x v="0"/>
    <x v="0"/>
    <x v="0"/>
    <d v="1899-12-31T00:00:00"/>
    <n v="22"/>
    <x v="8"/>
    <x v="6"/>
  </r>
  <r>
    <x v="1652"/>
    <n v="-9"/>
    <x v="3408"/>
    <n v="1390.74"/>
    <s v="Complete Access"/>
    <x v="186"/>
    <x v="1"/>
    <x v="5"/>
    <d v="1899-12-31T00:00:00"/>
    <n v="22"/>
    <x v="8"/>
    <x v="6"/>
  </r>
  <r>
    <x v="1653"/>
    <n v="-2.14"/>
    <x v="2859"/>
    <n v="1402.46"/>
    <s v="Complete Access"/>
    <x v="61"/>
    <x v="1"/>
    <x v="1"/>
    <d v="1900-01-30T00:00:00"/>
    <n v="22"/>
    <x v="9"/>
    <x v="6"/>
  </r>
  <r>
    <x v="1653"/>
    <n v="-500"/>
    <x v="2294"/>
    <n v="1500.34"/>
    <s v="Complete Access"/>
    <x v="571"/>
    <x v="19"/>
    <x v="61"/>
    <d v="1900-01-30T00:00:00"/>
    <n v="22"/>
    <x v="9"/>
    <x v="6"/>
  </r>
  <r>
    <x v="1653"/>
    <n v="-95.74"/>
    <x v="3409"/>
    <n v="1404.6"/>
    <s v="Complete Access"/>
    <x v="587"/>
    <x v="8"/>
    <x v="22"/>
    <d v="1900-01-30T00:00:00"/>
    <n v="22"/>
    <x v="9"/>
    <x v="6"/>
  </r>
  <r>
    <x v="1654"/>
    <n v="-1.67"/>
    <x v="2859"/>
    <n v="2038.42"/>
    <s v="Complete Access"/>
    <x v="61"/>
    <x v="1"/>
    <x v="1"/>
    <d v="1900-01-29T00:00:00"/>
    <n v="22"/>
    <x v="9"/>
    <x v="6"/>
  </r>
  <r>
    <x v="1654"/>
    <n v="-16.18"/>
    <x v="3410"/>
    <n v="2045.59"/>
    <s v="Complete Access"/>
    <x v="333"/>
    <x v="1"/>
    <x v="5"/>
    <d v="1900-01-29T00:00:00"/>
    <n v="22"/>
    <x v="9"/>
    <x v="6"/>
  </r>
  <r>
    <x v="1654"/>
    <n v="-38.08"/>
    <x v="3411"/>
    <n v="2000.34"/>
    <s v="Complete Access"/>
    <x v="785"/>
    <x v="9"/>
    <x v="12"/>
    <d v="1900-01-29T00:00:00"/>
    <n v="22"/>
    <x v="9"/>
    <x v="6"/>
  </r>
  <r>
    <x v="1654"/>
    <n v="-5.5"/>
    <x v="3412"/>
    <n v="2040.09"/>
    <s v="Complete Access"/>
    <x v="1"/>
    <x v="1"/>
    <x v="1"/>
    <d v="1900-01-29T00:00:00"/>
    <n v="22"/>
    <x v="9"/>
    <x v="6"/>
  </r>
  <r>
    <x v="1654"/>
    <n v="-22.73"/>
    <x v="3413"/>
    <n v="2112.27"/>
    <s v="Complete Access"/>
    <x v="786"/>
    <x v="8"/>
    <x v="29"/>
    <d v="1900-01-29T00:00:00"/>
    <n v="22"/>
    <x v="9"/>
    <x v="6"/>
  </r>
  <r>
    <x v="1654"/>
    <n v="-28.28"/>
    <x v="3414"/>
    <n v="2083.9899999999998"/>
    <s v="Complete Access"/>
    <x v="786"/>
    <x v="8"/>
    <x v="29"/>
    <d v="1900-01-29T00:00:00"/>
    <n v="22"/>
    <x v="9"/>
    <x v="6"/>
  </r>
  <r>
    <x v="1654"/>
    <n v="-22.22"/>
    <x v="3415"/>
    <n v="2061.77"/>
    <s v="Complete Access"/>
    <x v="786"/>
    <x v="8"/>
    <x v="29"/>
    <d v="1900-01-29T00:00:00"/>
    <n v="22"/>
    <x v="9"/>
    <x v="6"/>
  </r>
  <r>
    <x v="1655"/>
    <n v="-1.92"/>
    <x v="2859"/>
    <n v="1021.55"/>
    <s v="Complete Access"/>
    <x v="61"/>
    <x v="1"/>
    <x v="1"/>
    <d v="1900-01-28T00:00:00"/>
    <n v="22"/>
    <x v="9"/>
    <x v="6"/>
  </r>
  <r>
    <x v="1655"/>
    <n v="-30"/>
    <x v="3416"/>
    <n v="1117.96"/>
    <s v="Complete Access"/>
    <x v="8"/>
    <x v="1"/>
    <x v="5"/>
    <d v="1900-01-28T00:00:00"/>
    <n v="22"/>
    <x v="9"/>
    <x v="6"/>
  </r>
  <r>
    <x v="1655"/>
    <n v="-12.11"/>
    <x v="3417"/>
    <n v="1070.97"/>
    <s v="Complete Access"/>
    <x v="8"/>
    <x v="1"/>
    <x v="5"/>
    <d v="1900-01-28T00:00:00"/>
    <n v="22"/>
    <x v="9"/>
    <x v="6"/>
  </r>
  <r>
    <x v="1655"/>
    <n v="-27"/>
    <x v="3418"/>
    <n v="1083.08"/>
    <s v="Complete Access"/>
    <x v="8"/>
    <x v="1"/>
    <x v="5"/>
    <d v="1900-01-28T00:00:00"/>
    <n v="22"/>
    <x v="9"/>
    <x v="6"/>
  </r>
  <r>
    <x v="1655"/>
    <n v="-21.63"/>
    <x v="3419"/>
    <n v="1147.96"/>
    <s v="Complete Access"/>
    <x v="787"/>
    <x v="15"/>
    <x v="34"/>
    <d v="1900-01-28T00:00:00"/>
    <n v="22"/>
    <x v="9"/>
    <x v="6"/>
  </r>
  <r>
    <x v="1655"/>
    <n v="-7.88"/>
    <x v="3420"/>
    <n v="1110.08"/>
    <s v="Complete Access"/>
    <x v="556"/>
    <x v="15"/>
    <x v="34"/>
    <d v="1900-01-28T00:00:00"/>
    <n v="22"/>
    <x v="9"/>
    <x v="6"/>
  </r>
  <r>
    <x v="1655"/>
    <n v="1182.25"/>
    <x v="3188"/>
    <n v="2135"/>
    <s v="Complete Access"/>
    <x v="14"/>
    <x v="6"/>
    <x v="9"/>
    <d v="1900-01-28T00:00:00"/>
    <n v="22"/>
    <x v="9"/>
    <x v="6"/>
  </r>
  <r>
    <x v="1655"/>
    <n v="-20"/>
    <x v="3421"/>
    <n v="1041.97"/>
    <s v="Complete Access"/>
    <x v="788"/>
    <x v="1"/>
    <x v="5"/>
    <d v="1900-01-28T00:00:00"/>
    <n v="22"/>
    <x v="9"/>
    <x v="6"/>
  </r>
  <r>
    <x v="1655"/>
    <n v="-68.8"/>
    <x v="3422"/>
    <n v="952.75"/>
    <s v="Complete Access"/>
    <x v="789"/>
    <x v="10"/>
    <x v="13"/>
    <d v="1900-01-28T00:00:00"/>
    <n v="22"/>
    <x v="9"/>
    <x v="6"/>
  </r>
  <r>
    <x v="1655"/>
    <n v="-9"/>
    <x v="3423"/>
    <n v="1032.97"/>
    <s v="Complete Access"/>
    <x v="790"/>
    <x v="20"/>
    <x v="63"/>
    <d v="1900-01-28T00:00:00"/>
    <n v="22"/>
    <x v="9"/>
    <x v="6"/>
  </r>
  <r>
    <x v="1655"/>
    <n v="-9.5"/>
    <x v="3424"/>
    <n v="1023.47"/>
    <s v="Complete Access"/>
    <x v="790"/>
    <x v="20"/>
    <x v="63"/>
    <d v="1900-01-28T00:00:00"/>
    <n v="22"/>
    <x v="9"/>
    <x v="6"/>
  </r>
  <r>
    <x v="1655"/>
    <n v="-9"/>
    <x v="3425"/>
    <n v="1061.97"/>
    <s v="Complete Access"/>
    <x v="186"/>
    <x v="1"/>
    <x v="5"/>
    <d v="1900-01-28T00:00:00"/>
    <n v="22"/>
    <x v="9"/>
    <x v="6"/>
  </r>
  <r>
    <x v="1656"/>
    <n v="-7.76"/>
    <x v="2859"/>
    <n v="1169.5899999999999"/>
    <s v="Complete Access"/>
    <x v="61"/>
    <x v="1"/>
    <x v="1"/>
    <d v="1900-01-27T00:00:00"/>
    <n v="22"/>
    <x v="9"/>
    <x v="6"/>
  </r>
  <r>
    <x v="1656"/>
    <n v="-7.14"/>
    <x v="3426"/>
    <n v="1177.3499999999999"/>
    <s v="Complete Access"/>
    <x v="599"/>
    <x v="15"/>
    <x v="34"/>
    <d v="1900-01-27T00:00:00"/>
    <n v="22"/>
    <x v="9"/>
    <x v="6"/>
  </r>
  <r>
    <x v="1657"/>
    <n v="-1.1399999999999999"/>
    <x v="2859"/>
    <n v="1197.3499999999999"/>
    <s v="Complete Access"/>
    <x v="61"/>
    <x v="1"/>
    <x v="1"/>
    <d v="1900-01-26T00:00:00"/>
    <n v="22"/>
    <x v="9"/>
    <x v="6"/>
  </r>
  <r>
    <x v="1657"/>
    <n v="-12.86"/>
    <x v="3427"/>
    <n v="1184.49"/>
    <s v="Complete Access"/>
    <x v="791"/>
    <x v="1"/>
    <x v="5"/>
    <d v="1900-01-26T00:00:00"/>
    <n v="22"/>
    <x v="9"/>
    <x v="6"/>
  </r>
  <r>
    <x v="1658"/>
    <n v="-5.0599999999999996"/>
    <x v="3428"/>
    <n v="1198.49"/>
    <s v="Complete Access"/>
    <x v="792"/>
    <x v="1"/>
    <x v="5"/>
    <d v="1900-01-25T00:00:00"/>
    <n v="22"/>
    <x v="9"/>
    <x v="6"/>
  </r>
  <r>
    <x v="1659"/>
    <n v="-11"/>
    <x v="3429"/>
    <n v="1970.6"/>
    <s v="Complete Access"/>
    <x v="27"/>
    <x v="1"/>
    <x v="5"/>
    <d v="1900-01-24T00:00:00"/>
    <n v="21"/>
    <x v="9"/>
    <x v="6"/>
  </r>
  <r>
    <x v="1659"/>
    <n v="-50"/>
    <x v="3430"/>
    <n v="1222.55"/>
    <s v="Complete Access"/>
    <x v="601"/>
    <x v="0"/>
    <x v="0"/>
    <d v="1900-01-24T00:00:00"/>
    <n v="21"/>
    <x v="9"/>
    <x v="6"/>
  </r>
  <r>
    <x v="1659"/>
    <n v="-50"/>
    <x v="3403"/>
    <n v="1272.55"/>
    <s v="Complete Access"/>
    <x v="601"/>
    <x v="0"/>
    <x v="0"/>
    <d v="1900-01-24T00:00:00"/>
    <n v="21"/>
    <x v="9"/>
    <x v="6"/>
  </r>
  <r>
    <x v="1659"/>
    <n v="-19"/>
    <x v="3431"/>
    <n v="1203.55"/>
    <s v="Complete Access"/>
    <x v="793"/>
    <x v="8"/>
    <x v="29"/>
    <d v="1900-01-24T00:00:00"/>
    <n v="21"/>
    <x v="9"/>
    <x v="6"/>
  </r>
  <r>
    <x v="1659"/>
    <n v="-515"/>
    <x v="3404"/>
    <n v="1322.55"/>
    <s v="Complete Access"/>
    <x v="783"/>
    <x v="19"/>
    <x v="61"/>
    <d v="1900-01-24T00:00:00"/>
    <n v="21"/>
    <x v="9"/>
    <x v="6"/>
  </r>
  <r>
    <x v="1659"/>
    <n v="-100"/>
    <x v="2274"/>
    <n v="1837.55"/>
    <s v="Complete Access"/>
    <x v="552"/>
    <x v="0"/>
    <x v="74"/>
    <d v="1900-01-24T00:00:00"/>
    <n v="21"/>
    <x v="9"/>
    <x v="6"/>
  </r>
  <r>
    <x v="1659"/>
    <n v="-9"/>
    <x v="3432"/>
    <n v="1961.6"/>
    <s v="Complete Access"/>
    <x v="186"/>
    <x v="1"/>
    <x v="5"/>
    <d v="1900-01-24T00:00:00"/>
    <n v="21"/>
    <x v="9"/>
    <x v="6"/>
  </r>
  <r>
    <x v="1659"/>
    <n v="-24.05"/>
    <x v="3433"/>
    <n v="1937.55"/>
    <s v="Complete Access"/>
    <x v="34"/>
    <x v="9"/>
    <x v="12"/>
    <d v="1900-01-24T00:00:00"/>
    <n v="21"/>
    <x v="9"/>
    <x v="6"/>
  </r>
  <r>
    <x v="1660"/>
    <n v="-1.59"/>
    <x v="2859"/>
    <n v="2084.1"/>
    <s v="Complete Access"/>
    <x v="61"/>
    <x v="1"/>
    <x v="1"/>
    <d v="1900-01-23T00:00:00"/>
    <n v="21"/>
    <x v="9"/>
    <x v="6"/>
  </r>
  <r>
    <x v="1660"/>
    <n v="-50"/>
    <x v="3434"/>
    <n v="1984.1"/>
    <s v="Complete Access"/>
    <x v="786"/>
    <x v="8"/>
    <x v="29"/>
    <d v="1900-01-23T00:00:00"/>
    <n v="21"/>
    <x v="9"/>
    <x v="6"/>
  </r>
  <r>
    <x v="1660"/>
    <n v="-50"/>
    <x v="3361"/>
    <n v="2034.1"/>
    <s v="Complete Access"/>
    <x v="12"/>
    <x v="5"/>
    <x v="8"/>
    <d v="1900-01-23T00:00:00"/>
    <n v="21"/>
    <x v="9"/>
    <x v="6"/>
  </r>
  <r>
    <x v="1660"/>
    <n v="-2.5"/>
    <x v="72"/>
    <n v="1981.6"/>
    <s v="Complete Access"/>
    <x v="37"/>
    <x v="0"/>
    <x v="0"/>
    <d v="1900-01-23T00:00:00"/>
    <n v="21"/>
    <x v="9"/>
    <x v="6"/>
  </r>
  <r>
    <x v="1660"/>
    <n v="-14.47"/>
    <x v="3435"/>
    <n v="2085.69"/>
    <s v="Complete Access"/>
    <x v="1"/>
    <x v="1"/>
    <x v="1"/>
    <d v="1900-01-23T00:00:00"/>
    <n v="21"/>
    <x v="9"/>
    <x v="6"/>
  </r>
  <r>
    <x v="1661"/>
    <n v="-1.36"/>
    <x v="2859"/>
    <n v="2145.56"/>
    <s v="Complete Access"/>
    <x v="61"/>
    <x v="1"/>
    <x v="1"/>
    <d v="1900-01-22T00:00:00"/>
    <n v="21"/>
    <x v="9"/>
    <x v="6"/>
  </r>
  <r>
    <x v="1661"/>
    <n v="-22.43"/>
    <x v="3436"/>
    <n v="2189.62"/>
    <s v="Complete Access"/>
    <x v="609"/>
    <x v="1"/>
    <x v="1"/>
    <d v="1900-01-22T00:00:00"/>
    <n v="21"/>
    <x v="9"/>
    <x v="6"/>
  </r>
  <r>
    <x v="1661"/>
    <n v="-33.700000000000003"/>
    <x v="3437"/>
    <n v="2155.92"/>
    <s v="Complete Access"/>
    <x v="393"/>
    <x v="11"/>
    <x v="49"/>
    <d v="1900-01-22T00:00:00"/>
    <n v="21"/>
    <x v="9"/>
    <x v="6"/>
  </r>
  <r>
    <x v="1661"/>
    <n v="-45.4"/>
    <x v="3438"/>
    <n v="2100.16"/>
    <s v="Complete Access"/>
    <x v="741"/>
    <x v="16"/>
    <x v="81"/>
    <d v="1900-01-22T00:00:00"/>
    <n v="21"/>
    <x v="9"/>
    <x v="6"/>
  </r>
  <r>
    <x v="1661"/>
    <n v="-9"/>
    <x v="3439"/>
    <n v="2146.92"/>
    <s v="Complete Access"/>
    <x v="186"/>
    <x v="1"/>
    <x v="5"/>
    <d v="1900-01-22T00:00:00"/>
    <n v="21"/>
    <x v="9"/>
    <x v="6"/>
  </r>
  <r>
    <x v="1662"/>
    <n v="-1.39"/>
    <x v="3203"/>
    <n v="931.8"/>
    <s v="Complete Access"/>
    <x v="188"/>
    <x v="1"/>
    <x v="1"/>
    <d v="1900-01-21T00:00:00"/>
    <n v="21"/>
    <x v="9"/>
    <x v="6"/>
  </r>
  <r>
    <x v="1662"/>
    <n v="1182.25"/>
    <x v="3188"/>
    <n v="2212.0500000000002"/>
    <s v="Complete Access"/>
    <x v="14"/>
    <x v="6"/>
    <x v="9"/>
    <d v="1900-01-21T00:00:00"/>
    <n v="21"/>
    <x v="9"/>
    <x v="6"/>
  </r>
  <r>
    <x v="1662"/>
    <n v="-9.99"/>
    <x v="3440"/>
    <n v="987.18"/>
    <s v="Complete Access"/>
    <x v="373"/>
    <x v="8"/>
    <x v="7"/>
    <d v="1900-01-21T00:00:00"/>
    <n v="21"/>
    <x v="9"/>
    <x v="6"/>
  </r>
  <r>
    <x v="1662"/>
    <n v="-2"/>
    <x v="3441"/>
    <n v="1029.8"/>
    <s v="Complete Access"/>
    <x v="177"/>
    <x v="1"/>
    <x v="1"/>
    <d v="1900-01-21T00:00:00"/>
    <n v="21"/>
    <x v="9"/>
    <x v="6"/>
  </r>
  <r>
    <x v="1662"/>
    <n v="-44.99"/>
    <x v="3442"/>
    <n v="933.19"/>
    <s v="Complete Access"/>
    <x v="794"/>
    <x v="3"/>
    <x v="15"/>
    <d v="1900-01-21T00:00:00"/>
    <n v="21"/>
    <x v="9"/>
    <x v="6"/>
  </r>
  <r>
    <x v="1662"/>
    <n v="100"/>
    <x v="3378"/>
    <n v="1031.8"/>
    <s v="Complete Access"/>
    <x v="722"/>
    <x v="0"/>
    <x v="0"/>
    <d v="1900-01-21T00:00:00"/>
    <n v="21"/>
    <x v="9"/>
    <x v="6"/>
  </r>
  <r>
    <x v="1662"/>
    <n v="-9"/>
    <x v="3443"/>
    <n v="978.18"/>
    <s v="Complete Access"/>
    <x v="186"/>
    <x v="1"/>
    <x v="5"/>
    <d v="1900-01-21T00:00:00"/>
    <n v="21"/>
    <x v="9"/>
    <x v="6"/>
  </r>
  <r>
    <x v="1663"/>
    <n v="-7.53"/>
    <x v="2859"/>
    <n v="997.17"/>
    <s v="Complete Access"/>
    <x v="61"/>
    <x v="1"/>
    <x v="1"/>
    <d v="1900-01-20T00:00:00"/>
    <n v="21"/>
    <x v="9"/>
    <x v="6"/>
  </r>
  <r>
    <x v="1663"/>
    <n v="-12.6"/>
    <x v="3444"/>
    <n v="1013.7"/>
    <s v="Complete Access"/>
    <x v="609"/>
    <x v="1"/>
    <x v="1"/>
    <d v="1900-01-20T00:00:00"/>
    <n v="21"/>
    <x v="9"/>
    <x v="6"/>
  </r>
  <r>
    <x v="1663"/>
    <n v="-41.37"/>
    <x v="3445"/>
    <n v="1026.3"/>
    <s v="Complete Access"/>
    <x v="1"/>
    <x v="1"/>
    <x v="1"/>
    <d v="1900-01-20T00:00:00"/>
    <n v="21"/>
    <x v="9"/>
    <x v="6"/>
  </r>
  <r>
    <x v="1663"/>
    <n v="-8.4700000000000006"/>
    <x v="3446"/>
    <n v="1067.67"/>
    <s v="Complete Access"/>
    <x v="98"/>
    <x v="9"/>
    <x v="32"/>
    <d v="1900-01-20T00:00:00"/>
    <n v="21"/>
    <x v="9"/>
    <x v="6"/>
  </r>
  <r>
    <x v="1663"/>
    <n v="-9"/>
    <x v="3447"/>
    <n v="1004.7"/>
    <s v="Complete Access"/>
    <x v="186"/>
    <x v="1"/>
    <x v="5"/>
    <d v="1900-01-20T00:00:00"/>
    <n v="21"/>
    <x v="9"/>
    <x v="6"/>
  </r>
  <r>
    <x v="1664"/>
    <n v="-8.25"/>
    <x v="2859"/>
    <n v="1087.5899999999999"/>
    <s v="Complete Access"/>
    <x v="61"/>
    <x v="1"/>
    <x v="1"/>
    <d v="1900-01-19T00:00:00"/>
    <n v="21"/>
    <x v="9"/>
    <x v="6"/>
  </r>
  <r>
    <x v="1664"/>
    <n v="-11.45"/>
    <x v="3441"/>
    <n v="1076.1400000000001"/>
    <s v="Complete Access"/>
    <x v="177"/>
    <x v="1"/>
    <x v="1"/>
    <d v="1900-01-19T00:00:00"/>
    <n v="21"/>
    <x v="9"/>
    <x v="6"/>
  </r>
  <r>
    <x v="1665"/>
    <n v="-7.4"/>
    <x v="3256"/>
    <n v="1095.8399999999999"/>
    <s v="Complete Access"/>
    <x v="745"/>
    <x v="8"/>
    <x v="22"/>
    <d v="1900-01-18T00:00:00"/>
    <n v="21"/>
    <x v="9"/>
    <x v="6"/>
  </r>
  <r>
    <x v="1665"/>
    <n v="-7.4"/>
    <x v="3256"/>
    <n v="1103.24"/>
    <s v="Complete Access"/>
    <x v="745"/>
    <x v="8"/>
    <x v="22"/>
    <d v="1900-01-18T00:00:00"/>
    <n v="21"/>
    <x v="9"/>
    <x v="6"/>
  </r>
  <r>
    <x v="1665"/>
    <n v="-1.79"/>
    <x v="3441"/>
    <n v="1110.6400000000001"/>
    <s v="Complete Access"/>
    <x v="177"/>
    <x v="1"/>
    <x v="1"/>
    <d v="1900-01-18T00:00:00"/>
    <n v="21"/>
    <x v="9"/>
    <x v="6"/>
  </r>
  <r>
    <x v="1666"/>
    <n v="-515"/>
    <x v="3404"/>
    <n v="1372.96"/>
    <s v="Complete Access"/>
    <x v="783"/>
    <x v="19"/>
    <x v="61"/>
    <d v="1900-01-17T00:00:00"/>
    <n v="20"/>
    <x v="9"/>
    <x v="6"/>
  </r>
  <r>
    <x v="1666"/>
    <n v="-17.52"/>
    <x v="3448"/>
    <n v="1355.44"/>
    <s v="Complete Access"/>
    <x v="56"/>
    <x v="9"/>
    <x v="31"/>
    <d v="1900-01-17T00:00:00"/>
    <n v="20"/>
    <x v="9"/>
    <x v="6"/>
  </r>
  <r>
    <x v="1666"/>
    <n v="-32"/>
    <x v="3449"/>
    <n v="1112.43"/>
    <s v="Complete Access"/>
    <x v="795"/>
    <x v="16"/>
    <x v="35"/>
    <d v="1900-01-17T00:00:00"/>
    <n v="20"/>
    <x v="9"/>
    <x v="6"/>
  </r>
  <r>
    <x v="1666"/>
    <n v="-7.5"/>
    <x v="3450"/>
    <n v="1144.43"/>
    <s v="Complete Access"/>
    <x v="796"/>
    <x v="20"/>
    <x v="63"/>
    <d v="1900-01-17T00:00:00"/>
    <n v="20"/>
    <x v="9"/>
    <x v="6"/>
  </r>
  <r>
    <x v="1666"/>
    <n v="-100"/>
    <x v="2274"/>
    <n v="1887.96"/>
    <s v="Complete Access"/>
    <x v="552"/>
    <x v="0"/>
    <x v="74"/>
    <d v="1900-01-17T00:00:00"/>
    <n v="20"/>
    <x v="9"/>
    <x v="6"/>
  </r>
  <r>
    <x v="1666"/>
    <n v="-203.51"/>
    <x v="3451"/>
    <n v="1151.93"/>
    <s v="Complete Access"/>
    <x v="797"/>
    <x v="1"/>
    <x v="5"/>
    <d v="1900-01-17T00:00:00"/>
    <n v="20"/>
    <x v="9"/>
    <x v="6"/>
  </r>
  <r>
    <x v="1667"/>
    <n v="-7.04"/>
    <x v="2859"/>
    <n v="2005.63"/>
    <s v="Complete Access"/>
    <x v="61"/>
    <x v="1"/>
    <x v="1"/>
    <d v="1900-01-16T00:00:00"/>
    <n v="20"/>
    <x v="9"/>
    <x v="6"/>
  </r>
  <r>
    <x v="1667"/>
    <n v="-9.9"/>
    <x v="3452"/>
    <n v="2035.3"/>
    <s v="Complete Access"/>
    <x v="682"/>
    <x v="1"/>
    <x v="5"/>
    <d v="1900-01-16T00:00:00"/>
    <n v="20"/>
    <x v="9"/>
    <x v="6"/>
  </r>
  <r>
    <x v="1667"/>
    <n v="-12.3"/>
    <x v="3453"/>
    <n v="2023"/>
    <s v="Complete Access"/>
    <x v="609"/>
    <x v="1"/>
    <x v="1"/>
    <d v="1900-01-16T00:00:00"/>
    <n v="20"/>
    <x v="9"/>
    <x v="6"/>
  </r>
  <r>
    <x v="1667"/>
    <n v="-17.670000000000002"/>
    <x v="3441"/>
    <n v="1987.96"/>
    <s v="Complete Access"/>
    <x v="177"/>
    <x v="1"/>
    <x v="1"/>
    <d v="1900-01-16T00:00:00"/>
    <n v="20"/>
    <x v="9"/>
    <x v="6"/>
  </r>
  <r>
    <x v="1667"/>
    <n v="-1.33"/>
    <x v="3454"/>
    <n v="2012.67"/>
    <s v="Complete Access"/>
    <x v="1"/>
    <x v="1"/>
    <x v="1"/>
    <d v="1900-01-16T00:00:00"/>
    <n v="20"/>
    <x v="9"/>
    <x v="6"/>
  </r>
  <r>
    <x v="1667"/>
    <n v="-9"/>
    <x v="3455"/>
    <n v="2014"/>
    <s v="Complete Access"/>
    <x v="186"/>
    <x v="1"/>
    <x v="5"/>
    <d v="1900-01-16T00:00:00"/>
    <n v="20"/>
    <x v="9"/>
    <x v="6"/>
  </r>
  <r>
    <x v="1668"/>
    <n v="-10.35"/>
    <x v="3456"/>
    <n v="1802.2"/>
    <s v="Complete Access"/>
    <x v="27"/>
    <x v="1"/>
    <x v="5"/>
    <d v="1900-01-15T00:00:00"/>
    <n v="20"/>
    <x v="9"/>
    <x v="6"/>
  </r>
  <r>
    <x v="1668"/>
    <n v="-7"/>
    <x v="2859"/>
    <n v="2045.2"/>
    <s v="Complete Access"/>
    <x v="61"/>
    <x v="1"/>
    <x v="1"/>
    <d v="1900-01-15T00:00:00"/>
    <n v="20"/>
    <x v="9"/>
    <x v="6"/>
  </r>
  <r>
    <x v="1668"/>
    <n v="-9.9"/>
    <x v="3457"/>
    <n v="1812.55"/>
    <s v="Complete Access"/>
    <x v="682"/>
    <x v="1"/>
    <x v="5"/>
    <d v="1900-01-15T00:00:00"/>
    <n v="20"/>
    <x v="9"/>
    <x v="6"/>
  </r>
  <r>
    <x v="1668"/>
    <n v="250"/>
    <x v="3458"/>
    <n v="2052.1999999999998"/>
    <s v="Complete Access"/>
    <x v="657"/>
    <x v="0"/>
    <x v="69"/>
    <d v="1900-01-15T00:00:00"/>
    <n v="20"/>
    <x v="9"/>
    <x v="6"/>
  </r>
  <r>
    <x v="1669"/>
    <n v="-7"/>
    <x v="2859"/>
    <n v="677.87"/>
    <s v="Complete Access"/>
    <x v="61"/>
    <x v="1"/>
    <x v="1"/>
    <d v="1900-01-14T00:00:00"/>
    <n v="20"/>
    <x v="9"/>
    <x v="6"/>
  </r>
  <r>
    <x v="1669"/>
    <n v="-32.9"/>
    <x v="3459"/>
    <n v="690.87"/>
    <s v="Complete Access"/>
    <x v="8"/>
    <x v="1"/>
    <x v="5"/>
    <d v="1900-01-14T00:00:00"/>
    <n v="20"/>
    <x v="9"/>
    <x v="6"/>
  </r>
  <r>
    <x v="1669"/>
    <n v="-25.5"/>
    <x v="3460"/>
    <n v="723.77"/>
    <s v="Complete Access"/>
    <x v="8"/>
    <x v="1"/>
    <x v="5"/>
    <d v="1900-01-14T00:00:00"/>
    <n v="20"/>
    <x v="9"/>
    <x v="6"/>
  </r>
  <r>
    <x v="1669"/>
    <n v="-3"/>
    <x v="3461"/>
    <n v="687.87"/>
    <s v="Complete Access"/>
    <x v="8"/>
    <x v="1"/>
    <x v="5"/>
    <d v="1900-01-14T00:00:00"/>
    <n v="20"/>
    <x v="9"/>
    <x v="6"/>
  </r>
  <r>
    <x v="1669"/>
    <n v="1148.57"/>
    <x v="3188"/>
    <n v="1822.45"/>
    <s v="Complete Access"/>
    <x v="14"/>
    <x v="6"/>
    <x v="9"/>
    <d v="1900-01-14T00:00:00"/>
    <n v="20"/>
    <x v="9"/>
    <x v="6"/>
  </r>
  <r>
    <x v="1669"/>
    <n v="-3.99"/>
    <x v="3441"/>
    <n v="673.88"/>
    <s v="Complete Access"/>
    <x v="177"/>
    <x v="1"/>
    <x v="1"/>
    <d v="1900-01-14T00:00:00"/>
    <n v="20"/>
    <x v="9"/>
    <x v="6"/>
  </r>
  <r>
    <x v="1669"/>
    <n v="-3"/>
    <x v="3462"/>
    <n v="684.87"/>
    <s v="Complete Access"/>
    <x v="1"/>
    <x v="1"/>
    <x v="1"/>
    <d v="1900-01-14T00:00:00"/>
    <n v="20"/>
    <x v="9"/>
    <x v="6"/>
  </r>
  <r>
    <x v="1670"/>
    <n v="-7"/>
    <x v="2859"/>
    <n v="799.27"/>
    <s v="Complete Access"/>
    <x v="61"/>
    <x v="1"/>
    <x v="1"/>
    <d v="1900-01-13T00:00:00"/>
    <n v="20"/>
    <x v="9"/>
    <x v="6"/>
  </r>
  <r>
    <x v="1670"/>
    <n v="-50"/>
    <x v="3361"/>
    <n v="749.27"/>
    <s v="Complete Access"/>
    <x v="12"/>
    <x v="5"/>
    <x v="8"/>
    <d v="1900-01-13T00:00:00"/>
    <n v="20"/>
    <x v="9"/>
    <x v="6"/>
  </r>
  <r>
    <x v="1670"/>
    <n v="-8.9"/>
    <x v="3463"/>
    <n v="1038.8800000000001"/>
    <s v="Complete Access"/>
    <x v="682"/>
    <x v="1"/>
    <x v="5"/>
    <d v="1900-01-13T00:00:00"/>
    <n v="20"/>
    <x v="9"/>
    <x v="6"/>
  </r>
  <r>
    <x v="1670"/>
    <n v="-232.61"/>
    <x v="3464"/>
    <n v="806.27"/>
    <s v="Complete Access"/>
    <x v="765"/>
    <x v="12"/>
    <x v="21"/>
    <d v="1900-01-13T00:00:00"/>
    <n v="20"/>
    <x v="9"/>
    <x v="6"/>
  </r>
  <r>
    <x v="1671"/>
    <n v="-7"/>
    <x v="2859"/>
    <n v="1121.78"/>
    <s v="Complete Access"/>
    <x v="61"/>
    <x v="1"/>
    <x v="1"/>
    <d v="1900-01-12T00:00:00"/>
    <n v="20"/>
    <x v="9"/>
    <x v="6"/>
  </r>
  <r>
    <x v="1671"/>
    <n v="-74"/>
    <x v="2543"/>
    <n v="1047.78"/>
    <s v="Complete Access"/>
    <x v="17"/>
    <x v="7"/>
    <x v="11"/>
    <d v="1900-01-12T00:00:00"/>
    <n v="20"/>
    <x v="9"/>
    <x v="6"/>
  </r>
  <r>
    <x v="1672"/>
    <n v="-15"/>
    <x v="3450"/>
    <n v="1128.78"/>
    <s v="Complete Access"/>
    <x v="796"/>
    <x v="20"/>
    <x v="63"/>
    <d v="1900-01-11T00:00:00"/>
    <n v="20"/>
    <x v="9"/>
    <x v="6"/>
  </r>
  <r>
    <x v="1673"/>
    <n v="-629"/>
    <x v="3465"/>
    <n v="272.77999999999997"/>
    <s v="Complete Access"/>
    <x v="798"/>
    <x v="4"/>
    <x v="30"/>
    <d v="1900-01-10T00:00:00"/>
    <n v="19"/>
    <x v="9"/>
    <x v="6"/>
  </r>
  <r>
    <x v="1673"/>
    <n v="-29"/>
    <x v="3466"/>
    <n v="1143.78"/>
    <s v="Complete Access"/>
    <x v="798"/>
    <x v="4"/>
    <x v="30"/>
    <d v="1900-01-10T00:00:00"/>
    <n v="19"/>
    <x v="9"/>
    <x v="6"/>
  </r>
  <r>
    <x v="1673"/>
    <n v="-515"/>
    <x v="3404"/>
    <n v="1053.57"/>
    <s v="Complete Access"/>
    <x v="783"/>
    <x v="19"/>
    <x v="61"/>
    <d v="1900-01-10T00:00:00"/>
    <n v="19"/>
    <x v="9"/>
    <x v="6"/>
  </r>
  <r>
    <x v="1673"/>
    <n v="-25.29"/>
    <x v="3467"/>
    <n v="1028.28"/>
    <s v="Complete Access"/>
    <x v="609"/>
    <x v="1"/>
    <x v="1"/>
    <d v="1900-01-10T00:00:00"/>
    <n v="19"/>
    <x v="9"/>
    <x v="6"/>
  </r>
  <r>
    <x v="1673"/>
    <n v="-15"/>
    <x v="3468"/>
    <n v="998.28"/>
    <s v="Complete Access"/>
    <x v="799"/>
    <x v="4"/>
    <x v="84"/>
    <d v="1900-01-10T00:00:00"/>
    <n v="19"/>
    <x v="9"/>
    <x v="6"/>
  </r>
  <r>
    <x v="1673"/>
    <n v="-15"/>
    <x v="3469"/>
    <n v="1013.28"/>
    <s v="Complete Access"/>
    <x v="800"/>
    <x v="11"/>
    <x v="14"/>
    <d v="1900-01-10T00:00:00"/>
    <n v="19"/>
    <x v="9"/>
    <x v="6"/>
  </r>
  <r>
    <x v="1673"/>
    <n v="-21.5"/>
    <x v="3450"/>
    <n v="901.78"/>
    <s v="Complete Access"/>
    <x v="796"/>
    <x v="20"/>
    <x v="63"/>
    <d v="1900-01-10T00:00:00"/>
    <n v="19"/>
    <x v="9"/>
    <x v="6"/>
  </r>
  <r>
    <x v="1673"/>
    <n v="-100"/>
    <x v="2274"/>
    <n v="1568.57"/>
    <s v="Complete Access"/>
    <x v="552"/>
    <x v="0"/>
    <x v="74"/>
    <d v="1900-01-10T00:00:00"/>
    <n v="19"/>
    <x v="9"/>
    <x v="6"/>
  </r>
  <r>
    <x v="1673"/>
    <n v="900"/>
    <x v="3407"/>
    <n v="1172.78"/>
    <s v="Complete Access"/>
    <x v="0"/>
    <x v="0"/>
    <x v="0"/>
    <d v="1900-01-10T00:00:00"/>
    <n v="19"/>
    <x v="9"/>
    <x v="6"/>
  </r>
  <r>
    <x v="1673"/>
    <n v="-50"/>
    <x v="3470"/>
    <n v="923.28"/>
    <s v="Complete Access"/>
    <x v="782"/>
    <x v="10"/>
    <x v="75"/>
    <d v="1900-01-10T00:00:00"/>
    <n v="19"/>
    <x v="9"/>
    <x v="6"/>
  </r>
  <r>
    <x v="1673"/>
    <n v="-25"/>
    <x v="3471"/>
    <n v="973.28"/>
    <s v="Complete Access"/>
    <x v="34"/>
    <x v="9"/>
    <x v="12"/>
    <d v="1900-01-10T00:00:00"/>
    <n v="19"/>
    <x v="9"/>
    <x v="6"/>
  </r>
  <r>
    <x v="1674"/>
    <n v="-7"/>
    <x v="2859"/>
    <n v="1942.05"/>
    <s v="Complete Access"/>
    <x v="61"/>
    <x v="1"/>
    <x v="1"/>
    <d v="1900-01-09T00:00:00"/>
    <n v="19"/>
    <x v="9"/>
    <x v="6"/>
  </r>
  <r>
    <x v="1674"/>
    <n v="-50"/>
    <x v="3472"/>
    <n v="1707.37"/>
    <s v="Complete Access"/>
    <x v="801"/>
    <x v="8"/>
    <x v="29"/>
    <d v="1900-01-09T00:00:00"/>
    <n v="19"/>
    <x v="9"/>
    <x v="6"/>
  </r>
  <r>
    <x v="1674"/>
    <n v="-9"/>
    <x v="3473"/>
    <n v="1965.01"/>
    <s v="Complete Access"/>
    <x v="682"/>
    <x v="1"/>
    <x v="5"/>
    <d v="1900-01-09T00:00:00"/>
    <n v="19"/>
    <x v="9"/>
    <x v="6"/>
  </r>
  <r>
    <x v="1674"/>
    <n v="-6.98"/>
    <x v="3474"/>
    <n v="1949.05"/>
    <s v="Complete Access"/>
    <x v="802"/>
    <x v="11"/>
    <x v="14"/>
    <d v="1900-01-09T00:00:00"/>
    <n v="19"/>
    <x v="9"/>
    <x v="6"/>
  </r>
  <r>
    <x v="1674"/>
    <n v="-153.68"/>
    <x v="3475"/>
    <n v="1762.37"/>
    <s v="Complete Access"/>
    <x v="803"/>
    <x v="1"/>
    <x v="5"/>
    <d v="1900-01-09T00:00:00"/>
    <n v="19"/>
    <x v="9"/>
    <x v="6"/>
  </r>
  <r>
    <x v="1674"/>
    <n v="-2.5"/>
    <x v="72"/>
    <n v="1704.87"/>
    <s v="Complete Access"/>
    <x v="37"/>
    <x v="0"/>
    <x v="0"/>
    <d v="1900-01-09T00:00:00"/>
    <n v="19"/>
    <x v="9"/>
    <x v="6"/>
  </r>
  <r>
    <x v="1674"/>
    <n v="-6.3"/>
    <x v="3476"/>
    <n v="1668.57"/>
    <s v="Complete Access"/>
    <x v="801"/>
    <x v="8"/>
    <x v="29"/>
    <d v="1900-01-09T00:00:00"/>
    <n v="19"/>
    <x v="9"/>
    <x v="6"/>
  </r>
  <r>
    <x v="1674"/>
    <n v="-7.9"/>
    <x v="3476"/>
    <n v="1674.87"/>
    <s v="Complete Access"/>
    <x v="801"/>
    <x v="8"/>
    <x v="29"/>
    <d v="1900-01-09T00:00:00"/>
    <n v="19"/>
    <x v="9"/>
    <x v="6"/>
  </r>
  <r>
    <x v="1674"/>
    <n v="-22.1"/>
    <x v="3476"/>
    <n v="1682.77"/>
    <s v="Complete Access"/>
    <x v="801"/>
    <x v="8"/>
    <x v="29"/>
    <d v="1900-01-09T00:00:00"/>
    <n v="19"/>
    <x v="9"/>
    <x v="6"/>
  </r>
  <r>
    <x v="1674"/>
    <n v="-5"/>
    <x v="3477"/>
    <n v="1757.37"/>
    <s v="Complete Access"/>
    <x v="804"/>
    <x v="8"/>
    <x v="29"/>
    <d v="1900-01-09T00:00:00"/>
    <n v="19"/>
    <x v="9"/>
    <x v="6"/>
  </r>
  <r>
    <x v="1674"/>
    <n v="-8.98"/>
    <x v="3478"/>
    <n v="1956.03"/>
    <s v="Complete Access"/>
    <x v="587"/>
    <x v="8"/>
    <x v="22"/>
    <d v="1900-01-09T00:00:00"/>
    <n v="19"/>
    <x v="9"/>
    <x v="6"/>
  </r>
  <r>
    <x v="1674"/>
    <n v="-20.8"/>
    <x v="2942"/>
    <n v="1916.05"/>
    <s v="Complete Access"/>
    <x v="681"/>
    <x v="1"/>
    <x v="5"/>
    <d v="1900-01-09T00:00:00"/>
    <n v="19"/>
    <x v="9"/>
    <x v="6"/>
  </r>
  <r>
    <x v="1674"/>
    <n v="-5.2"/>
    <x v="2942"/>
    <n v="1936.85"/>
    <s v="Complete Access"/>
    <x v="681"/>
    <x v="1"/>
    <x v="5"/>
    <d v="1900-01-09T00:00:00"/>
    <n v="19"/>
    <x v="9"/>
    <x v="6"/>
  </r>
  <r>
    <x v="1675"/>
    <n v="-10.35"/>
    <x v="3479"/>
    <n v="2071.31"/>
    <s v="Complete Access"/>
    <x v="27"/>
    <x v="1"/>
    <x v="5"/>
    <d v="1900-01-08T00:00:00"/>
    <n v="19"/>
    <x v="9"/>
    <x v="6"/>
  </r>
  <r>
    <x v="1675"/>
    <n v="-11.4"/>
    <x v="3480"/>
    <n v="2059.91"/>
    <s v="Complete Access"/>
    <x v="47"/>
    <x v="1"/>
    <x v="5"/>
    <d v="1900-01-08T00:00:00"/>
    <n v="19"/>
    <x v="9"/>
    <x v="6"/>
  </r>
  <r>
    <x v="1675"/>
    <n v="-7.5"/>
    <x v="3450"/>
    <n v="2019.41"/>
    <s v="Complete Access"/>
    <x v="796"/>
    <x v="20"/>
    <x v="63"/>
    <d v="1900-01-08T00:00:00"/>
    <n v="19"/>
    <x v="9"/>
    <x v="6"/>
  </r>
  <r>
    <x v="1675"/>
    <n v="-45.4"/>
    <x v="3481"/>
    <n v="1974.01"/>
    <s v="Complete Access"/>
    <x v="741"/>
    <x v="16"/>
    <x v="81"/>
    <d v="1900-01-08T00:00:00"/>
    <n v="19"/>
    <x v="9"/>
    <x v="6"/>
  </r>
  <r>
    <x v="1675"/>
    <n v="-12.5"/>
    <x v="3482"/>
    <n v="2026.91"/>
    <s v="Complete Access"/>
    <x v="1"/>
    <x v="1"/>
    <x v="1"/>
    <d v="1900-01-08T00:00:00"/>
    <n v="19"/>
    <x v="9"/>
    <x v="6"/>
  </r>
  <r>
    <x v="1675"/>
    <n v="-20.5"/>
    <x v="3483"/>
    <n v="2039.41"/>
    <s v="Complete Access"/>
    <x v="186"/>
    <x v="1"/>
    <x v="5"/>
    <d v="1900-01-08T00:00:00"/>
    <n v="19"/>
    <x v="9"/>
    <x v="6"/>
  </r>
  <r>
    <x v="1676"/>
    <n v="1182.25"/>
    <x v="3188"/>
    <n v="2081.66"/>
    <s v="Complete Access"/>
    <x v="14"/>
    <x v="6"/>
    <x v="9"/>
    <d v="1900-01-07T00:00:00"/>
    <n v="19"/>
    <x v="9"/>
    <x v="6"/>
  </r>
  <r>
    <x v="1676"/>
    <n v="-4.08"/>
    <x v="3484"/>
    <n v="899.41"/>
    <s v="Complete Access"/>
    <x v="1"/>
    <x v="1"/>
    <x v="1"/>
    <d v="1900-01-07T00:00:00"/>
    <n v="19"/>
    <x v="9"/>
    <x v="6"/>
  </r>
  <r>
    <x v="1677"/>
    <n v="-7"/>
    <x v="2859"/>
    <n v="926.36"/>
    <s v="Complete Access"/>
    <x v="61"/>
    <x v="1"/>
    <x v="1"/>
    <d v="1900-01-06T00:00:00"/>
    <n v="19"/>
    <x v="9"/>
    <x v="6"/>
  </r>
  <r>
    <x v="1677"/>
    <n v="-12.5"/>
    <x v="3485"/>
    <n v="970"/>
    <s v="Complete Access"/>
    <x v="682"/>
    <x v="1"/>
    <x v="5"/>
    <d v="1900-01-06T00:00:00"/>
    <n v="19"/>
    <x v="9"/>
    <x v="6"/>
  </r>
  <r>
    <x v="1677"/>
    <n v="-27.84"/>
    <x v="3486"/>
    <n v="942.16"/>
    <s v="Complete Access"/>
    <x v="609"/>
    <x v="1"/>
    <x v="1"/>
    <d v="1900-01-06T00:00:00"/>
    <n v="19"/>
    <x v="9"/>
    <x v="6"/>
  </r>
  <r>
    <x v="1677"/>
    <n v="-16.940000000000001"/>
    <x v="3487"/>
    <n v="982.5"/>
    <s v="Complete Access"/>
    <x v="805"/>
    <x v="11"/>
    <x v="14"/>
    <d v="1900-01-06T00:00:00"/>
    <n v="19"/>
    <x v="9"/>
    <x v="6"/>
  </r>
  <r>
    <x v="1677"/>
    <n v="-22.87"/>
    <x v="3441"/>
    <n v="903.49"/>
    <s v="Complete Access"/>
    <x v="177"/>
    <x v="1"/>
    <x v="1"/>
    <d v="1900-01-06T00:00:00"/>
    <n v="19"/>
    <x v="9"/>
    <x v="6"/>
  </r>
  <r>
    <x v="1677"/>
    <n v="-8.8000000000000007"/>
    <x v="3488"/>
    <n v="933.36"/>
    <s v="Complete Access"/>
    <x v="1"/>
    <x v="1"/>
    <x v="1"/>
    <d v="1900-01-06T00:00:00"/>
    <n v="19"/>
    <x v="9"/>
    <x v="6"/>
  </r>
  <r>
    <x v="1678"/>
    <n v="-8.1"/>
    <x v="2859"/>
    <n v="1010.22"/>
    <s v="Complete Access"/>
    <x v="61"/>
    <x v="1"/>
    <x v="1"/>
    <d v="1900-01-05T00:00:00"/>
    <n v="19"/>
    <x v="9"/>
    <x v="6"/>
  </r>
  <r>
    <x v="1678"/>
    <n v="-10.78"/>
    <x v="3441"/>
    <n v="999.44"/>
    <s v="Complete Access"/>
    <x v="177"/>
    <x v="1"/>
    <x v="1"/>
    <d v="1900-01-05T00:00:00"/>
    <n v="19"/>
    <x v="9"/>
    <x v="6"/>
  </r>
  <r>
    <x v="1679"/>
    <n v="-515"/>
    <x v="3404"/>
    <n v="1018.32"/>
    <s v="Complete Access"/>
    <x v="783"/>
    <x v="19"/>
    <x v="61"/>
    <d v="1900-01-03T00:00:00"/>
    <n v="18"/>
    <x v="9"/>
    <x v="6"/>
  </r>
  <r>
    <x v="1679"/>
    <n v="-100"/>
    <x v="2274"/>
    <n v="1533.32"/>
    <s v="Complete Access"/>
    <x v="552"/>
    <x v="0"/>
    <x v="74"/>
    <d v="1900-01-03T00:00:00"/>
    <n v="18"/>
    <x v="9"/>
    <x v="6"/>
  </r>
  <r>
    <x v="1680"/>
    <n v="-7.77"/>
    <x v="2859"/>
    <n v="1633.32"/>
    <s v="Complete Access"/>
    <x v="61"/>
    <x v="1"/>
    <x v="1"/>
    <d v="1900-01-02T00:00:00"/>
    <n v="18"/>
    <x v="9"/>
    <x v="6"/>
  </r>
  <r>
    <x v="1680"/>
    <n v="-11"/>
    <x v="3489"/>
    <n v="1701.09"/>
    <s v="Complete Access"/>
    <x v="682"/>
    <x v="1"/>
    <x v="5"/>
    <d v="1900-01-02T00:00:00"/>
    <n v="18"/>
    <x v="9"/>
    <x v="6"/>
  </r>
  <r>
    <x v="1680"/>
    <n v="-60"/>
    <x v="3490"/>
    <n v="1641.09"/>
    <s v="Complete Access"/>
    <x v="219"/>
    <x v="7"/>
    <x v="53"/>
    <d v="1900-01-02T00:00:00"/>
    <n v="18"/>
    <x v="9"/>
    <x v="6"/>
  </r>
  <r>
    <x v="1681"/>
    <n v="-6"/>
    <x v="2859"/>
    <n v="1712.09"/>
    <s v="Complete Access"/>
    <x v="61"/>
    <x v="1"/>
    <x v="1"/>
    <d v="1900-01-01T00:00:00"/>
    <n v="18"/>
    <x v="9"/>
    <x v="6"/>
  </r>
  <r>
    <x v="1681"/>
    <n v="-20.95"/>
    <x v="3491"/>
    <n v="1771.09"/>
    <s v="Complete Access"/>
    <x v="806"/>
    <x v="20"/>
    <x v="63"/>
    <d v="1900-01-01T00:00:00"/>
    <n v="18"/>
    <x v="9"/>
    <x v="6"/>
  </r>
  <r>
    <x v="1681"/>
    <n v="-12"/>
    <x v="3492"/>
    <n v="1718.09"/>
    <s v="Complete Access"/>
    <x v="242"/>
    <x v="1"/>
    <x v="5"/>
    <d v="1900-01-01T00:00:00"/>
    <n v="18"/>
    <x v="9"/>
    <x v="6"/>
  </r>
  <r>
    <x v="1681"/>
    <n v="-41"/>
    <x v="3493"/>
    <n v="1730.09"/>
    <s v="Complete Access"/>
    <x v="807"/>
    <x v="9"/>
    <x v="39"/>
    <d v="1900-01-01T00:00:00"/>
    <n v="18"/>
    <x v="9"/>
    <x v="6"/>
  </r>
  <r>
    <x v="1682"/>
    <n v="-7"/>
    <x v="2859"/>
    <n v="149.99"/>
    <s v="Complete Access"/>
    <x v="61"/>
    <x v="1"/>
    <x v="1"/>
    <d v="1899-12-31T00:00:00"/>
    <n v="18"/>
    <x v="9"/>
    <x v="6"/>
  </r>
  <r>
    <x v="1682"/>
    <n v="1814.35"/>
    <x v="3188"/>
    <n v="1964.34"/>
    <s v="Complete Access"/>
    <x v="14"/>
    <x v="6"/>
    <x v="9"/>
    <d v="1899-12-31T00:00:00"/>
    <n v="18"/>
    <x v="9"/>
    <x v="6"/>
  </r>
  <r>
    <x v="1682"/>
    <n v="-22.94"/>
    <x v="3494"/>
    <n v="187.81"/>
    <s v="Complete Access"/>
    <x v="805"/>
    <x v="11"/>
    <x v="14"/>
    <d v="1899-12-31T00:00:00"/>
    <n v="18"/>
    <x v="9"/>
    <x v="6"/>
  </r>
  <r>
    <x v="1682"/>
    <n v="-172.3"/>
    <x v="3495"/>
    <n v="1792.04"/>
    <s v="Complete Access"/>
    <x v="76"/>
    <x v="2"/>
    <x v="2"/>
    <d v="1899-12-31T00:00:00"/>
    <n v="18"/>
    <x v="9"/>
    <x v="6"/>
  </r>
  <r>
    <x v="1682"/>
    <n v="-30.82"/>
    <x v="3496"/>
    <n v="156.99"/>
    <s v="Complete Access"/>
    <x v="1"/>
    <x v="1"/>
    <x v="1"/>
    <d v="1899-12-31T00:00:00"/>
    <n v="18"/>
    <x v="9"/>
    <x v="6"/>
  </r>
  <r>
    <x v="1683"/>
    <n v="-7"/>
    <x v="2859"/>
    <n v="260.75"/>
    <s v="Complete Access"/>
    <x v="61"/>
    <x v="1"/>
    <x v="1"/>
    <d v="1900-01-29T00:00:00"/>
    <n v="18"/>
    <x v="10"/>
    <x v="6"/>
  </r>
  <r>
    <x v="1683"/>
    <n v="-50"/>
    <x v="3377"/>
    <n v="210.75"/>
    <s v="Complete Access"/>
    <x v="776"/>
    <x v="5"/>
    <x v="83"/>
    <d v="1900-01-29T00:00:00"/>
    <n v="18"/>
    <x v="10"/>
    <x v="6"/>
  </r>
  <r>
    <x v="1683"/>
    <n v="-7.5"/>
    <x v="3497"/>
    <n v="1270.08"/>
    <s v="Complete Access"/>
    <x v="682"/>
    <x v="1"/>
    <x v="5"/>
    <d v="1900-01-29T00:00:00"/>
    <n v="18"/>
    <x v="10"/>
    <x v="6"/>
  </r>
  <r>
    <x v="1683"/>
    <n v="-317.39"/>
    <x v="3498"/>
    <n v="952.69"/>
    <s v="Complete Access"/>
    <x v="95"/>
    <x v="14"/>
    <x v="38"/>
    <d v="1900-01-29T00:00:00"/>
    <n v="18"/>
    <x v="10"/>
    <x v="6"/>
  </r>
  <r>
    <x v="1683"/>
    <n v="-636.41"/>
    <x v="3499"/>
    <n v="267.75"/>
    <s v="Complete Access"/>
    <x v="93"/>
    <x v="9"/>
    <x v="36"/>
    <d v="1900-01-29T00:00:00"/>
    <n v="18"/>
    <x v="10"/>
    <x v="6"/>
  </r>
  <r>
    <x v="1683"/>
    <n v="-34.630000000000003"/>
    <x v="3500"/>
    <n v="918.06"/>
    <s v="Complete Access"/>
    <x v="1"/>
    <x v="1"/>
    <x v="1"/>
    <d v="1900-01-29T00:00:00"/>
    <n v="18"/>
    <x v="10"/>
    <x v="6"/>
  </r>
  <r>
    <x v="1683"/>
    <n v="-13.9"/>
    <x v="3501"/>
    <n v="904.16"/>
    <s v="Complete Access"/>
    <x v="186"/>
    <x v="1"/>
    <x v="5"/>
    <d v="1900-01-29T00:00:00"/>
    <n v="18"/>
    <x v="10"/>
    <x v="6"/>
  </r>
  <r>
    <x v="1684"/>
    <n v="-7"/>
    <x v="2859"/>
    <n v="1287.0999999999999"/>
    <s v="Complete Access"/>
    <x v="61"/>
    <x v="1"/>
    <x v="1"/>
    <d v="1900-01-28T00:00:00"/>
    <n v="18"/>
    <x v="10"/>
    <x v="6"/>
  </r>
  <r>
    <x v="1684"/>
    <n v="-9.52"/>
    <x v="3441"/>
    <n v="1277.58"/>
    <s v="Complete Access"/>
    <x v="177"/>
    <x v="1"/>
    <x v="1"/>
    <d v="1900-01-28T00:00:00"/>
    <n v="18"/>
    <x v="10"/>
    <x v="6"/>
  </r>
  <r>
    <x v="1685"/>
    <n v="-246.5"/>
    <x v="3502"/>
    <n v="1061.07"/>
    <s v="Complete Access"/>
    <x v="808"/>
    <x v="8"/>
    <x v="22"/>
    <d v="1900-01-26T00:00:00"/>
    <n v="17"/>
    <x v="10"/>
    <x v="6"/>
  </r>
  <r>
    <x v="1685"/>
    <n v="-2.7"/>
    <x v="3503"/>
    <n v="1707.26"/>
    <s v="Complete Access"/>
    <x v="809"/>
    <x v="1"/>
    <x v="5"/>
    <d v="1900-01-26T00:00:00"/>
    <n v="17"/>
    <x v="10"/>
    <x v="6"/>
  </r>
  <r>
    <x v="1685"/>
    <n v="-15.4"/>
    <x v="3503"/>
    <n v="1709.96"/>
    <s v="Complete Access"/>
    <x v="809"/>
    <x v="1"/>
    <x v="5"/>
    <d v="1900-01-26T00:00:00"/>
    <n v="17"/>
    <x v="10"/>
    <x v="6"/>
  </r>
  <r>
    <x v="1685"/>
    <n v="-338.35"/>
    <x v="3504"/>
    <n v="1307.57"/>
    <s v="Complete Access"/>
    <x v="810"/>
    <x v="14"/>
    <x v="66"/>
    <d v="1900-01-26T00:00:00"/>
    <n v="17"/>
    <x v="10"/>
    <x v="6"/>
  </r>
  <r>
    <x v="1685"/>
    <n v="-6.8"/>
    <x v="3505"/>
    <n v="1645.92"/>
    <s v="Complete Access"/>
    <x v="27"/>
    <x v="1"/>
    <x v="5"/>
    <d v="1900-01-26T00:00:00"/>
    <n v="17"/>
    <x v="10"/>
    <x v="6"/>
  </r>
  <r>
    <x v="1685"/>
    <n v="-515"/>
    <x v="3404"/>
    <n v="1762.96"/>
    <s v="Complete Access"/>
    <x v="783"/>
    <x v="19"/>
    <x v="61"/>
    <d v="1900-01-26T00:00:00"/>
    <n v="17"/>
    <x v="10"/>
    <x v="6"/>
  </r>
  <r>
    <x v="1685"/>
    <n v="-19.600000000000001"/>
    <x v="3506"/>
    <n v="1743.36"/>
    <s v="Complete Access"/>
    <x v="609"/>
    <x v="1"/>
    <x v="1"/>
    <d v="1900-01-26T00:00:00"/>
    <n v="17"/>
    <x v="10"/>
    <x v="6"/>
  </r>
  <r>
    <x v="1685"/>
    <n v="-100"/>
    <x v="2274"/>
    <n v="2277.96"/>
    <s v="Complete Access"/>
    <x v="552"/>
    <x v="0"/>
    <x v="74"/>
    <d v="1900-01-26T00:00:00"/>
    <n v="17"/>
    <x v="10"/>
    <x v="6"/>
  </r>
  <r>
    <x v="1685"/>
    <n v="-16.97"/>
    <x v="3441"/>
    <n v="1294.0999999999999"/>
    <s v="Complete Access"/>
    <x v="177"/>
    <x v="1"/>
    <x v="1"/>
    <d v="1900-01-26T00:00:00"/>
    <n v="17"/>
    <x v="10"/>
    <x v="6"/>
  </r>
  <r>
    <x v="1685"/>
    <n v="-9.5"/>
    <x v="3507"/>
    <n v="1725.36"/>
    <s v="Complete Access"/>
    <x v="190"/>
    <x v="8"/>
    <x v="29"/>
    <d v="1900-01-26T00:00:00"/>
    <n v="17"/>
    <x v="10"/>
    <x v="6"/>
  </r>
  <r>
    <x v="1685"/>
    <n v="-8.5"/>
    <x v="3507"/>
    <n v="1734.86"/>
    <s v="Complete Access"/>
    <x v="190"/>
    <x v="8"/>
    <x v="29"/>
    <d v="1900-01-26T00:00:00"/>
    <n v="17"/>
    <x v="10"/>
    <x v="6"/>
  </r>
  <r>
    <x v="1685"/>
    <n v="250"/>
    <x v="3407"/>
    <n v="1311.07"/>
    <s v="Complete Access"/>
    <x v="0"/>
    <x v="0"/>
    <x v="0"/>
    <d v="1900-01-26T00:00:00"/>
    <n v="17"/>
    <x v="10"/>
    <x v="6"/>
  </r>
  <r>
    <x v="1685"/>
    <n v="-9.09"/>
    <x v="3508"/>
    <n v="1652.72"/>
    <s v="Complete Access"/>
    <x v="786"/>
    <x v="8"/>
    <x v="29"/>
    <d v="1900-01-26T00:00:00"/>
    <n v="17"/>
    <x v="10"/>
    <x v="6"/>
  </r>
  <r>
    <x v="1685"/>
    <n v="-18.18"/>
    <x v="3508"/>
    <n v="1661.81"/>
    <s v="Complete Access"/>
    <x v="786"/>
    <x v="8"/>
    <x v="29"/>
    <d v="1900-01-26T00:00:00"/>
    <n v="17"/>
    <x v="10"/>
    <x v="6"/>
  </r>
  <r>
    <x v="1685"/>
    <n v="-18.18"/>
    <x v="3509"/>
    <n v="1679.99"/>
    <s v="Complete Access"/>
    <x v="786"/>
    <x v="8"/>
    <x v="29"/>
    <d v="1900-01-26T00:00:00"/>
    <n v="17"/>
    <x v="10"/>
    <x v="6"/>
  </r>
  <r>
    <x v="1685"/>
    <n v="-9.09"/>
    <x v="3509"/>
    <n v="1698.17"/>
    <s v="Complete Access"/>
    <x v="786"/>
    <x v="8"/>
    <x v="29"/>
    <d v="1900-01-26T00:00:00"/>
    <n v="17"/>
    <x v="10"/>
    <x v="6"/>
  </r>
  <r>
    <x v="1686"/>
    <n v="-7"/>
    <x v="2859"/>
    <n v="2312.36"/>
    <s v="Complete Access"/>
    <x v="61"/>
    <x v="1"/>
    <x v="1"/>
    <d v="1900-01-25T00:00:00"/>
    <n v="17"/>
    <x v="10"/>
    <x v="6"/>
  </r>
  <r>
    <x v="1686"/>
    <n v="150"/>
    <x v="3510"/>
    <n v="2462.36"/>
    <s v="Complete Access"/>
    <x v="811"/>
    <x v="0"/>
    <x v="0"/>
    <d v="1900-01-25T00:00:00"/>
    <n v="17"/>
    <x v="10"/>
    <x v="6"/>
  </r>
  <r>
    <x v="1686"/>
    <n v="-39"/>
    <x v="2494"/>
    <n v="2423.36"/>
    <s v="Complete Access"/>
    <x v="27"/>
    <x v="1"/>
    <x v="5"/>
    <d v="1900-01-25T00:00:00"/>
    <n v="17"/>
    <x v="10"/>
    <x v="6"/>
  </r>
  <r>
    <x v="1686"/>
    <n v="-45.4"/>
    <x v="3511"/>
    <n v="2377.96"/>
    <s v="Complete Access"/>
    <x v="741"/>
    <x v="16"/>
    <x v="81"/>
    <d v="1900-01-25T00:00:00"/>
    <n v="17"/>
    <x v="10"/>
    <x v="6"/>
  </r>
  <r>
    <x v="1687"/>
    <n v="-28.14"/>
    <x v="3512"/>
    <n v="2422.36"/>
    <s v="Complete Access"/>
    <x v="668"/>
    <x v="15"/>
    <x v="34"/>
    <d v="1900-01-24T00:00:00"/>
    <n v="17"/>
    <x v="10"/>
    <x v="6"/>
  </r>
  <r>
    <x v="1687"/>
    <n v="-50"/>
    <x v="3513"/>
    <n v="2319.36"/>
    <s v="Complete Access"/>
    <x v="601"/>
    <x v="0"/>
    <x v="0"/>
    <d v="1900-01-24T00:00:00"/>
    <n v="17"/>
    <x v="10"/>
    <x v="6"/>
  </r>
  <r>
    <x v="1687"/>
    <n v="-50"/>
    <x v="3513"/>
    <n v="2369.36"/>
    <s v="Complete Access"/>
    <x v="601"/>
    <x v="0"/>
    <x v="0"/>
    <d v="1900-01-24T00:00:00"/>
    <n v="17"/>
    <x v="10"/>
    <x v="6"/>
  </r>
  <r>
    <x v="1687"/>
    <n v="-18.98"/>
    <x v="3514"/>
    <n v="2450.5"/>
    <s v="Complete Access"/>
    <x v="774"/>
    <x v="8"/>
    <x v="29"/>
    <d v="1900-01-24T00:00:00"/>
    <n v="17"/>
    <x v="10"/>
    <x v="6"/>
  </r>
  <r>
    <x v="1687"/>
    <n v="-20.170000000000002"/>
    <x v="3515"/>
    <n v="2485.1799999999998"/>
    <s v="Complete Access"/>
    <x v="812"/>
    <x v="20"/>
    <x v="63"/>
    <d v="1900-01-24T00:00:00"/>
    <n v="17"/>
    <x v="10"/>
    <x v="6"/>
  </r>
  <r>
    <x v="1687"/>
    <n v="-15.7"/>
    <x v="3516"/>
    <n v="2469.48"/>
    <s v="Complete Access"/>
    <x v="34"/>
    <x v="9"/>
    <x v="12"/>
    <d v="1900-01-24T00:00:00"/>
    <n v="17"/>
    <x v="10"/>
    <x v="6"/>
  </r>
  <r>
    <x v="1687"/>
    <n v="-3"/>
    <x v="3517"/>
    <n v="2419.36"/>
    <s v="Complete Access"/>
    <x v="34"/>
    <x v="9"/>
    <x v="12"/>
    <d v="1900-01-24T00:00:00"/>
    <n v="17"/>
    <x v="10"/>
    <x v="6"/>
  </r>
  <r>
    <x v="1688"/>
    <n v="-10.97"/>
    <x v="2859"/>
    <n v="2505.35"/>
    <s v="Complete Access"/>
    <x v="61"/>
    <x v="1"/>
    <x v="1"/>
    <d v="1900-01-23T00:00:00"/>
    <n v="17"/>
    <x v="10"/>
    <x v="6"/>
  </r>
  <r>
    <x v="1688"/>
    <n v="-18.7"/>
    <x v="3518"/>
    <n v="2584.4"/>
    <s v="Complete Access"/>
    <x v="813"/>
    <x v="8"/>
    <x v="29"/>
    <d v="1900-01-23T00:00:00"/>
    <n v="17"/>
    <x v="10"/>
    <x v="6"/>
  </r>
  <r>
    <x v="1688"/>
    <n v="-22"/>
    <x v="3518"/>
    <n v="2727.63"/>
    <s v="Complete Access"/>
    <x v="813"/>
    <x v="8"/>
    <x v="29"/>
    <d v="1900-01-23T00:00:00"/>
    <n v="17"/>
    <x v="10"/>
    <x v="6"/>
  </r>
  <r>
    <x v="1688"/>
    <n v="-7.6"/>
    <x v="3518"/>
    <n v="2749.63"/>
    <s v="Complete Access"/>
    <x v="813"/>
    <x v="8"/>
    <x v="29"/>
    <d v="1900-01-23T00:00:00"/>
    <n v="17"/>
    <x v="10"/>
    <x v="6"/>
  </r>
  <r>
    <x v="1688"/>
    <n v="-49"/>
    <x v="3519"/>
    <n v="2827.83"/>
    <s v="Complete Access"/>
    <x v="8"/>
    <x v="1"/>
    <x v="5"/>
    <d v="1900-01-23T00:00:00"/>
    <n v="17"/>
    <x v="10"/>
    <x v="6"/>
  </r>
  <r>
    <x v="1688"/>
    <n v="-40.5"/>
    <x v="3520"/>
    <n v="2516.3200000000002"/>
    <s v="Complete Access"/>
    <x v="8"/>
    <x v="1"/>
    <x v="5"/>
    <d v="1900-01-23T00:00:00"/>
    <n v="17"/>
    <x v="10"/>
    <x v="6"/>
  </r>
  <r>
    <x v="1688"/>
    <n v="-29.9"/>
    <x v="3520"/>
    <n v="2757.23"/>
    <s v="Complete Access"/>
    <x v="8"/>
    <x v="1"/>
    <x v="5"/>
    <d v="1900-01-23T00:00:00"/>
    <n v="17"/>
    <x v="10"/>
    <x v="6"/>
  </r>
  <r>
    <x v="1688"/>
    <n v="-40.700000000000003"/>
    <x v="3521"/>
    <n v="2787.13"/>
    <s v="Complete Access"/>
    <x v="8"/>
    <x v="1"/>
    <x v="5"/>
    <d v="1900-01-23T00:00:00"/>
    <n v="17"/>
    <x v="10"/>
    <x v="6"/>
  </r>
  <r>
    <x v="1688"/>
    <n v="-11.72"/>
    <x v="3522"/>
    <n v="2603.1"/>
    <s v="Complete Access"/>
    <x v="814"/>
    <x v="8"/>
    <x v="29"/>
    <d v="1900-01-23T00:00:00"/>
    <n v="17"/>
    <x v="10"/>
    <x v="6"/>
  </r>
  <r>
    <x v="1688"/>
    <n v="-61.41"/>
    <x v="3522"/>
    <n v="2614.8200000000002"/>
    <s v="Complete Access"/>
    <x v="814"/>
    <x v="8"/>
    <x v="29"/>
    <d v="1900-01-23T00:00:00"/>
    <n v="17"/>
    <x v="10"/>
    <x v="6"/>
  </r>
  <r>
    <x v="1688"/>
    <n v="-11.72"/>
    <x v="3522"/>
    <n v="2676.23"/>
    <s v="Complete Access"/>
    <x v="814"/>
    <x v="8"/>
    <x v="29"/>
    <d v="1900-01-23T00:00:00"/>
    <n v="17"/>
    <x v="10"/>
    <x v="6"/>
  </r>
  <r>
    <x v="1688"/>
    <n v="-11.72"/>
    <x v="3522"/>
    <n v="2687.95"/>
    <s v="Complete Access"/>
    <x v="814"/>
    <x v="8"/>
    <x v="29"/>
    <d v="1900-01-23T00:00:00"/>
    <n v="17"/>
    <x v="10"/>
    <x v="6"/>
  </r>
  <r>
    <x v="1688"/>
    <n v="-11.72"/>
    <x v="3522"/>
    <n v="2699.67"/>
    <s v="Complete Access"/>
    <x v="814"/>
    <x v="8"/>
    <x v="29"/>
    <d v="1900-01-23T00:00:00"/>
    <n v="17"/>
    <x v="10"/>
    <x v="6"/>
  </r>
  <r>
    <x v="1688"/>
    <n v="-10.15"/>
    <x v="3522"/>
    <n v="2711.39"/>
    <s v="Complete Access"/>
    <x v="814"/>
    <x v="8"/>
    <x v="29"/>
    <d v="1900-01-23T00:00:00"/>
    <n v="17"/>
    <x v="10"/>
    <x v="6"/>
  </r>
  <r>
    <x v="1688"/>
    <n v="-6.09"/>
    <x v="3522"/>
    <n v="2721.54"/>
    <s v="Complete Access"/>
    <x v="814"/>
    <x v="8"/>
    <x v="29"/>
    <d v="1900-01-23T00:00:00"/>
    <n v="17"/>
    <x v="10"/>
    <x v="6"/>
  </r>
  <r>
    <x v="1688"/>
    <n v="-27.58"/>
    <x v="3523"/>
    <n v="2556.8200000000002"/>
    <s v="Complete Access"/>
    <x v="609"/>
    <x v="1"/>
    <x v="1"/>
    <d v="1900-01-23T00:00:00"/>
    <n v="17"/>
    <x v="10"/>
    <x v="6"/>
  </r>
  <r>
    <x v="1689"/>
    <n v="-9"/>
    <x v="2859"/>
    <n v="2876.83"/>
    <s v="Complete Access"/>
    <x v="61"/>
    <x v="1"/>
    <x v="1"/>
    <d v="1900-01-22T00:00:00"/>
    <n v="17"/>
    <x v="10"/>
    <x v="6"/>
  </r>
  <r>
    <x v="1690"/>
    <n v="-515"/>
    <x v="3404"/>
    <n v="2885.83"/>
    <s v="Complete Access"/>
    <x v="783"/>
    <x v="19"/>
    <x v="61"/>
    <d v="1900-01-19T00:00:00"/>
    <n v="16"/>
    <x v="10"/>
    <x v="6"/>
  </r>
  <r>
    <x v="1690"/>
    <n v="-100"/>
    <x v="2274"/>
    <n v="3400.83"/>
    <s v="Complete Access"/>
    <x v="552"/>
    <x v="0"/>
    <x v="74"/>
    <d v="1900-01-19T00:00:00"/>
    <n v="16"/>
    <x v="10"/>
    <x v="6"/>
  </r>
  <r>
    <x v="1691"/>
    <n v="-264.05"/>
    <x v="3524"/>
    <n v="3500.83"/>
    <s v="Complete Access"/>
    <x v="810"/>
    <x v="14"/>
    <x v="66"/>
    <d v="1900-01-18T00:00:00"/>
    <n v="16"/>
    <x v="10"/>
    <x v="6"/>
  </r>
  <r>
    <x v="1692"/>
    <n v="-50"/>
    <x v="3525"/>
    <n v="2610.59"/>
    <s v="Complete Access"/>
    <x v="601"/>
    <x v="0"/>
    <x v="0"/>
    <d v="1900-01-16T00:00:00"/>
    <n v="16"/>
    <x v="10"/>
    <x v="6"/>
  </r>
  <r>
    <x v="1692"/>
    <n v="-50"/>
    <x v="3526"/>
    <n v="2668.09"/>
    <s v="Complete Access"/>
    <x v="776"/>
    <x v="5"/>
    <x v="83"/>
    <d v="1900-01-16T00:00:00"/>
    <n v="16"/>
    <x v="10"/>
    <x v="6"/>
  </r>
  <r>
    <x v="1692"/>
    <n v="-66.73"/>
    <x v="3527"/>
    <n v="2744.77"/>
    <s v="Complete Access"/>
    <x v="815"/>
    <x v="4"/>
    <x v="52"/>
    <d v="1900-01-16T00:00:00"/>
    <n v="16"/>
    <x v="10"/>
    <x v="6"/>
  </r>
  <r>
    <x v="1692"/>
    <n v="1182.25"/>
    <x v="3188"/>
    <n v="3764.88"/>
    <s v="Complete Access"/>
    <x v="14"/>
    <x v="6"/>
    <x v="9"/>
    <d v="1900-01-16T00:00:00"/>
    <n v="16"/>
    <x v="10"/>
    <x v="6"/>
  </r>
  <r>
    <x v="1692"/>
    <n v="-2"/>
    <x v="3528"/>
    <n v="2742.77"/>
    <s v="Complete Access"/>
    <x v="10"/>
    <x v="0"/>
    <x v="0"/>
    <d v="1900-01-16T00:00:00"/>
    <n v="16"/>
    <x v="10"/>
    <x v="6"/>
  </r>
  <r>
    <x v="1692"/>
    <n v="-27.96"/>
    <x v="3441"/>
    <n v="2582.63"/>
    <s v="Complete Access"/>
    <x v="177"/>
    <x v="1"/>
    <x v="1"/>
    <d v="1900-01-16T00:00:00"/>
    <n v="16"/>
    <x v="10"/>
    <x v="6"/>
  </r>
  <r>
    <x v="1692"/>
    <n v="-24.68"/>
    <x v="3529"/>
    <n v="2718.09"/>
    <s v="Complete Access"/>
    <x v="1"/>
    <x v="1"/>
    <x v="1"/>
    <d v="1900-01-16T00:00:00"/>
    <n v="16"/>
    <x v="10"/>
    <x v="6"/>
  </r>
  <r>
    <x v="1692"/>
    <n v="-7.5"/>
    <x v="3000"/>
    <n v="2660.59"/>
    <s v="Complete Access"/>
    <x v="687"/>
    <x v="1"/>
    <x v="5"/>
    <d v="1900-01-16T00:00:00"/>
    <n v="16"/>
    <x v="10"/>
    <x v="6"/>
  </r>
  <r>
    <x v="1693"/>
    <n v="-4"/>
    <x v="2859"/>
    <n v="2811.5"/>
    <s v="Complete Access"/>
    <x v="61"/>
    <x v="1"/>
    <x v="1"/>
    <d v="1900-01-15T00:00:00"/>
    <n v="16"/>
    <x v="10"/>
    <x v="6"/>
  </r>
  <r>
    <x v="1693"/>
    <n v="-11"/>
    <x v="3530"/>
    <n v="2839.8"/>
    <s v="Complete Access"/>
    <x v="682"/>
    <x v="1"/>
    <x v="5"/>
    <d v="1900-01-15T00:00:00"/>
    <n v="16"/>
    <x v="10"/>
    <x v="6"/>
  </r>
  <r>
    <x v="1693"/>
    <n v="-27.1"/>
    <x v="3531"/>
    <n v="2850.8"/>
    <s v="Complete Access"/>
    <x v="816"/>
    <x v="8"/>
    <x v="22"/>
    <d v="1900-01-15T00:00:00"/>
    <n v="16"/>
    <x v="10"/>
    <x v="6"/>
  </r>
  <r>
    <x v="1693"/>
    <n v="-10.4"/>
    <x v="3532"/>
    <n v="2815.5"/>
    <s v="Complete Access"/>
    <x v="1"/>
    <x v="1"/>
    <x v="1"/>
    <d v="1900-01-15T00:00:00"/>
    <n v="16"/>
    <x v="10"/>
    <x v="6"/>
  </r>
  <r>
    <x v="1693"/>
    <n v="-13.9"/>
    <x v="3533"/>
    <n v="2825.9"/>
    <s v="Complete Access"/>
    <x v="186"/>
    <x v="1"/>
    <x v="5"/>
    <d v="1900-01-15T00:00:00"/>
    <n v="16"/>
    <x v="10"/>
    <x v="6"/>
  </r>
  <r>
    <x v="1694"/>
    <n v="250"/>
    <x v="3534"/>
    <n v="2877.9"/>
    <s v="Complete Access"/>
    <x v="817"/>
    <x v="18"/>
    <x v="80"/>
    <d v="1900-01-14T00:00:00"/>
    <n v="16"/>
    <x v="10"/>
    <x v="6"/>
  </r>
  <r>
    <x v="1695"/>
    <n v="-515"/>
    <x v="3404"/>
    <n v="2627.9"/>
    <s v="Complete Access"/>
    <x v="783"/>
    <x v="19"/>
    <x v="61"/>
    <d v="1900-01-12T00:00:00"/>
    <n v="15"/>
    <x v="10"/>
    <x v="6"/>
  </r>
  <r>
    <x v="1695"/>
    <n v="-100"/>
    <x v="2274"/>
    <n v="3142.9"/>
    <s v="Complete Access"/>
    <x v="552"/>
    <x v="0"/>
    <x v="74"/>
    <d v="1900-01-12T00:00:00"/>
    <n v="15"/>
    <x v="10"/>
    <x v="6"/>
  </r>
  <r>
    <x v="1696"/>
    <n v="1182.25"/>
    <x v="3188"/>
    <n v="3242.9"/>
    <s v="Complete Access"/>
    <x v="14"/>
    <x v="6"/>
    <x v="9"/>
    <d v="1900-01-11T00:00:00"/>
    <n v="15"/>
    <x v="10"/>
    <x v="6"/>
  </r>
  <r>
    <x v="1696"/>
    <n v="-31.79"/>
    <x v="3441"/>
    <n v="2060.65"/>
    <s v="Complete Access"/>
    <x v="177"/>
    <x v="1"/>
    <x v="1"/>
    <d v="1900-01-11T00:00:00"/>
    <n v="15"/>
    <x v="10"/>
    <x v="6"/>
  </r>
  <r>
    <x v="1696"/>
    <n v="-12.5"/>
    <x v="3535"/>
    <n v="2092.44"/>
    <s v="Complete Access"/>
    <x v="186"/>
    <x v="1"/>
    <x v="5"/>
    <d v="1900-01-11T00:00:00"/>
    <n v="15"/>
    <x v="10"/>
    <x v="6"/>
  </r>
  <r>
    <x v="1697"/>
    <n v="-9.6"/>
    <x v="3536"/>
    <n v="2191.73"/>
    <s v="Complete Access"/>
    <x v="27"/>
    <x v="1"/>
    <x v="5"/>
    <d v="1900-01-10T00:00:00"/>
    <n v="15"/>
    <x v="10"/>
    <x v="6"/>
  </r>
  <r>
    <x v="1697"/>
    <n v="-25.9"/>
    <x v="3537"/>
    <n v="2165.83"/>
    <s v="Complete Access"/>
    <x v="260"/>
    <x v="1"/>
    <x v="5"/>
    <d v="1900-01-10T00:00:00"/>
    <n v="15"/>
    <x v="10"/>
    <x v="6"/>
  </r>
  <r>
    <x v="1697"/>
    <n v="-45.4"/>
    <x v="3538"/>
    <n v="2104.94"/>
    <s v="Complete Access"/>
    <x v="741"/>
    <x v="16"/>
    <x v="81"/>
    <d v="1900-01-10T00:00:00"/>
    <n v="15"/>
    <x v="10"/>
    <x v="6"/>
  </r>
  <r>
    <x v="1697"/>
    <n v="-15.49"/>
    <x v="3539"/>
    <n v="2150.34"/>
    <s v="Complete Access"/>
    <x v="1"/>
    <x v="1"/>
    <x v="1"/>
    <d v="1900-01-10T00:00:00"/>
    <n v="15"/>
    <x v="10"/>
    <x v="6"/>
  </r>
  <r>
    <x v="1698"/>
    <n v="-6"/>
    <x v="2859"/>
    <n v="2298.2800000000002"/>
    <s v="Complete Access"/>
    <x v="61"/>
    <x v="1"/>
    <x v="1"/>
    <d v="1900-01-09T00:00:00"/>
    <n v="15"/>
    <x v="10"/>
    <x v="6"/>
  </r>
  <r>
    <x v="1698"/>
    <n v="-23.45"/>
    <x v="3441"/>
    <n v="2274.83"/>
    <s v="Complete Access"/>
    <x v="177"/>
    <x v="1"/>
    <x v="1"/>
    <d v="1900-01-09T00:00:00"/>
    <n v="15"/>
    <x v="10"/>
    <x v="6"/>
  </r>
  <r>
    <x v="1698"/>
    <n v="-73.5"/>
    <x v="2543"/>
    <n v="2201.33"/>
    <s v="Complete Access"/>
    <x v="17"/>
    <x v="7"/>
    <x v="11"/>
    <d v="1900-01-09T00:00:00"/>
    <n v="15"/>
    <x v="10"/>
    <x v="6"/>
  </r>
  <r>
    <x v="1699"/>
    <n v="-43"/>
    <x v="3540"/>
    <n v="2399.13"/>
    <s v="Complete Access"/>
    <x v="8"/>
    <x v="1"/>
    <x v="5"/>
    <d v="1900-01-08T00:00:00"/>
    <n v="15"/>
    <x v="10"/>
    <x v="6"/>
  </r>
  <r>
    <x v="1699"/>
    <n v="-25.15"/>
    <x v="3541"/>
    <n v="2373.98"/>
    <s v="Complete Access"/>
    <x v="609"/>
    <x v="1"/>
    <x v="1"/>
    <d v="1900-01-08T00:00:00"/>
    <n v="15"/>
    <x v="10"/>
    <x v="6"/>
  </r>
  <r>
    <x v="1699"/>
    <n v="-43.9"/>
    <x v="3542"/>
    <n v="2309.2800000000002"/>
    <s v="Complete Access"/>
    <x v="684"/>
    <x v="3"/>
    <x v="60"/>
    <d v="1900-01-08T00:00:00"/>
    <n v="15"/>
    <x v="10"/>
    <x v="6"/>
  </r>
  <r>
    <x v="1699"/>
    <n v="-5"/>
    <x v="3543"/>
    <n v="2304.2800000000002"/>
    <s v="Complete Access"/>
    <x v="818"/>
    <x v="11"/>
    <x v="49"/>
    <d v="1900-01-08T00:00:00"/>
    <n v="15"/>
    <x v="10"/>
    <x v="6"/>
  </r>
  <r>
    <x v="1699"/>
    <n v="-20.8"/>
    <x v="3544"/>
    <n v="2353.1799999999998"/>
    <s v="Complete Access"/>
    <x v="186"/>
    <x v="1"/>
    <x v="5"/>
    <d v="1900-01-08T00:00:00"/>
    <n v="15"/>
    <x v="10"/>
    <x v="6"/>
  </r>
  <r>
    <x v="1700"/>
    <n v="-20"/>
    <x v="2970"/>
    <n v="2464.7800000000002"/>
    <s v="Complete Access"/>
    <x v="601"/>
    <x v="0"/>
    <x v="0"/>
    <d v="1900-01-07T00:00:00"/>
    <n v="15"/>
    <x v="10"/>
    <x v="6"/>
  </r>
  <r>
    <x v="1700"/>
    <n v="-22.65"/>
    <x v="3545"/>
    <n v="2442.13"/>
    <s v="Complete Access"/>
    <x v="4"/>
    <x v="1"/>
    <x v="1"/>
    <d v="1900-01-07T00:00:00"/>
    <n v="15"/>
    <x v="10"/>
    <x v="6"/>
  </r>
  <r>
    <x v="1701"/>
    <n v="-515"/>
    <x v="3404"/>
    <n v="2484.7800000000002"/>
    <s v="Complete Access"/>
    <x v="783"/>
    <x v="19"/>
    <x v="61"/>
    <d v="1900-01-05T00:00:00"/>
    <n v="14"/>
    <x v="10"/>
    <x v="6"/>
  </r>
  <r>
    <x v="1701"/>
    <n v="-100"/>
    <x v="2274"/>
    <n v="2999.78"/>
    <s v="Complete Access"/>
    <x v="552"/>
    <x v="0"/>
    <x v="74"/>
    <d v="1900-01-05T00:00:00"/>
    <n v="14"/>
    <x v="10"/>
    <x v="6"/>
  </r>
  <r>
    <x v="1701"/>
    <n v="-13.5"/>
    <x v="3546"/>
    <n v="3099.78"/>
    <s v="Complete Access"/>
    <x v="186"/>
    <x v="1"/>
    <x v="5"/>
    <d v="1900-01-05T00:00:00"/>
    <n v="14"/>
    <x v="10"/>
    <x v="6"/>
  </r>
  <r>
    <x v="1702"/>
    <n v="-10.41"/>
    <x v="2859"/>
    <n v="3113.28"/>
    <s v="Complete Access"/>
    <x v="61"/>
    <x v="1"/>
    <x v="1"/>
    <d v="1900-01-04T00:00:00"/>
    <n v="14"/>
    <x v="10"/>
    <x v="6"/>
  </r>
  <r>
    <x v="1702"/>
    <n v="-50"/>
    <x v="3547"/>
    <n v="3123.69"/>
    <s v="Complete Access"/>
    <x v="819"/>
    <x v="5"/>
    <x v="83"/>
    <d v="1900-01-04T00:00:00"/>
    <n v="14"/>
    <x v="10"/>
    <x v="6"/>
  </r>
  <r>
    <x v="1703"/>
    <n v="-43.38"/>
    <x v="3548"/>
    <n v="3307.98"/>
    <s v="Complete Access"/>
    <x v="820"/>
    <x v="8"/>
    <x v="29"/>
    <d v="1900-01-03T00:00:00"/>
    <n v="14"/>
    <x v="10"/>
    <x v="6"/>
  </r>
  <r>
    <x v="1703"/>
    <n v="-39.049999999999997"/>
    <x v="3548"/>
    <n v="3351.36"/>
    <s v="Complete Access"/>
    <x v="820"/>
    <x v="8"/>
    <x v="29"/>
    <d v="1900-01-03T00:00:00"/>
    <n v="14"/>
    <x v="10"/>
    <x v="6"/>
  </r>
  <r>
    <x v="1703"/>
    <n v="-58.58"/>
    <x v="3548"/>
    <n v="3390.41"/>
    <s v="Complete Access"/>
    <x v="820"/>
    <x v="8"/>
    <x v="29"/>
    <d v="1900-01-03T00:00:00"/>
    <n v="14"/>
    <x v="10"/>
    <x v="6"/>
  </r>
  <r>
    <x v="1703"/>
    <n v="-19.53"/>
    <x v="3548"/>
    <n v="3448.99"/>
    <s v="Complete Access"/>
    <x v="820"/>
    <x v="8"/>
    <x v="29"/>
    <d v="1900-01-03T00:00:00"/>
    <n v="14"/>
    <x v="10"/>
    <x v="6"/>
  </r>
  <r>
    <x v="1703"/>
    <n v="-93.4"/>
    <x v="3549"/>
    <n v="3173.69"/>
    <s v="Complete Access"/>
    <x v="821"/>
    <x v="1"/>
    <x v="5"/>
    <d v="1900-01-03T00:00:00"/>
    <n v="14"/>
    <x v="10"/>
    <x v="6"/>
  </r>
  <r>
    <x v="1703"/>
    <n v="-44.31"/>
    <x v="3550"/>
    <n v="3468.52"/>
    <s v="Complete Access"/>
    <x v="237"/>
    <x v="15"/>
    <x v="34"/>
    <d v="1900-01-03T00:00:00"/>
    <n v="14"/>
    <x v="10"/>
    <x v="6"/>
  </r>
  <r>
    <x v="1703"/>
    <n v="-40.89"/>
    <x v="3551"/>
    <n v="3267.09"/>
    <s v="Complete Access"/>
    <x v="1"/>
    <x v="1"/>
    <x v="1"/>
    <d v="1900-01-03T00:00:00"/>
    <n v="14"/>
    <x v="10"/>
    <x v="6"/>
  </r>
  <r>
    <x v="1704"/>
    <n v="-41.5"/>
    <x v="3552"/>
    <n v="2406.58"/>
    <s v="Complete Access"/>
    <x v="8"/>
    <x v="1"/>
    <x v="5"/>
    <d v="1900-01-02T00:00:00"/>
    <n v="14"/>
    <x v="10"/>
    <x v="6"/>
  </r>
  <r>
    <x v="1704"/>
    <n v="-50"/>
    <x v="3553"/>
    <n v="2448.08"/>
    <s v="Complete Access"/>
    <x v="8"/>
    <x v="1"/>
    <x v="5"/>
    <d v="1900-01-02T00:00:00"/>
    <n v="14"/>
    <x v="10"/>
    <x v="6"/>
  </r>
  <r>
    <x v="1704"/>
    <n v="1182.25"/>
    <x v="3188"/>
    <n v="3512.83"/>
    <s v="Complete Access"/>
    <x v="14"/>
    <x v="6"/>
    <x v="9"/>
    <d v="1900-01-02T00:00:00"/>
    <n v="14"/>
    <x v="10"/>
    <x v="6"/>
  </r>
  <r>
    <x v="1704"/>
    <n v="-14"/>
    <x v="3554"/>
    <n v="2332.58"/>
    <s v="Complete Access"/>
    <x v="186"/>
    <x v="1"/>
    <x v="5"/>
    <d v="1900-01-02T00:00:00"/>
    <n v="14"/>
    <x v="10"/>
    <x v="6"/>
  </r>
  <r>
    <x v="1704"/>
    <n v="-60"/>
    <x v="3555"/>
    <n v="2346.58"/>
    <s v="Complete Access"/>
    <x v="219"/>
    <x v="7"/>
    <x v="53"/>
    <d v="1900-01-02T00:00:00"/>
    <n v="14"/>
    <x v="10"/>
    <x v="6"/>
  </r>
  <r>
    <x v="1704"/>
    <n v="-2"/>
    <x v="3556"/>
    <n v="2330.58"/>
    <s v="Complete Access"/>
    <x v="34"/>
    <x v="9"/>
    <x v="12"/>
    <d v="1900-01-02T00:00:00"/>
    <n v="14"/>
    <x v="10"/>
    <x v="6"/>
  </r>
  <r>
    <x v="1705"/>
    <n v="50"/>
    <x v="3557"/>
    <n v="2500.58"/>
    <s v="Complete Access"/>
    <x v="822"/>
    <x v="9"/>
    <x v="12"/>
    <d v="1900-01-01T00:00:00"/>
    <n v="14"/>
    <x v="10"/>
    <x v="6"/>
  </r>
  <r>
    <x v="1705"/>
    <n v="-12"/>
    <x v="3558"/>
    <n v="2450.58"/>
    <s v="Complete Access"/>
    <x v="823"/>
    <x v="8"/>
    <x v="29"/>
    <d v="1900-01-01T00:00:00"/>
    <n v="14"/>
    <x v="10"/>
    <x v="6"/>
  </r>
  <r>
    <x v="1705"/>
    <n v="-2.5"/>
    <x v="2979"/>
    <n v="2498.08"/>
    <s v="Complete Access"/>
    <x v="685"/>
    <x v="20"/>
    <x v="63"/>
    <d v="1900-01-01T00:00:00"/>
    <n v="14"/>
    <x v="10"/>
    <x v="6"/>
  </r>
  <r>
    <x v="1706"/>
    <n v="-172.3"/>
    <x v="3559"/>
    <n v="2462.58"/>
    <s v="Complete Access"/>
    <x v="76"/>
    <x v="2"/>
    <x v="2"/>
    <d v="1899-12-31T00:00:00"/>
    <n v="14"/>
    <x v="10"/>
    <x v="6"/>
  </r>
  <r>
    <x v="1707"/>
    <n v="-11.4"/>
    <x v="3560"/>
    <n v="2634.88"/>
    <s v="Complete Access"/>
    <x v="91"/>
    <x v="9"/>
    <x v="12"/>
    <d v="1900-01-30T00:00:00"/>
    <n v="14"/>
    <x v="11"/>
    <x v="6"/>
  </r>
  <r>
    <x v="1708"/>
    <n v="-515"/>
    <x v="3404"/>
    <n v="2693.18"/>
    <s v="Complete Access"/>
    <x v="783"/>
    <x v="19"/>
    <x v="61"/>
    <d v="1900-01-29T00:00:00"/>
    <n v="13"/>
    <x v="11"/>
    <x v="6"/>
  </r>
  <r>
    <x v="1708"/>
    <n v="-100"/>
    <x v="2274"/>
    <n v="3208.18"/>
    <s v="Complete Access"/>
    <x v="552"/>
    <x v="0"/>
    <x v="74"/>
    <d v="1900-01-29T00:00:00"/>
    <n v="13"/>
    <x v="11"/>
    <x v="6"/>
  </r>
  <r>
    <x v="1708"/>
    <n v="-31.67"/>
    <x v="3561"/>
    <n v="3322.68"/>
    <s v="Complete Access"/>
    <x v="1"/>
    <x v="1"/>
    <x v="1"/>
    <d v="1900-01-29T00:00:00"/>
    <n v="13"/>
    <x v="11"/>
    <x v="6"/>
  </r>
  <r>
    <x v="1708"/>
    <n v="-19"/>
    <x v="3562"/>
    <n v="2646.28"/>
    <s v="Complete Access"/>
    <x v="824"/>
    <x v="8"/>
    <x v="29"/>
    <d v="1900-01-29T00:00:00"/>
    <n v="13"/>
    <x v="11"/>
    <x v="6"/>
  </r>
  <r>
    <x v="1708"/>
    <n v="-27.9"/>
    <x v="3562"/>
    <n v="2665.28"/>
    <s v="Complete Access"/>
    <x v="824"/>
    <x v="8"/>
    <x v="29"/>
    <d v="1900-01-29T00:00:00"/>
    <n v="13"/>
    <x v="11"/>
    <x v="6"/>
  </r>
  <r>
    <x v="1708"/>
    <n v="-14.5"/>
    <x v="3563"/>
    <n v="3308.18"/>
    <s v="Complete Access"/>
    <x v="186"/>
    <x v="1"/>
    <x v="5"/>
    <d v="1900-01-29T00:00:00"/>
    <n v="13"/>
    <x v="11"/>
    <x v="6"/>
  </r>
  <r>
    <x v="1709"/>
    <n v="-7.1"/>
    <x v="2859"/>
    <n v="3534.8"/>
    <s v="Complete Access"/>
    <x v="61"/>
    <x v="1"/>
    <x v="1"/>
    <d v="1900-01-28T00:00:00"/>
    <n v="13"/>
    <x v="11"/>
    <x v="6"/>
  </r>
  <r>
    <x v="1709"/>
    <n v="-43"/>
    <x v="3564"/>
    <n v="3556.4"/>
    <s v="Complete Access"/>
    <x v="8"/>
    <x v="1"/>
    <x v="5"/>
    <d v="1900-01-28T00:00:00"/>
    <n v="13"/>
    <x v="11"/>
    <x v="6"/>
  </r>
  <r>
    <x v="1709"/>
    <n v="-50"/>
    <x v="3565"/>
    <n v="3354.35"/>
    <s v="Complete Access"/>
    <x v="822"/>
    <x v="9"/>
    <x v="12"/>
    <d v="1900-01-28T00:00:00"/>
    <n v="13"/>
    <x v="11"/>
    <x v="6"/>
  </r>
  <r>
    <x v="1709"/>
    <n v="-12.95"/>
    <x v="3566"/>
    <n v="3514.35"/>
    <s v="Complete Access"/>
    <x v="825"/>
    <x v="11"/>
    <x v="14"/>
    <d v="1900-01-28T00:00:00"/>
    <n v="13"/>
    <x v="11"/>
    <x v="6"/>
  </r>
  <r>
    <x v="1709"/>
    <n v="-110"/>
    <x v="2929"/>
    <n v="3404.35"/>
    <s v="Complete Access"/>
    <x v="645"/>
    <x v="0"/>
    <x v="69"/>
    <d v="1900-01-28T00:00:00"/>
    <n v="13"/>
    <x v="11"/>
    <x v="6"/>
  </r>
  <r>
    <x v="1709"/>
    <n v="-14.5"/>
    <x v="3567"/>
    <n v="3541.9"/>
    <s v="Complete Access"/>
    <x v="186"/>
    <x v="1"/>
    <x v="5"/>
    <d v="1900-01-28T00:00:00"/>
    <n v="13"/>
    <x v="11"/>
    <x v="6"/>
  </r>
  <r>
    <x v="1709"/>
    <n v="-7.5"/>
    <x v="3000"/>
    <n v="3527.3"/>
    <s v="Complete Access"/>
    <x v="687"/>
    <x v="1"/>
    <x v="5"/>
    <d v="1900-01-28T00:00:00"/>
    <n v="13"/>
    <x v="11"/>
    <x v="6"/>
  </r>
  <r>
    <x v="1710"/>
    <n v="-1.56"/>
    <x v="2859"/>
    <n v="3774.8"/>
    <s v="Complete Access"/>
    <x v="61"/>
    <x v="1"/>
    <x v="1"/>
    <d v="1900-01-27T00:00:00"/>
    <n v="13"/>
    <x v="11"/>
    <x v="6"/>
  </r>
  <r>
    <x v="1710"/>
    <n v="-49.75"/>
    <x v="3568"/>
    <n v="3776.36"/>
    <s v="Complete Access"/>
    <x v="609"/>
    <x v="1"/>
    <x v="1"/>
    <d v="1900-01-27T00:00:00"/>
    <n v="13"/>
    <x v="11"/>
    <x v="6"/>
  </r>
  <r>
    <x v="1710"/>
    <n v="-175.4"/>
    <x v="3569"/>
    <n v="3599.4"/>
    <s v="Complete Access"/>
    <x v="741"/>
    <x v="16"/>
    <x v="81"/>
    <d v="1900-01-27T00:00:00"/>
    <n v="13"/>
    <x v="11"/>
    <x v="6"/>
  </r>
  <r>
    <x v="1711"/>
    <n v="-43"/>
    <x v="3570"/>
    <n v="2688.16"/>
    <s v="Complete Access"/>
    <x v="8"/>
    <x v="1"/>
    <x v="5"/>
    <d v="1900-01-26T00:00:00"/>
    <n v="13"/>
    <x v="11"/>
    <x v="6"/>
  </r>
  <r>
    <x v="1711"/>
    <n v="1182.25"/>
    <x v="3188"/>
    <n v="3826.11"/>
    <s v="Complete Access"/>
    <x v="14"/>
    <x v="6"/>
    <x v="9"/>
    <d v="1900-01-26T00:00:00"/>
    <n v="13"/>
    <x v="11"/>
    <x v="6"/>
  </r>
  <r>
    <x v="1711"/>
    <n v="-31.5"/>
    <x v="3571"/>
    <n v="2656.66"/>
    <s v="Complete Access"/>
    <x v="826"/>
    <x v="8"/>
    <x v="29"/>
    <d v="1900-01-26T00:00:00"/>
    <n v="13"/>
    <x v="11"/>
    <x v="6"/>
  </r>
  <r>
    <x v="1711"/>
    <n v="-31.88"/>
    <x v="3572"/>
    <n v="2731.16"/>
    <s v="Complete Access"/>
    <x v="617"/>
    <x v="4"/>
    <x v="73"/>
    <d v="1900-01-26T00:00:00"/>
    <n v="13"/>
    <x v="11"/>
    <x v="6"/>
  </r>
  <r>
    <x v="1711"/>
    <n v="-12.8"/>
    <x v="3573"/>
    <n v="2643.86"/>
    <s v="Complete Access"/>
    <x v="34"/>
    <x v="9"/>
    <x v="12"/>
    <d v="1900-01-26T00:00:00"/>
    <n v="13"/>
    <x v="11"/>
    <x v="6"/>
  </r>
  <r>
    <x v="1712"/>
    <n v="-50"/>
    <x v="3547"/>
    <n v="2723.04"/>
    <s v="Complete Access"/>
    <x v="819"/>
    <x v="5"/>
    <x v="83"/>
    <d v="1900-01-25T00:00:00"/>
    <n v="13"/>
    <x v="11"/>
    <x v="6"/>
  </r>
  <r>
    <x v="1712"/>
    <n v="40"/>
    <x v="3024"/>
    <n v="2763.04"/>
    <s v="Complete Access"/>
    <x v="27"/>
    <x v="1"/>
    <x v="5"/>
    <d v="1900-01-25T00:00:00"/>
    <n v="13"/>
    <x v="11"/>
    <x v="6"/>
  </r>
  <r>
    <x v="1712"/>
    <n v="-7.9"/>
    <x v="3000"/>
    <n v="2773.04"/>
    <s v="Complete Access"/>
    <x v="687"/>
    <x v="1"/>
    <x v="5"/>
    <d v="1900-01-25T00:00:00"/>
    <n v="13"/>
    <x v="11"/>
    <x v="6"/>
  </r>
  <r>
    <x v="1713"/>
    <n v="-2.08"/>
    <x v="2859"/>
    <n v="2805.99"/>
    <s v="Complete Access"/>
    <x v="61"/>
    <x v="1"/>
    <x v="1"/>
    <d v="1900-01-24T00:00:00"/>
    <n v="13"/>
    <x v="11"/>
    <x v="6"/>
  </r>
  <r>
    <x v="1713"/>
    <n v="-11.55"/>
    <x v="3441"/>
    <n v="2780.94"/>
    <s v="Complete Access"/>
    <x v="177"/>
    <x v="1"/>
    <x v="1"/>
    <d v="1900-01-24T00:00:00"/>
    <n v="13"/>
    <x v="11"/>
    <x v="6"/>
  </r>
  <r>
    <x v="1713"/>
    <n v="-13.5"/>
    <x v="3000"/>
    <n v="2792.49"/>
    <s v="Complete Access"/>
    <x v="687"/>
    <x v="1"/>
    <x v="5"/>
    <d v="1900-01-24T00:00:00"/>
    <n v="13"/>
    <x v="11"/>
    <x v="6"/>
  </r>
  <r>
    <x v="1714"/>
    <n v="-515"/>
    <x v="3404"/>
    <n v="2808.07"/>
    <s v="Complete Access"/>
    <x v="783"/>
    <x v="19"/>
    <x v="61"/>
    <d v="1900-01-22T00:00:00"/>
    <n v="12"/>
    <x v="11"/>
    <x v="6"/>
  </r>
  <r>
    <x v="1714"/>
    <n v="-100"/>
    <x v="2274"/>
    <n v="3323.07"/>
    <s v="Complete Access"/>
    <x v="552"/>
    <x v="0"/>
    <x v="74"/>
    <d v="1900-01-22T00:00:00"/>
    <n v="12"/>
    <x v="11"/>
    <x v="6"/>
  </r>
  <r>
    <x v="1715"/>
    <n v="-50"/>
    <x v="3403"/>
    <n v="3423.07"/>
    <s v="Complete Access"/>
    <x v="601"/>
    <x v="0"/>
    <x v="0"/>
    <d v="1900-01-20T00:00:00"/>
    <n v="12"/>
    <x v="11"/>
    <x v="6"/>
  </r>
  <r>
    <x v="1715"/>
    <n v="-22.5"/>
    <x v="3574"/>
    <n v="3473.07"/>
    <s v="Complete Access"/>
    <x v="826"/>
    <x v="8"/>
    <x v="29"/>
    <d v="1900-01-20T00:00:00"/>
    <n v="12"/>
    <x v="11"/>
    <x v="6"/>
  </r>
  <r>
    <x v="1715"/>
    <n v="-22.5"/>
    <x v="3574"/>
    <n v="3495.57"/>
    <s v="Complete Access"/>
    <x v="826"/>
    <x v="8"/>
    <x v="29"/>
    <d v="1900-01-20T00:00:00"/>
    <n v="12"/>
    <x v="11"/>
    <x v="6"/>
  </r>
  <r>
    <x v="1716"/>
    <n v="-31"/>
    <x v="3575"/>
    <n v="2342.7199999999998"/>
    <s v="Complete Access"/>
    <x v="8"/>
    <x v="1"/>
    <x v="5"/>
    <d v="1900-01-19T00:00:00"/>
    <n v="12"/>
    <x v="11"/>
    <x v="6"/>
  </r>
  <r>
    <x v="1716"/>
    <n v="1182.25"/>
    <x v="3188"/>
    <n v="3518.07"/>
    <s v="Complete Access"/>
    <x v="14"/>
    <x v="6"/>
    <x v="9"/>
    <d v="1900-01-19T00:00:00"/>
    <n v="12"/>
    <x v="11"/>
    <x v="6"/>
  </r>
  <r>
    <x v="1716"/>
    <n v="-6.9"/>
    <x v="3000"/>
    <n v="2335.8200000000002"/>
    <s v="Complete Access"/>
    <x v="687"/>
    <x v="1"/>
    <x v="5"/>
    <d v="1900-01-19T00:00:00"/>
    <n v="12"/>
    <x v="11"/>
    <x v="6"/>
  </r>
  <r>
    <x v="1717"/>
    <n v="-21.19"/>
    <x v="3441"/>
    <n v="2373.7199999999998"/>
    <s v="Complete Access"/>
    <x v="177"/>
    <x v="1"/>
    <x v="1"/>
    <d v="1900-01-18T00:00:00"/>
    <n v="12"/>
    <x v="11"/>
    <x v="6"/>
  </r>
  <r>
    <x v="1717"/>
    <n v="-15"/>
    <x v="3576"/>
    <n v="2402.81"/>
    <s v="Complete Access"/>
    <x v="186"/>
    <x v="1"/>
    <x v="5"/>
    <d v="1900-01-18T00:00:00"/>
    <n v="12"/>
    <x v="11"/>
    <x v="6"/>
  </r>
  <r>
    <x v="1717"/>
    <n v="-7.9"/>
    <x v="3000"/>
    <n v="2394.91"/>
    <s v="Complete Access"/>
    <x v="687"/>
    <x v="1"/>
    <x v="5"/>
    <d v="1900-01-18T00:00:00"/>
    <n v="12"/>
    <x v="11"/>
    <x v="6"/>
  </r>
  <r>
    <x v="1718"/>
    <n v="-45.09"/>
    <x v="3441"/>
    <n v="2417.81"/>
    <s v="Complete Access"/>
    <x v="177"/>
    <x v="1"/>
    <x v="1"/>
    <d v="1900-01-16T00:00:00"/>
    <n v="12"/>
    <x v="11"/>
    <x v="6"/>
  </r>
  <r>
    <x v="1719"/>
    <n v="-515"/>
    <x v="3404"/>
    <n v="2462.9"/>
    <s v="Complete Access"/>
    <x v="783"/>
    <x v="19"/>
    <x v="61"/>
    <d v="1900-01-15T00:00:00"/>
    <n v="11"/>
    <x v="11"/>
    <x v="6"/>
  </r>
  <r>
    <x v="1719"/>
    <n v="-100"/>
    <x v="2274"/>
    <n v="2977.9"/>
    <s v="Complete Access"/>
    <x v="552"/>
    <x v="0"/>
    <x v="74"/>
    <d v="1900-01-15T00:00:00"/>
    <n v="11"/>
    <x v="11"/>
    <x v="6"/>
  </r>
  <r>
    <x v="1720"/>
    <n v="-50"/>
    <x v="3403"/>
    <n v="3077.9"/>
    <s v="Complete Access"/>
    <x v="601"/>
    <x v="0"/>
    <x v="0"/>
    <d v="1900-01-14T00:00:00"/>
    <n v="11"/>
    <x v="11"/>
    <x v="6"/>
  </r>
  <r>
    <x v="1720"/>
    <n v="-20"/>
    <x v="3403"/>
    <n v="3127.9"/>
    <s v="Complete Access"/>
    <x v="601"/>
    <x v="0"/>
    <x v="0"/>
    <d v="1900-01-14T00:00:00"/>
    <n v="11"/>
    <x v="11"/>
    <x v="6"/>
  </r>
  <r>
    <x v="1720"/>
    <n v="-30"/>
    <x v="3577"/>
    <n v="2847.9"/>
    <s v="Complete Access"/>
    <x v="247"/>
    <x v="9"/>
    <x v="57"/>
    <d v="1900-01-14T00:00:00"/>
    <n v="11"/>
    <x v="11"/>
    <x v="6"/>
  </r>
  <r>
    <x v="1720"/>
    <n v="300"/>
    <x v="3578"/>
    <n v="3147.9"/>
    <s v="Complete Access"/>
    <x v="657"/>
    <x v="0"/>
    <x v="69"/>
    <d v="1900-01-14T00:00:00"/>
    <n v="11"/>
    <x v="11"/>
    <x v="6"/>
  </r>
  <r>
    <x v="1721"/>
    <n v="-50"/>
    <x v="3547"/>
    <n v="3082.23"/>
    <s v="Complete Access"/>
    <x v="819"/>
    <x v="5"/>
    <x v="83"/>
    <d v="1900-01-13T00:00:00"/>
    <n v="11"/>
    <x v="11"/>
    <x v="6"/>
  </r>
  <r>
    <x v="1721"/>
    <n v="-22.03"/>
    <x v="3441"/>
    <n v="3053.3"/>
    <s v="Complete Access"/>
    <x v="177"/>
    <x v="1"/>
    <x v="1"/>
    <d v="1900-01-13T00:00:00"/>
    <n v="11"/>
    <x v="11"/>
    <x v="6"/>
  </r>
  <r>
    <x v="1721"/>
    <n v="-175.4"/>
    <x v="3579"/>
    <n v="2877.9"/>
    <s v="Complete Access"/>
    <x v="741"/>
    <x v="16"/>
    <x v="81"/>
    <d v="1900-01-13T00:00:00"/>
    <n v="11"/>
    <x v="11"/>
    <x v="6"/>
  </r>
  <r>
    <x v="1721"/>
    <n v="-12.25"/>
    <x v="3580"/>
    <n v="3132.23"/>
    <s v="Complete Access"/>
    <x v="1"/>
    <x v="1"/>
    <x v="1"/>
    <d v="1900-01-13T00:00:00"/>
    <n v="11"/>
    <x v="11"/>
    <x v="6"/>
  </r>
  <r>
    <x v="1721"/>
    <n v="-6.9"/>
    <x v="3000"/>
    <n v="3075.33"/>
    <s v="Complete Access"/>
    <x v="687"/>
    <x v="1"/>
    <x v="5"/>
    <d v="1900-01-13T00:00:00"/>
    <n v="11"/>
    <x v="11"/>
    <x v="6"/>
  </r>
  <r>
    <x v="1722"/>
    <n v="-32"/>
    <x v="3581"/>
    <n v="2088.04"/>
    <s v="Complete Access"/>
    <x v="8"/>
    <x v="1"/>
    <x v="5"/>
    <d v="1900-01-12T00:00:00"/>
    <n v="11"/>
    <x v="11"/>
    <x v="6"/>
  </r>
  <r>
    <x v="1722"/>
    <n v="-36"/>
    <x v="3582"/>
    <n v="2052.04"/>
    <s v="Complete Access"/>
    <x v="8"/>
    <x v="1"/>
    <x v="5"/>
    <d v="1900-01-12T00:00:00"/>
    <n v="11"/>
    <x v="11"/>
    <x v="6"/>
  </r>
  <r>
    <x v="1722"/>
    <n v="1248.67"/>
    <x v="3188"/>
    <n v="3280.71"/>
    <s v="Complete Access"/>
    <x v="14"/>
    <x v="6"/>
    <x v="9"/>
    <d v="1900-01-12T00:00:00"/>
    <n v="11"/>
    <x v="11"/>
    <x v="6"/>
  </r>
  <r>
    <x v="1722"/>
    <n v="-62.73"/>
    <x v="3441"/>
    <n v="3217.98"/>
    <s v="Complete Access"/>
    <x v="177"/>
    <x v="1"/>
    <x v="1"/>
    <d v="1900-01-12T00:00:00"/>
    <n v="11"/>
    <x v="11"/>
    <x v="6"/>
  </r>
  <r>
    <x v="1722"/>
    <n v="-73.5"/>
    <x v="2543"/>
    <n v="3144.48"/>
    <s v="Complete Access"/>
    <x v="17"/>
    <x v="7"/>
    <x v="11"/>
    <d v="1900-01-12T00:00:00"/>
    <n v="11"/>
    <x v="11"/>
    <x v="6"/>
  </r>
  <r>
    <x v="1722"/>
    <n v="-12.5"/>
    <x v="3583"/>
    <n v="2039.54"/>
    <s v="Complete Access"/>
    <x v="186"/>
    <x v="1"/>
    <x v="5"/>
    <d v="1900-01-12T00:00:00"/>
    <n v="11"/>
    <x v="11"/>
    <x v="6"/>
  </r>
  <r>
    <x v="1722"/>
    <n v="-7.5"/>
    <x v="3000"/>
    <n v="2032.04"/>
    <s v="Complete Access"/>
    <x v="687"/>
    <x v="1"/>
    <x v="5"/>
    <d v="1900-01-12T00:00:00"/>
    <n v="11"/>
    <x v="11"/>
    <x v="6"/>
  </r>
  <r>
    <x v="1723"/>
    <n v="-25.06"/>
    <x v="3411"/>
    <n v="2120.04"/>
    <s v="Complete Access"/>
    <x v="785"/>
    <x v="9"/>
    <x v="12"/>
    <d v="1900-01-10T00:00:00"/>
    <n v="11"/>
    <x v="11"/>
    <x v="6"/>
  </r>
  <r>
    <x v="1724"/>
    <n v="-515"/>
    <x v="3404"/>
    <n v="2155.96"/>
    <s v="Complete Access"/>
    <x v="783"/>
    <x v="19"/>
    <x v="61"/>
    <d v="1900-01-08T00:00:00"/>
    <n v="10"/>
    <x v="11"/>
    <x v="6"/>
  </r>
  <r>
    <x v="1724"/>
    <n v="-100"/>
    <x v="2274"/>
    <n v="2670.96"/>
    <s v="Complete Access"/>
    <x v="552"/>
    <x v="0"/>
    <x v="74"/>
    <d v="1900-01-08T00:00:00"/>
    <n v="10"/>
    <x v="11"/>
    <x v="6"/>
  </r>
  <r>
    <x v="1724"/>
    <n v="-10.86"/>
    <x v="3584"/>
    <n v="2145.1"/>
    <s v="Complete Access"/>
    <x v="1"/>
    <x v="1"/>
    <x v="1"/>
    <d v="1900-01-08T00:00:00"/>
    <n v="10"/>
    <x v="11"/>
    <x v="6"/>
  </r>
  <r>
    <x v="1725"/>
    <n v="-50"/>
    <x v="3472"/>
    <n v="2773.46"/>
    <s v="Complete Access"/>
    <x v="801"/>
    <x v="8"/>
    <x v="29"/>
    <d v="1900-01-07T00:00:00"/>
    <n v="10"/>
    <x v="11"/>
    <x v="6"/>
  </r>
  <r>
    <x v="1725"/>
    <n v="-2.5"/>
    <x v="72"/>
    <n v="2770.96"/>
    <s v="Complete Access"/>
    <x v="37"/>
    <x v="0"/>
    <x v="0"/>
    <d v="1900-01-07T00:00:00"/>
    <n v="10"/>
    <x v="11"/>
    <x v="6"/>
  </r>
  <r>
    <x v="1725"/>
    <n v="-7.5"/>
    <x v="3000"/>
    <n v="2823.46"/>
    <s v="Complete Access"/>
    <x v="687"/>
    <x v="1"/>
    <x v="5"/>
    <d v="1900-01-07T00:00:00"/>
    <n v="10"/>
    <x v="11"/>
    <x v="6"/>
  </r>
  <r>
    <x v="1726"/>
    <n v="-13.9"/>
    <x v="3585"/>
    <n v="2830.96"/>
    <s v="Complete Access"/>
    <x v="714"/>
    <x v="1"/>
    <x v="5"/>
    <d v="1900-01-06T00:00:00"/>
    <n v="10"/>
    <x v="11"/>
    <x v="6"/>
  </r>
  <r>
    <x v="1726"/>
    <n v="-19.399999999999999"/>
    <x v="3586"/>
    <n v="2916.72"/>
    <s v="Complete Access"/>
    <x v="47"/>
    <x v="1"/>
    <x v="5"/>
    <d v="1900-01-06T00:00:00"/>
    <n v="10"/>
    <x v="11"/>
    <x v="6"/>
  </r>
  <r>
    <x v="1726"/>
    <n v="-29.3"/>
    <x v="3587"/>
    <n v="2887.42"/>
    <s v="Complete Access"/>
    <x v="237"/>
    <x v="15"/>
    <x v="34"/>
    <d v="1900-01-06T00:00:00"/>
    <n v="10"/>
    <x v="11"/>
    <x v="6"/>
  </r>
  <r>
    <x v="1726"/>
    <n v="-42.56"/>
    <x v="3588"/>
    <n v="2844.86"/>
    <s v="Complete Access"/>
    <x v="1"/>
    <x v="1"/>
    <x v="1"/>
    <d v="1900-01-06T00:00:00"/>
    <n v="10"/>
    <x v="11"/>
    <x v="6"/>
  </r>
  <r>
    <x v="1727"/>
    <n v="1182.25"/>
    <x v="3188"/>
    <n v="2936.12"/>
    <s v="Complete Access"/>
    <x v="14"/>
    <x v="6"/>
    <x v="9"/>
    <d v="1900-01-05T00:00:00"/>
    <n v="10"/>
    <x v="11"/>
    <x v="6"/>
  </r>
  <r>
    <x v="1727"/>
    <n v="-8.8800000000000008"/>
    <x v="3441"/>
    <n v="1753.87"/>
    <s v="Complete Access"/>
    <x v="177"/>
    <x v="1"/>
    <x v="1"/>
    <d v="1900-01-05T00:00:00"/>
    <n v="10"/>
    <x v="11"/>
    <x v="6"/>
  </r>
  <r>
    <x v="1727"/>
    <n v="-7.9"/>
    <x v="3000"/>
    <n v="1762.75"/>
    <s v="Complete Access"/>
    <x v="687"/>
    <x v="1"/>
    <x v="5"/>
    <d v="1900-01-05T00:00:00"/>
    <n v="10"/>
    <x v="11"/>
    <x v="6"/>
  </r>
  <r>
    <x v="1728"/>
    <n v="-20"/>
    <x v="3589"/>
    <n v="1770.65"/>
    <s v="Complete Access"/>
    <x v="601"/>
    <x v="0"/>
    <x v="0"/>
    <d v="1900-01-04T00:00:00"/>
    <n v="10"/>
    <x v="11"/>
    <x v="6"/>
  </r>
  <r>
    <x v="1728"/>
    <n v="-20"/>
    <x v="3590"/>
    <n v="1790.65"/>
    <s v="Complete Access"/>
    <x v="254"/>
    <x v="16"/>
    <x v="35"/>
    <d v="1900-01-04T00:00:00"/>
    <n v="10"/>
    <x v="11"/>
    <x v="6"/>
  </r>
  <r>
    <x v="1729"/>
    <n v="-20"/>
    <x v="3202"/>
    <n v="1480.16"/>
    <s v="Complete Access"/>
    <x v="601"/>
    <x v="0"/>
    <x v="0"/>
    <d v="1900-01-03T00:00:00"/>
    <n v="10"/>
    <x v="11"/>
    <x v="6"/>
  </r>
  <r>
    <x v="1729"/>
    <n v="-50"/>
    <x v="3591"/>
    <n v="1810.65"/>
    <s v="Complete Access"/>
    <x v="776"/>
    <x v="5"/>
    <x v="83"/>
    <d v="1900-01-03T00:00:00"/>
    <n v="10"/>
    <x v="11"/>
    <x v="6"/>
  </r>
  <r>
    <x v="1729"/>
    <n v="380.49"/>
    <x v="3592"/>
    <n v="1860.65"/>
    <s v="Complete Access"/>
    <x v="67"/>
    <x v="0"/>
    <x v="0"/>
    <d v="1900-01-03T00:00:00"/>
    <n v="10"/>
    <x v="11"/>
    <x v="6"/>
  </r>
  <r>
    <x v="1730"/>
    <n v="-515"/>
    <x v="3404"/>
    <n v="1575.16"/>
    <s v="Complete Access"/>
    <x v="783"/>
    <x v="19"/>
    <x v="61"/>
    <d v="1900-01-01T00:00:00"/>
    <n v="9"/>
    <x v="11"/>
    <x v="6"/>
  </r>
  <r>
    <x v="1730"/>
    <n v="-100"/>
    <x v="2274"/>
    <n v="2090.16"/>
    <s v="Complete Access"/>
    <x v="552"/>
    <x v="0"/>
    <x v="74"/>
    <d v="1900-01-01T00:00:00"/>
    <n v="9"/>
    <x v="11"/>
    <x v="6"/>
  </r>
  <r>
    <x v="1730"/>
    <n v="-15"/>
    <x v="3593"/>
    <n v="1560.16"/>
    <s v="Complete Access"/>
    <x v="186"/>
    <x v="1"/>
    <x v="5"/>
    <d v="1900-01-01T00:00:00"/>
    <n v="9"/>
    <x v="11"/>
    <x v="6"/>
  </r>
  <r>
    <x v="1730"/>
    <n v="-60"/>
    <x v="3594"/>
    <n v="1500.16"/>
    <s v="Complete Access"/>
    <x v="219"/>
    <x v="7"/>
    <x v="53"/>
    <d v="1900-01-01T00:00:00"/>
    <n v="9"/>
    <x v="11"/>
    <x v="6"/>
  </r>
  <r>
    <x v="1731"/>
    <n v="-166.4"/>
    <x v="3595"/>
    <n v="2190.16"/>
    <s v="Complete Access"/>
    <x v="76"/>
    <x v="2"/>
    <x v="2"/>
    <d v="1899-12-31T00:00:00"/>
    <n v="9"/>
    <x v="11"/>
    <x v="6"/>
  </r>
  <r>
    <x v="1731"/>
    <n v="-44.32"/>
    <x v="3596"/>
    <n v="2356.56"/>
    <s v="Complete Access"/>
    <x v="1"/>
    <x v="1"/>
    <x v="1"/>
    <d v="1899-12-31T00:00:00"/>
    <n v="9"/>
    <x v="11"/>
    <x v="6"/>
  </r>
  <r>
    <x v="1732"/>
    <n v="-1.99"/>
    <x v="2859"/>
    <n v="2576.2800000000002"/>
    <s v="Complete Access"/>
    <x v="61"/>
    <x v="1"/>
    <x v="1"/>
    <d v="1900-01-27T00:00:00"/>
    <n v="9"/>
    <x v="0"/>
    <x v="6"/>
  </r>
  <r>
    <x v="1732"/>
    <n v="-30.2"/>
    <x v="3597"/>
    <n v="2615.2600000000002"/>
    <s v="Complete Access"/>
    <x v="827"/>
    <x v="1"/>
    <x v="1"/>
    <d v="1900-01-27T00:00:00"/>
    <n v="9"/>
    <x v="0"/>
    <x v="6"/>
  </r>
  <r>
    <x v="1732"/>
    <n v="-175.4"/>
    <x v="3598"/>
    <n v="2400.88"/>
    <s v="Complete Access"/>
    <x v="741"/>
    <x v="16"/>
    <x v="81"/>
    <d v="1900-01-27T00:00:00"/>
    <n v="9"/>
    <x v="0"/>
    <x v="6"/>
  </r>
  <r>
    <x v="1732"/>
    <n v="-24.99"/>
    <x v="3599"/>
    <n v="2578.27"/>
    <s v="Complete Access"/>
    <x v="34"/>
    <x v="9"/>
    <x v="12"/>
    <d v="1900-01-27T00:00:00"/>
    <n v="9"/>
    <x v="0"/>
    <x v="6"/>
  </r>
  <r>
    <x v="1732"/>
    <n v="-12"/>
    <x v="3599"/>
    <n v="2603.2600000000002"/>
    <s v="Complete Access"/>
    <x v="34"/>
    <x v="9"/>
    <x v="12"/>
    <d v="1900-01-27T00:00:00"/>
    <n v="9"/>
    <x v="0"/>
    <x v="6"/>
  </r>
  <r>
    <x v="1733"/>
    <n v="-1.96"/>
    <x v="2859"/>
    <n v="1470.71"/>
    <s v="Complete Access"/>
    <x v="61"/>
    <x v="1"/>
    <x v="1"/>
    <d v="1900-01-26T00:00:00"/>
    <n v="9"/>
    <x v="0"/>
    <x v="6"/>
  </r>
  <r>
    <x v="1733"/>
    <n v="1182.25"/>
    <x v="3188"/>
    <n v="2645.46"/>
    <s v="Complete Access"/>
    <x v="14"/>
    <x v="6"/>
    <x v="9"/>
    <d v="1900-01-26T00:00:00"/>
    <n v="9"/>
    <x v="0"/>
    <x v="6"/>
  </r>
  <r>
    <x v="1733"/>
    <n v="-119.98"/>
    <x v="3600"/>
    <n v="1472.67"/>
    <s v="Complete Access"/>
    <x v="210"/>
    <x v="3"/>
    <x v="15"/>
    <d v="1900-01-26T00:00:00"/>
    <n v="9"/>
    <x v="0"/>
    <x v="6"/>
  </r>
  <r>
    <x v="1733"/>
    <n v="-7.5"/>
    <x v="3000"/>
    <n v="1463.21"/>
    <s v="Complete Access"/>
    <x v="687"/>
    <x v="1"/>
    <x v="5"/>
    <d v="1900-01-26T00:00:00"/>
    <n v="9"/>
    <x v="0"/>
    <x v="6"/>
  </r>
  <r>
    <x v="1734"/>
    <n v="-12"/>
    <x v="3601"/>
    <n v="1600.15"/>
    <s v="Complete Access"/>
    <x v="242"/>
    <x v="1"/>
    <x v="5"/>
    <d v="1900-01-25T00:00:00"/>
    <n v="9"/>
    <x v="0"/>
    <x v="6"/>
  </r>
  <r>
    <x v="1734"/>
    <n v="-31.83"/>
    <x v="3602"/>
    <n v="1612.15"/>
    <s v="Complete Access"/>
    <x v="1"/>
    <x v="1"/>
    <x v="1"/>
    <d v="1900-01-25T00:00:00"/>
    <n v="9"/>
    <x v="0"/>
    <x v="6"/>
  </r>
  <r>
    <x v="1734"/>
    <n v="-7.5"/>
    <x v="3000"/>
    <n v="1592.65"/>
    <s v="Complete Access"/>
    <x v="687"/>
    <x v="1"/>
    <x v="5"/>
    <d v="1900-01-25T00:00:00"/>
    <n v="9"/>
    <x v="0"/>
    <x v="6"/>
  </r>
  <r>
    <x v="1735"/>
    <n v="-1.1499999999999999"/>
    <x v="2859"/>
    <n v="1667.68"/>
    <s v="Complete Access"/>
    <x v="61"/>
    <x v="1"/>
    <x v="1"/>
    <d v="1900-01-24T00:00:00"/>
    <n v="9"/>
    <x v="0"/>
    <x v="6"/>
  </r>
  <r>
    <x v="1735"/>
    <n v="-40"/>
    <x v="3403"/>
    <n v="1621.98"/>
    <s v="Complete Access"/>
    <x v="601"/>
    <x v="0"/>
    <x v="0"/>
    <d v="1900-01-24T00:00:00"/>
    <n v="9"/>
    <x v="0"/>
    <x v="6"/>
  </r>
  <r>
    <x v="1735"/>
    <n v="22"/>
    <x v="3024"/>
    <n v="1643.98"/>
    <s v="Complete Access"/>
    <x v="27"/>
    <x v="1"/>
    <x v="5"/>
    <d v="1900-01-24T00:00:00"/>
    <n v="9"/>
    <x v="0"/>
    <x v="6"/>
  </r>
  <r>
    <x v="1735"/>
    <n v="-5.7"/>
    <x v="3000"/>
    <n v="1661.98"/>
    <s v="Complete Access"/>
    <x v="687"/>
    <x v="1"/>
    <x v="5"/>
    <d v="1900-01-24T00:00:00"/>
    <n v="9"/>
    <x v="0"/>
    <x v="6"/>
  </r>
  <r>
    <x v="1736"/>
    <n v="-515"/>
    <x v="3404"/>
    <n v="1671.63"/>
    <s v="Complete Access"/>
    <x v="783"/>
    <x v="19"/>
    <x v="61"/>
    <d v="1900-01-22T00:00:00"/>
    <n v="8"/>
    <x v="0"/>
    <x v="6"/>
  </r>
  <r>
    <x v="1736"/>
    <n v="-27.55"/>
    <x v="3603"/>
    <n v="2286.63"/>
    <s v="Complete Access"/>
    <x v="47"/>
    <x v="1"/>
    <x v="5"/>
    <d v="1900-01-22T00:00:00"/>
    <n v="8"/>
    <x v="0"/>
    <x v="6"/>
  </r>
  <r>
    <x v="1736"/>
    <n v="-100"/>
    <x v="2274"/>
    <n v="2186.63"/>
    <s v="Complete Access"/>
    <x v="552"/>
    <x v="0"/>
    <x v="74"/>
    <d v="1900-01-22T00:00:00"/>
    <n v="8"/>
    <x v="0"/>
    <x v="6"/>
  </r>
  <r>
    <x v="1736"/>
    <n v="-20.21"/>
    <x v="3604"/>
    <n v="2314.1799999999998"/>
    <s v="Complete Access"/>
    <x v="1"/>
    <x v="1"/>
    <x v="1"/>
    <d v="1900-01-22T00:00:00"/>
    <n v="8"/>
    <x v="0"/>
    <x v="6"/>
  </r>
  <r>
    <x v="1736"/>
    <n v="-2.8"/>
    <x v="3605"/>
    <n v="1668.83"/>
    <s v="Complete Access"/>
    <x v="828"/>
    <x v="1"/>
    <x v="5"/>
    <d v="1900-01-22T00:00:00"/>
    <n v="8"/>
    <x v="0"/>
    <x v="6"/>
  </r>
  <r>
    <x v="1737"/>
    <n v="30"/>
    <x v="3606"/>
    <n v="2383.84"/>
    <s v="Complete Access"/>
    <x v="8"/>
    <x v="1"/>
    <x v="5"/>
    <d v="1900-01-21T00:00:00"/>
    <n v="8"/>
    <x v="0"/>
    <x v="6"/>
  </r>
  <r>
    <x v="1737"/>
    <n v="-13.1"/>
    <x v="3607"/>
    <n v="2327.2399999999998"/>
    <s v="Complete Access"/>
    <x v="829"/>
    <x v="8"/>
    <x v="29"/>
    <d v="1900-01-21T00:00:00"/>
    <n v="8"/>
    <x v="0"/>
    <x v="6"/>
  </r>
  <r>
    <x v="1737"/>
    <n v="-43.5"/>
    <x v="3608"/>
    <n v="2340.34"/>
    <s v="Complete Access"/>
    <x v="260"/>
    <x v="1"/>
    <x v="5"/>
    <d v="1900-01-21T00:00:00"/>
    <n v="8"/>
    <x v="0"/>
    <x v="6"/>
  </r>
  <r>
    <x v="1737"/>
    <n v="7.15"/>
    <x v="2702"/>
    <n v="2334.39"/>
    <s v="Complete Access"/>
    <x v="6"/>
    <x v="4"/>
    <x v="4"/>
    <d v="1900-01-21T00:00:00"/>
    <n v="8"/>
    <x v="0"/>
    <x v="6"/>
  </r>
  <r>
    <x v="1738"/>
    <n v="-9.9"/>
    <x v="3609"/>
    <n v="2474.87"/>
    <s v="Complete Access"/>
    <x v="27"/>
    <x v="1"/>
    <x v="5"/>
    <d v="1900-01-20T00:00:00"/>
    <n v="8"/>
    <x v="0"/>
    <x v="6"/>
  </r>
  <r>
    <x v="1738"/>
    <n v="-2.0299999999999998"/>
    <x v="2859"/>
    <n v="2361.7399999999998"/>
    <s v="Complete Access"/>
    <x v="61"/>
    <x v="1"/>
    <x v="1"/>
    <d v="1900-01-20T00:00:00"/>
    <n v="8"/>
    <x v="0"/>
    <x v="6"/>
  </r>
  <r>
    <x v="1738"/>
    <n v="-30"/>
    <x v="3610"/>
    <n v="2413.77"/>
    <s v="Complete Access"/>
    <x v="8"/>
    <x v="1"/>
    <x v="5"/>
    <d v="1900-01-20T00:00:00"/>
    <n v="8"/>
    <x v="0"/>
    <x v="6"/>
  </r>
  <r>
    <x v="1738"/>
    <n v="-50"/>
    <x v="3547"/>
    <n v="2363.77"/>
    <s v="Complete Access"/>
    <x v="819"/>
    <x v="5"/>
    <x v="83"/>
    <d v="1900-01-20T00:00:00"/>
    <n v="8"/>
    <x v="0"/>
    <x v="6"/>
  </r>
  <r>
    <x v="1738"/>
    <n v="-31.1"/>
    <x v="3611"/>
    <n v="2443.77"/>
    <s v="Complete Access"/>
    <x v="609"/>
    <x v="1"/>
    <x v="1"/>
    <d v="1900-01-20T00:00:00"/>
    <n v="8"/>
    <x v="0"/>
    <x v="6"/>
  </r>
  <r>
    <x v="1738"/>
    <n v="-7.9"/>
    <x v="3000"/>
    <n v="2353.84"/>
    <s v="Complete Access"/>
    <x v="687"/>
    <x v="1"/>
    <x v="5"/>
    <d v="1900-01-20T00:00:00"/>
    <n v="8"/>
    <x v="0"/>
    <x v="6"/>
  </r>
  <r>
    <x v="1739"/>
    <n v="-3.79"/>
    <x v="2859"/>
    <n v="1300.8"/>
    <s v="Complete Access"/>
    <x v="61"/>
    <x v="1"/>
    <x v="1"/>
    <d v="1900-01-19T00:00:00"/>
    <n v="8"/>
    <x v="0"/>
    <x v="6"/>
  </r>
  <r>
    <x v="1739"/>
    <n v="1191.47"/>
    <x v="3188"/>
    <n v="2484.77"/>
    <s v="Complete Access"/>
    <x v="14"/>
    <x v="6"/>
    <x v="9"/>
    <d v="1900-01-19T00:00:00"/>
    <n v="8"/>
    <x v="0"/>
    <x v="6"/>
  </r>
  <r>
    <x v="1739"/>
    <n v="-7.5"/>
    <x v="3000"/>
    <n v="1293.3"/>
    <s v="Complete Access"/>
    <x v="687"/>
    <x v="1"/>
    <x v="5"/>
    <d v="1900-01-19T00:00:00"/>
    <n v="8"/>
    <x v="0"/>
    <x v="6"/>
  </r>
  <r>
    <x v="1740"/>
    <n v="-21"/>
    <x v="3612"/>
    <n v="1314.59"/>
    <s v="Complete Access"/>
    <x v="830"/>
    <x v="1"/>
    <x v="5"/>
    <d v="1900-01-18T00:00:00"/>
    <n v="8"/>
    <x v="0"/>
    <x v="6"/>
  </r>
  <r>
    <x v="1740"/>
    <n v="14"/>
    <x v="3024"/>
    <n v="1304.5899999999999"/>
    <s v="Complete Access"/>
    <x v="27"/>
    <x v="1"/>
    <x v="5"/>
    <d v="1900-01-18T00:00:00"/>
    <n v="8"/>
    <x v="0"/>
    <x v="6"/>
  </r>
  <r>
    <x v="1740"/>
    <n v="-16.5"/>
    <x v="3613"/>
    <n v="1298.0899999999999"/>
    <s v="Complete Access"/>
    <x v="1"/>
    <x v="1"/>
    <x v="1"/>
    <d v="1900-01-18T00:00:00"/>
    <n v="8"/>
    <x v="0"/>
    <x v="6"/>
  </r>
  <r>
    <x v="1740"/>
    <n v="-7.5"/>
    <x v="3000"/>
    <n v="1290.5899999999999"/>
    <s v="Complete Access"/>
    <x v="687"/>
    <x v="1"/>
    <x v="5"/>
    <d v="1900-01-18T00:00:00"/>
    <n v="8"/>
    <x v="0"/>
    <x v="6"/>
  </r>
  <r>
    <x v="1741"/>
    <n v="-7.58"/>
    <x v="2859"/>
    <n v="1343.49"/>
    <s v="Complete Access"/>
    <x v="61"/>
    <x v="1"/>
    <x v="1"/>
    <d v="1900-01-17T00:00:00"/>
    <n v="8"/>
    <x v="0"/>
    <x v="6"/>
  </r>
  <r>
    <x v="1741"/>
    <n v="-7.9"/>
    <x v="3000"/>
    <n v="1335.59"/>
    <s v="Complete Access"/>
    <x v="687"/>
    <x v="1"/>
    <x v="5"/>
    <d v="1900-01-17T00:00:00"/>
    <n v="8"/>
    <x v="0"/>
    <x v="6"/>
  </r>
  <r>
    <x v="1742"/>
    <n v="-515"/>
    <x v="3404"/>
    <n v="1351.07"/>
    <s v="Complete Access"/>
    <x v="783"/>
    <x v="19"/>
    <x v="61"/>
    <d v="1900-01-15T00:00:00"/>
    <n v="7"/>
    <x v="0"/>
    <x v="6"/>
  </r>
  <r>
    <x v="1742"/>
    <n v="-100"/>
    <x v="2274"/>
    <n v="1866.07"/>
    <s v="Complete Access"/>
    <x v="552"/>
    <x v="0"/>
    <x v="74"/>
    <d v="1900-01-15T00:00:00"/>
    <n v="7"/>
    <x v="0"/>
    <x v="6"/>
  </r>
  <r>
    <x v="1743"/>
    <n v="300"/>
    <x v="3578"/>
    <n v="1978.57"/>
    <s v="Complete Access"/>
    <x v="657"/>
    <x v="0"/>
    <x v="69"/>
    <d v="1900-01-14T00:00:00"/>
    <n v="7"/>
    <x v="0"/>
    <x v="6"/>
  </r>
  <r>
    <x v="1743"/>
    <n v="-12.5"/>
    <x v="3061"/>
    <n v="1966.07"/>
    <s v="Complete Access"/>
    <x v="27"/>
    <x v="1"/>
    <x v="5"/>
    <d v="1900-01-14T00:00:00"/>
    <n v="7"/>
    <x v="0"/>
    <x v="6"/>
  </r>
  <r>
    <x v="1743"/>
    <n v="-7.5"/>
    <x v="3000"/>
    <n v="1678.57"/>
    <s v="Complete Access"/>
    <x v="687"/>
    <x v="1"/>
    <x v="5"/>
    <d v="1900-01-14T00:00:00"/>
    <n v="7"/>
    <x v="0"/>
    <x v="6"/>
  </r>
  <r>
    <x v="1744"/>
    <n v="-7.31"/>
    <x v="2859"/>
    <n v="1889.37"/>
    <s v="Complete Access"/>
    <x v="61"/>
    <x v="1"/>
    <x v="1"/>
    <d v="1900-01-13T00:00:00"/>
    <n v="7"/>
    <x v="0"/>
    <x v="6"/>
  </r>
  <r>
    <x v="1744"/>
    <n v="-20"/>
    <x v="3403"/>
    <n v="1861.47"/>
    <s v="Complete Access"/>
    <x v="601"/>
    <x v="0"/>
    <x v="0"/>
    <d v="1900-01-13T00:00:00"/>
    <n v="7"/>
    <x v="0"/>
    <x v="6"/>
  </r>
  <r>
    <x v="1744"/>
    <n v="-175.4"/>
    <x v="3614"/>
    <n v="1686.07"/>
    <s v="Complete Access"/>
    <x v="741"/>
    <x v="16"/>
    <x v="81"/>
    <d v="1900-01-13T00:00:00"/>
    <n v="7"/>
    <x v="0"/>
    <x v="6"/>
  </r>
  <r>
    <x v="1744"/>
    <n v="-34.49"/>
    <x v="3615"/>
    <n v="1956.68"/>
    <s v="Complete Access"/>
    <x v="1"/>
    <x v="1"/>
    <x v="1"/>
    <d v="1900-01-13T00:00:00"/>
    <n v="7"/>
    <x v="0"/>
    <x v="6"/>
  </r>
  <r>
    <x v="1744"/>
    <n v="-7.9"/>
    <x v="3000"/>
    <n v="1881.47"/>
    <s v="Complete Access"/>
    <x v="687"/>
    <x v="1"/>
    <x v="5"/>
    <d v="1900-01-13T00:00:00"/>
    <n v="7"/>
    <x v="0"/>
    <x v="6"/>
  </r>
  <r>
    <x v="1744"/>
    <n v="-60"/>
    <x v="3616"/>
    <n v="1896.68"/>
    <s v="Complete Access"/>
    <x v="219"/>
    <x v="7"/>
    <x v="53"/>
    <d v="1900-01-13T00:00:00"/>
    <n v="7"/>
    <x v="0"/>
    <x v="6"/>
  </r>
  <r>
    <x v="1745"/>
    <n v="-40.51"/>
    <x v="3617"/>
    <n v="842.12"/>
    <s v="Complete Access"/>
    <x v="8"/>
    <x v="1"/>
    <x v="5"/>
    <d v="1900-01-12T00:00:00"/>
    <n v="7"/>
    <x v="0"/>
    <x v="6"/>
  </r>
  <r>
    <x v="1745"/>
    <n v="-18.8"/>
    <x v="3618"/>
    <n v="818.82"/>
    <s v="Complete Access"/>
    <x v="831"/>
    <x v="1"/>
    <x v="5"/>
    <d v="1900-01-12T00:00:00"/>
    <n v="7"/>
    <x v="0"/>
    <x v="6"/>
  </r>
  <r>
    <x v="1745"/>
    <n v="1182.25"/>
    <x v="3188"/>
    <n v="1991.17"/>
    <s v="Complete Access"/>
    <x v="14"/>
    <x v="6"/>
    <x v="9"/>
    <d v="1900-01-12T00:00:00"/>
    <n v="7"/>
    <x v="0"/>
    <x v="6"/>
  </r>
  <r>
    <x v="1745"/>
    <n v="-3"/>
    <x v="3619"/>
    <n v="808.92"/>
    <s v="Complete Access"/>
    <x v="27"/>
    <x v="1"/>
    <x v="5"/>
    <d v="1900-01-12T00:00:00"/>
    <n v="7"/>
    <x v="0"/>
    <x v="6"/>
  </r>
  <r>
    <x v="1745"/>
    <n v="-6.9"/>
    <x v="3000"/>
    <n v="811.92"/>
    <s v="Complete Access"/>
    <x v="687"/>
    <x v="1"/>
    <x v="5"/>
    <d v="1900-01-12T00:00:00"/>
    <n v="7"/>
    <x v="0"/>
    <x v="6"/>
  </r>
  <r>
    <x v="1745"/>
    <n v="-4.5"/>
    <x v="3620"/>
    <n v="837.62"/>
    <s v="Complete Access"/>
    <x v="34"/>
    <x v="9"/>
    <x v="12"/>
    <d v="1900-01-12T00:00:00"/>
    <n v="7"/>
    <x v="0"/>
    <x v="6"/>
  </r>
  <r>
    <x v="1746"/>
    <n v="-14.9"/>
    <x v="3000"/>
    <n v="882.63"/>
    <s v="Complete Access"/>
    <x v="687"/>
    <x v="1"/>
    <x v="5"/>
    <d v="1900-01-11T00:00:00"/>
    <n v="7"/>
    <x v="0"/>
    <x v="6"/>
  </r>
  <r>
    <x v="1747"/>
    <n v="-1.1100000000000001"/>
    <x v="2859"/>
    <n v="970.53"/>
    <s v="Complete Access"/>
    <x v="61"/>
    <x v="1"/>
    <x v="1"/>
    <d v="1900-01-10T00:00:00"/>
    <n v="7"/>
    <x v="0"/>
    <x v="6"/>
  </r>
  <r>
    <x v="1747"/>
    <n v="-73"/>
    <x v="2543"/>
    <n v="897.53"/>
    <s v="Complete Access"/>
    <x v="17"/>
    <x v="7"/>
    <x v="11"/>
    <d v="1900-01-10T00:00:00"/>
    <n v="7"/>
    <x v="0"/>
    <x v="6"/>
  </r>
  <r>
    <x v="1748"/>
    <n v="-20"/>
    <x v="3621"/>
    <n v="1026.6400000000001"/>
    <s v="Complete Access"/>
    <x v="601"/>
    <x v="0"/>
    <x v="0"/>
    <d v="1900-01-09T00:00:00"/>
    <n v="7"/>
    <x v="0"/>
    <x v="6"/>
  </r>
  <r>
    <x v="1748"/>
    <n v="-50"/>
    <x v="3622"/>
    <n v="974.14"/>
    <s v="Complete Access"/>
    <x v="601"/>
    <x v="0"/>
    <x v="0"/>
    <d v="1900-01-09T00:00:00"/>
    <n v="7"/>
    <x v="0"/>
    <x v="6"/>
  </r>
  <r>
    <x v="1748"/>
    <n v="-50"/>
    <x v="3547"/>
    <n v="1046.6400000000001"/>
    <s v="Complete Access"/>
    <x v="819"/>
    <x v="5"/>
    <x v="83"/>
    <d v="1900-01-09T00:00:00"/>
    <n v="7"/>
    <x v="0"/>
    <x v="6"/>
  </r>
  <r>
    <x v="1748"/>
    <n v="-2.5"/>
    <x v="72"/>
    <n v="971.64"/>
    <s v="Complete Access"/>
    <x v="37"/>
    <x v="0"/>
    <x v="0"/>
    <d v="1900-01-09T00:00:00"/>
    <n v="7"/>
    <x v="0"/>
    <x v="6"/>
  </r>
  <r>
    <x v="1748"/>
    <n v="-2.5"/>
    <x v="72"/>
    <n v="1024.1400000000001"/>
    <s v="Complete Access"/>
    <x v="37"/>
    <x v="0"/>
    <x v="0"/>
    <d v="1900-01-09T00:00:00"/>
    <n v="7"/>
    <x v="0"/>
    <x v="6"/>
  </r>
  <r>
    <x v="1748"/>
    <n v="-42"/>
    <x v="3308"/>
    <n v="1096.6400000000001"/>
    <s v="Complete Access"/>
    <x v="77"/>
    <x v="4"/>
    <x v="27"/>
    <d v="1900-01-09T00:00:00"/>
    <n v="7"/>
    <x v="0"/>
    <x v="6"/>
  </r>
  <r>
    <x v="1749"/>
    <n v="-515"/>
    <x v="3404"/>
    <n v="1174.0899999999999"/>
    <s v="Complete Access"/>
    <x v="783"/>
    <x v="19"/>
    <x v="61"/>
    <d v="1900-01-08T00:00:00"/>
    <n v="6"/>
    <x v="0"/>
    <x v="6"/>
  </r>
  <r>
    <x v="1749"/>
    <n v="-22.95"/>
    <x v="3623"/>
    <n v="1138.6400000000001"/>
    <s v="Complete Access"/>
    <x v="832"/>
    <x v="1"/>
    <x v="23"/>
    <d v="1900-01-08T00:00:00"/>
    <n v="6"/>
    <x v="0"/>
    <x v="6"/>
  </r>
  <r>
    <x v="1749"/>
    <n v="-100"/>
    <x v="2274"/>
    <n v="1689.09"/>
    <s v="Complete Access"/>
    <x v="552"/>
    <x v="0"/>
    <x v="74"/>
    <d v="1900-01-08T00:00:00"/>
    <n v="6"/>
    <x v="0"/>
    <x v="6"/>
  </r>
  <r>
    <x v="1749"/>
    <n v="-12.5"/>
    <x v="3624"/>
    <n v="1161.5899999999999"/>
    <s v="Complete Access"/>
    <x v="186"/>
    <x v="1"/>
    <x v="5"/>
    <d v="1900-01-08T00:00:00"/>
    <n v="6"/>
    <x v="0"/>
    <x v="6"/>
  </r>
  <r>
    <x v="1750"/>
    <n v="-0.72"/>
    <x v="2859"/>
    <n v="1802.59"/>
    <s v="Complete Access"/>
    <x v="61"/>
    <x v="1"/>
    <x v="1"/>
    <d v="1900-01-07T00:00:00"/>
    <n v="6"/>
    <x v="0"/>
    <x v="6"/>
  </r>
  <r>
    <x v="1750"/>
    <n v="-12.5"/>
    <x v="3625"/>
    <n v="1803.31"/>
    <s v="Complete Access"/>
    <x v="186"/>
    <x v="1"/>
    <x v="5"/>
    <d v="1900-01-07T00:00:00"/>
    <n v="6"/>
    <x v="0"/>
    <x v="6"/>
  </r>
  <r>
    <x v="1750"/>
    <n v="-13.5"/>
    <x v="3000"/>
    <n v="1789.09"/>
    <s v="Complete Access"/>
    <x v="687"/>
    <x v="1"/>
    <x v="5"/>
    <d v="1900-01-07T00:00:00"/>
    <n v="6"/>
    <x v="0"/>
    <x v="6"/>
  </r>
  <r>
    <x v="1751"/>
    <n v="-6.15"/>
    <x v="3626"/>
    <n v="1885.88"/>
    <s v="Complete Access"/>
    <x v="27"/>
    <x v="1"/>
    <x v="5"/>
    <d v="1900-01-06T00:00:00"/>
    <n v="6"/>
    <x v="0"/>
    <x v="6"/>
  </r>
  <r>
    <x v="1751"/>
    <n v="-4.96"/>
    <x v="2859"/>
    <n v="1815.81"/>
    <s v="Complete Access"/>
    <x v="61"/>
    <x v="1"/>
    <x v="1"/>
    <d v="1900-01-06T00:00:00"/>
    <n v="6"/>
    <x v="0"/>
    <x v="6"/>
  </r>
  <r>
    <x v="1751"/>
    <n v="-29.5"/>
    <x v="3627"/>
    <n v="1856.38"/>
    <s v="Complete Access"/>
    <x v="260"/>
    <x v="1"/>
    <x v="5"/>
    <d v="1900-01-06T00:00:00"/>
    <n v="6"/>
    <x v="0"/>
    <x v="6"/>
  </r>
  <r>
    <x v="1751"/>
    <n v="-35.61"/>
    <x v="3628"/>
    <n v="1820.77"/>
    <s v="Complete Access"/>
    <x v="1"/>
    <x v="1"/>
    <x v="1"/>
    <d v="1900-01-06T00:00:00"/>
    <n v="6"/>
    <x v="0"/>
    <x v="6"/>
  </r>
  <r>
    <x v="1752"/>
    <n v="-6.69"/>
    <x v="2859"/>
    <n v="892.83"/>
    <s v="Complete Access"/>
    <x v="61"/>
    <x v="1"/>
    <x v="1"/>
    <d v="1900-01-05T00:00:00"/>
    <n v="6"/>
    <x v="0"/>
    <x v="6"/>
  </r>
  <r>
    <x v="1752"/>
    <n v="-36"/>
    <x v="3629"/>
    <n v="958.52"/>
    <s v="Complete Access"/>
    <x v="8"/>
    <x v="1"/>
    <x v="5"/>
    <d v="1900-01-05T00:00:00"/>
    <n v="6"/>
    <x v="0"/>
    <x v="6"/>
  </r>
  <r>
    <x v="1752"/>
    <n v="999.2"/>
    <x v="3188"/>
    <n v="1892.03"/>
    <s v="Complete Access"/>
    <x v="14"/>
    <x v="6"/>
    <x v="9"/>
    <d v="1900-01-05T00:00:00"/>
    <n v="6"/>
    <x v="0"/>
    <x v="6"/>
  </r>
  <r>
    <x v="1752"/>
    <n v="-59"/>
    <x v="3630"/>
    <n v="899.52"/>
    <s v="Complete Access"/>
    <x v="347"/>
    <x v="3"/>
    <x v="62"/>
    <d v="1900-01-05T00:00:00"/>
    <n v="6"/>
    <x v="0"/>
    <x v="6"/>
  </r>
  <r>
    <x v="1753"/>
    <n v="-0.96"/>
    <x v="2859"/>
    <n v="1008.02"/>
    <s v="Complete Access"/>
    <x v="61"/>
    <x v="1"/>
    <x v="1"/>
    <d v="1900-01-04T00:00:00"/>
    <n v="6"/>
    <x v="0"/>
    <x v="6"/>
  </r>
  <r>
    <x v="1753"/>
    <n v="-30"/>
    <x v="3631"/>
    <n v="1008.98"/>
    <s v="Complete Access"/>
    <x v="8"/>
    <x v="1"/>
    <x v="5"/>
    <d v="1900-01-04T00:00:00"/>
    <n v="6"/>
    <x v="0"/>
    <x v="6"/>
  </r>
  <r>
    <x v="1753"/>
    <n v="-11.61"/>
    <x v="3632"/>
    <n v="1038.98"/>
    <s v="Complete Access"/>
    <x v="609"/>
    <x v="1"/>
    <x v="1"/>
    <d v="1900-01-04T00:00:00"/>
    <n v="6"/>
    <x v="0"/>
    <x v="6"/>
  </r>
  <r>
    <x v="1753"/>
    <n v="-13.5"/>
    <x v="3000"/>
    <n v="994.52"/>
    <s v="Complete Access"/>
    <x v="687"/>
    <x v="1"/>
    <x v="5"/>
    <d v="1900-01-04T00:00:00"/>
    <n v="6"/>
    <x v="0"/>
    <x v="6"/>
  </r>
  <r>
    <x v="1754"/>
    <n v="-1.85"/>
    <x v="2859"/>
    <n v="1064.0899999999999"/>
    <s v="Complete Access"/>
    <x v="61"/>
    <x v="1"/>
    <x v="1"/>
    <d v="1900-01-03T00:00:00"/>
    <n v="6"/>
    <x v="0"/>
    <x v="6"/>
  </r>
  <r>
    <x v="1754"/>
    <n v="-13.5"/>
    <x v="3000"/>
    <n v="1050.5899999999999"/>
    <s v="Complete Access"/>
    <x v="687"/>
    <x v="1"/>
    <x v="5"/>
    <d v="1900-01-03T00:00:00"/>
    <n v="6"/>
    <x v="0"/>
    <x v="6"/>
  </r>
  <r>
    <x v="1755"/>
    <n v="-515"/>
    <x v="3404"/>
    <n v="1070.44"/>
    <s v="Complete Access"/>
    <x v="783"/>
    <x v="19"/>
    <x v="61"/>
    <d v="1900-01-01T00:00:00"/>
    <n v="5"/>
    <x v="0"/>
    <x v="6"/>
  </r>
  <r>
    <x v="1755"/>
    <n v="-100"/>
    <x v="2274"/>
    <n v="1585.44"/>
    <s v="Complete Access"/>
    <x v="552"/>
    <x v="0"/>
    <x v="74"/>
    <d v="1900-01-01T00:00:00"/>
    <n v="5"/>
    <x v="0"/>
    <x v="6"/>
  </r>
  <r>
    <x v="1755"/>
    <n v="-4.5"/>
    <x v="3633"/>
    <n v="1065.94"/>
    <s v="Complete Access"/>
    <x v="1"/>
    <x v="1"/>
    <x v="1"/>
    <d v="1900-01-01T00:00:00"/>
    <n v="5"/>
    <x v="0"/>
    <x v="6"/>
  </r>
  <r>
    <x v="1756"/>
    <n v="-5.2"/>
    <x v="2859"/>
    <n v="1851.84"/>
    <s v="Complete Access"/>
    <x v="61"/>
    <x v="1"/>
    <x v="1"/>
    <d v="1899-12-31T00:00:00"/>
    <n v="5"/>
    <x v="0"/>
    <x v="6"/>
  </r>
  <r>
    <x v="1756"/>
    <n v="-166.4"/>
    <x v="3634"/>
    <n v="1685.44"/>
    <s v="Complete Access"/>
    <x v="76"/>
    <x v="2"/>
    <x v="2"/>
    <d v="1899-12-31T00:00:00"/>
    <n v="5"/>
    <x v="0"/>
    <x v="6"/>
  </r>
  <r>
    <x v="1756"/>
    <n v="-14.9"/>
    <x v="3635"/>
    <n v="1857.04"/>
    <s v="Complete Access"/>
    <x v="186"/>
    <x v="1"/>
    <x v="5"/>
    <d v="1899-12-31T00:00:00"/>
    <n v="5"/>
    <x v="0"/>
    <x v="6"/>
  </r>
  <r>
    <x v="1757"/>
    <n v="-12.6"/>
    <x v="3636"/>
    <n v="2194.8200000000002"/>
    <s v="Complete Access"/>
    <x v="668"/>
    <x v="15"/>
    <x v="34"/>
    <d v="1900-01-30T00:00:00"/>
    <n v="5"/>
    <x v="1"/>
    <x v="6"/>
  </r>
  <r>
    <x v="1757"/>
    <n v="-1.55"/>
    <x v="2859"/>
    <n v="2078.39"/>
    <s v="Complete Access"/>
    <x v="61"/>
    <x v="1"/>
    <x v="1"/>
    <d v="1900-01-30T00:00:00"/>
    <n v="5"/>
    <x v="1"/>
    <x v="6"/>
  </r>
  <r>
    <x v="1757"/>
    <n v="-34.9"/>
    <x v="3637"/>
    <n v="2129.94"/>
    <s v="Complete Access"/>
    <x v="8"/>
    <x v="1"/>
    <x v="5"/>
    <d v="1900-01-30T00:00:00"/>
    <n v="5"/>
    <x v="1"/>
    <x v="6"/>
  </r>
  <r>
    <x v="1757"/>
    <n v="-4.4000000000000004"/>
    <x v="3638"/>
    <n v="2220.2199999999998"/>
    <s v="Complete Access"/>
    <x v="819"/>
    <x v="5"/>
    <x v="83"/>
    <d v="1900-01-30T00:00:00"/>
    <n v="5"/>
    <x v="1"/>
    <x v="6"/>
  </r>
  <r>
    <x v="1757"/>
    <n v="-4.4000000000000004"/>
    <x v="3638"/>
    <n v="2224.62"/>
    <s v="Complete Access"/>
    <x v="819"/>
    <x v="5"/>
    <x v="83"/>
    <d v="1900-01-30T00:00:00"/>
    <n v="5"/>
    <x v="1"/>
    <x v="6"/>
  </r>
  <r>
    <x v="1757"/>
    <n v="-50"/>
    <x v="3547"/>
    <n v="2079.94"/>
    <s v="Complete Access"/>
    <x v="819"/>
    <x v="5"/>
    <x v="83"/>
    <d v="1900-01-30T00:00:00"/>
    <n v="5"/>
    <x v="1"/>
    <x v="6"/>
  </r>
  <r>
    <x v="1757"/>
    <n v="-17.149999999999999"/>
    <x v="3441"/>
    <n v="2047.34"/>
    <s v="Complete Access"/>
    <x v="177"/>
    <x v="1"/>
    <x v="1"/>
    <d v="1900-01-30T00:00:00"/>
    <n v="5"/>
    <x v="1"/>
    <x v="6"/>
  </r>
  <r>
    <x v="1757"/>
    <n v="-12.8"/>
    <x v="3639"/>
    <n v="2207.42"/>
    <s v="Complete Access"/>
    <x v="833"/>
    <x v="1"/>
    <x v="5"/>
    <d v="1900-01-30T00:00:00"/>
    <n v="5"/>
    <x v="1"/>
    <x v="6"/>
  </r>
  <r>
    <x v="1757"/>
    <n v="-29.98"/>
    <x v="3640"/>
    <n v="2164.84"/>
    <s v="Complete Access"/>
    <x v="794"/>
    <x v="3"/>
    <x v="15"/>
    <d v="1900-01-30T00:00:00"/>
    <n v="5"/>
    <x v="1"/>
    <x v="6"/>
  </r>
  <r>
    <x v="1757"/>
    <n v="-175.4"/>
    <x v="3641"/>
    <n v="1871.94"/>
    <s v="Complete Access"/>
    <x v="741"/>
    <x v="16"/>
    <x v="81"/>
    <d v="1900-01-30T00:00:00"/>
    <n v="5"/>
    <x v="1"/>
    <x v="6"/>
  </r>
  <r>
    <x v="1757"/>
    <n v="-13.5"/>
    <x v="3642"/>
    <n v="2229.02"/>
    <s v="Complete Access"/>
    <x v="687"/>
    <x v="1"/>
    <x v="5"/>
    <d v="1900-01-30T00:00:00"/>
    <n v="5"/>
    <x v="1"/>
    <x v="6"/>
  </r>
  <r>
    <x v="1757"/>
    <n v="-13.9"/>
    <x v="3000"/>
    <n v="2064.4899999999998"/>
    <s v="Complete Access"/>
    <x v="687"/>
    <x v="1"/>
    <x v="5"/>
    <d v="1900-01-30T00:00:00"/>
    <n v="5"/>
    <x v="1"/>
    <x v="6"/>
  </r>
  <r>
    <x v="1758"/>
    <n v="-0.97"/>
    <x v="3643"/>
    <n v="1124.08"/>
    <s v="Complete Access"/>
    <x v="61"/>
    <x v="1"/>
    <x v="1"/>
    <d v="1900-01-29T00:00:00"/>
    <n v="5"/>
    <x v="1"/>
    <x v="6"/>
  </r>
  <r>
    <x v="1758"/>
    <n v="-4.3099999999999996"/>
    <x v="2859"/>
    <n v="1060.27"/>
    <s v="Complete Access"/>
    <x v="61"/>
    <x v="1"/>
    <x v="1"/>
    <d v="1900-01-29T00:00:00"/>
    <n v="5"/>
    <x v="1"/>
    <x v="6"/>
  </r>
  <r>
    <x v="1758"/>
    <n v="-30"/>
    <x v="3644"/>
    <n v="1064.58"/>
    <s v="Complete Access"/>
    <x v="8"/>
    <x v="1"/>
    <x v="5"/>
    <d v="1900-01-29T00:00:00"/>
    <n v="5"/>
    <x v="1"/>
    <x v="6"/>
  </r>
  <r>
    <x v="1758"/>
    <n v="1182.25"/>
    <x v="3188"/>
    <n v="2242.52"/>
    <s v="Complete Access"/>
    <x v="14"/>
    <x v="6"/>
    <x v="9"/>
    <d v="1900-01-29T00:00:00"/>
    <n v="5"/>
    <x v="1"/>
    <x v="6"/>
  </r>
  <r>
    <x v="1758"/>
    <n v="-29.5"/>
    <x v="3645"/>
    <n v="1094.58"/>
    <s v="Complete Access"/>
    <x v="834"/>
    <x v="8"/>
    <x v="29"/>
    <d v="1900-01-29T00:00:00"/>
    <n v="5"/>
    <x v="1"/>
    <x v="6"/>
  </r>
  <r>
    <x v="1758"/>
    <n v="-13.5"/>
    <x v="3646"/>
    <n v="1125.05"/>
    <s v="Complete Access"/>
    <x v="687"/>
    <x v="1"/>
    <x v="5"/>
    <d v="1900-01-29T00:00:00"/>
    <n v="5"/>
    <x v="1"/>
    <x v="6"/>
  </r>
  <r>
    <x v="1759"/>
    <n v="-3.14"/>
    <x v="2859"/>
    <n v="1138.55"/>
    <s v="Complete Access"/>
    <x v="61"/>
    <x v="1"/>
    <x v="1"/>
    <d v="1900-01-28T00:00:00"/>
    <n v="5"/>
    <x v="1"/>
    <x v="6"/>
  </r>
  <r>
    <x v="1760"/>
    <n v="-18.38"/>
    <x v="3647"/>
    <n v="1157.69"/>
    <s v="Complete Access"/>
    <x v="835"/>
    <x v="15"/>
    <x v="34"/>
    <d v="1900-01-27T00:00:00"/>
    <n v="5"/>
    <x v="1"/>
    <x v="6"/>
  </r>
  <r>
    <x v="1760"/>
    <n v="-16"/>
    <x v="3450"/>
    <n v="1141.69"/>
    <s v="Complete Access"/>
    <x v="796"/>
    <x v="20"/>
    <x v="63"/>
    <d v="1900-01-27T00:00:00"/>
    <n v="5"/>
    <x v="1"/>
    <x v="6"/>
  </r>
  <r>
    <x v="1760"/>
    <n v="-19.28"/>
    <x v="3648"/>
    <n v="1176.07"/>
    <s v="Complete Access"/>
    <x v="836"/>
    <x v="8"/>
    <x v="29"/>
    <d v="1900-01-27T00:00:00"/>
    <n v="5"/>
    <x v="1"/>
    <x v="6"/>
  </r>
  <r>
    <x v="1760"/>
    <n v="-20.3"/>
    <x v="3648"/>
    <n v="1195.3499999999999"/>
    <s v="Complete Access"/>
    <x v="836"/>
    <x v="8"/>
    <x v="29"/>
    <d v="1900-01-27T00:00:00"/>
    <n v="5"/>
    <x v="1"/>
    <x v="6"/>
  </r>
  <r>
    <x v="1761"/>
    <n v="-20"/>
    <x v="3649"/>
    <n v="1235.95"/>
    <s v="Complete Access"/>
    <x v="83"/>
    <x v="8"/>
    <x v="29"/>
    <d v="1900-01-26T00:00:00"/>
    <n v="5"/>
    <x v="1"/>
    <x v="6"/>
  </r>
  <r>
    <x v="1761"/>
    <n v="-25"/>
    <x v="3649"/>
    <n v="1255.95"/>
    <s v="Complete Access"/>
    <x v="83"/>
    <x v="8"/>
    <x v="29"/>
    <d v="1900-01-26T00:00:00"/>
    <n v="5"/>
    <x v="1"/>
    <x v="6"/>
  </r>
  <r>
    <x v="1761"/>
    <n v="-6.5"/>
    <x v="3650"/>
    <n v="1280.95"/>
    <s v="Complete Access"/>
    <x v="837"/>
    <x v="8"/>
    <x v="29"/>
    <d v="1900-01-26T00:00:00"/>
    <n v="5"/>
    <x v="1"/>
    <x v="6"/>
  </r>
  <r>
    <x v="1761"/>
    <n v="-11.7"/>
    <x v="3651"/>
    <n v="1287.45"/>
    <s v="Complete Access"/>
    <x v="693"/>
    <x v="1"/>
    <x v="5"/>
    <d v="1900-01-26T00:00:00"/>
    <n v="5"/>
    <x v="1"/>
    <x v="6"/>
  </r>
  <r>
    <x v="1761"/>
    <n v="-20.3"/>
    <x v="3652"/>
    <n v="1215.6500000000001"/>
    <s v="Complete Access"/>
    <x v="836"/>
    <x v="8"/>
    <x v="29"/>
    <d v="1900-01-26T00:00:00"/>
    <n v="5"/>
    <x v="1"/>
    <x v="6"/>
  </r>
  <r>
    <x v="1762"/>
    <n v="-515"/>
    <x v="3404"/>
    <n v="1321.65"/>
    <s v="Complete Access"/>
    <x v="783"/>
    <x v="19"/>
    <x v="61"/>
    <d v="1900-01-25T00:00:00"/>
    <n v="4"/>
    <x v="1"/>
    <x v="6"/>
  </r>
  <r>
    <x v="1762"/>
    <n v="-22.5"/>
    <x v="3653"/>
    <n v="1299.1500000000001"/>
    <s v="Complete Access"/>
    <x v="796"/>
    <x v="20"/>
    <x v="63"/>
    <d v="1900-01-25T00:00:00"/>
    <n v="4"/>
    <x v="1"/>
    <x v="6"/>
  </r>
  <r>
    <x v="1762"/>
    <n v="-100"/>
    <x v="2274"/>
    <n v="1836.65"/>
    <s v="Complete Access"/>
    <x v="552"/>
    <x v="0"/>
    <x v="74"/>
    <d v="1900-01-25T00:00:00"/>
    <n v="4"/>
    <x v="1"/>
    <x v="6"/>
  </r>
  <r>
    <x v="1763"/>
    <n v="-4.24"/>
    <x v="3654"/>
    <n v="2070.15"/>
    <s v="Complete Access"/>
    <x v="61"/>
    <x v="1"/>
    <x v="1"/>
    <d v="1900-01-24T00:00:00"/>
    <n v="4"/>
    <x v="1"/>
    <x v="6"/>
  </r>
  <r>
    <x v="1763"/>
    <n v="-100"/>
    <x v="3403"/>
    <n v="1970.15"/>
    <s v="Complete Access"/>
    <x v="601"/>
    <x v="0"/>
    <x v="0"/>
    <d v="1900-01-24T00:00:00"/>
    <n v="4"/>
    <x v="1"/>
    <x v="6"/>
  </r>
  <r>
    <x v="1763"/>
    <n v="-33.5"/>
    <x v="3623"/>
    <n v="1936.65"/>
    <s v="Complete Access"/>
    <x v="832"/>
    <x v="1"/>
    <x v="23"/>
    <d v="1900-01-24T00:00:00"/>
    <n v="4"/>
    <x v="1"/>
    <x v="6"/>
  </r>
  <r>
    <x v="1763"/>
    <n v="-26.68"/>
    <x v="3655"/>
    <n v="2082.1799999999998"/>
    <s v="Complete Access"/>
    <x v="785"/>
    <x v="9"/>
    <x v="12"/>
    <d v="1900-01-24T00:00:00"/>
    <n v="4"/>
    <x v="1"/>
    <x v="6"/>
  </r>
  <r>
    <x v="1763"/>
    <n v="-7.79"/>
    <x v="3656"/>
    <n v="2074.39"/>
    <s v="Complete Access"/>
    <x v="1"/>
    <x v="1"/>
    <x v="1"/>
    <d v="1900-01-24T00:00:00"/>
    <n v="4"/>
    <x v="1"/>
    <x v="6"/>
  </r>
  <r>
    <x v="1764"/>
    <n v="-2.0499999999999998"/>
    <x v="3657"/>
    <n v="2108.86"/>
    <s v="Complete Access"/>
    <x v="61"/>
    <x v="1"/>
    <x v="1"/>
    <d v="1900-01-23T00:00:00"/>
    <n v="4"/>
    <x v="1"/>
    <x v="6"/>
  </r>
  <r>
    <x v="1764"/>
    <n v="-28.82"/>
    <x v="3658"/>
    <n v="2125.81"/>
    <s v="Complete Access"/>
    <x v="1"/>
    <x v="1"/>
    <x v="1"/>
    <d v="1900-01-23T00:00:00"/>
    <n v="4"/>
    <x v="1"/>
    <x v="6"/>
  </r>
  <r>
    <x v="1764"/>
    <n v="-14.9"/>
    <x v="3659"/>
    <n v="2110.91"/>
    <s v="Complete Access"/>
    <x v="186"/>
    <x v="1"/>
    <x v="5"/>
    <d v="1900-01-23T00:00:00"/>
    <n v="4"/>
    <x v="1"/>
    <x v="6"/>
  </r>
  <r>
    <x v="1764"/>
    <n v="-13.5"/>
    <x v="3660"/>
    <n v="2210.63"/>
    <s v="Complete Access"/>
    <x v="687"/>
    <x v="1"/>
    <x v="5"/>
    <d v="1900-01-23T00:00:00"/>
    <n v="4"/>
    <x v="1"/>
    <x v="6"/>
  </r>
  <r>
    <x v="1765"/>
    <n v="-1.91"/>
    <x v="3661"/>
    <n v="1041.8800000000001"/>
    <s v="Complete Access"/>
    <x v="61"/>
    <x v="1"/>
    <x v="1"/>
    <d v="1900-01-22T00:00:00"/>
    <n v="4"/>
    <x v="1"/>
    <x v="6"/>
  </r>
  <r>
    <x v="1765"/>
    <n v="-30"/>
    <x v="3662"/>
    <n v="2218.04"/>
    <s v="Complete Access"/>
    <x v="8"/>
    <x v="1"/>
    <x v="5"/>
    <d v="1900-01-22T00:00:00"/>
    <n v="4"/>
    <x v="1"/>
    <x v="6"/>
  </r>
  <r>
    <x v="1765"/>
    <n v="-1157.75"/>
    <x v="3663"/>
    <n v="1060.29"/>
    <s v="Complete Access"/>
    <x v="838"/>
    <x v="4"/>
    <x v="17"/>
    <d v="1900-01-22T00:00:00"/>
    <n v="4"/>
    <x v="1"/>
    <x v="6"/>
  </r>
  <r>
    <x v="1765"/>
    <n v="1182.25"/>
    <x v="3188"/>
    <n v="2224.13"/>
    <s v="Complete Access"/>
    <x v="14"/>
    <x v="6"/>
    <x v="9"/>
    <d v="1900-01-22T00:00:00"/>
    <n v="4"/>
    <x v="1"/>
    <x v="6"/>
  </r>
  <r>
    <x v="1765"/>
    <n v="-9.99"/>
    <x v="3664"/>
    <n v="2248.04"/>
    <s v="Complete Access"/>
    <x v="373"/>
    <x v="8"/>
    <x v="7"/>
    <d v="1900-01-22T00:00:00"/>
    <n v="4"/>
    <x v="1"/>
    <x v="6"/>
  </r>
  <r>
    <x v="1765"/>
    <n v="-16.5"/>
    <x v="3665"/>
    <n v="1043.79"/>
    <s v="Complete Access"/>
    <x v="34"/>
    <x v="9"/>
    <x v="12"/>
    <d v="1900-01-22T00:00:00"/>
    <n v="4"/>
    <x v="1"/>
    <x v="6"/>
  </r>
  <r>
    <x v="1766"/>
    <n v="-1.8"/>
    <x v="3666"/>
    <n v="1758.03"/>
    <s v="Complete Access"/>
    <x v="61"/>
    <x v="1"/>
    <x v="1"/>
    <d v="1900-01-21T00:00:00"/>
    <n v="4"/>
    <x v="1"/>
    <x v="6"/>
  </r>
  <r>
    <x v="1766"/>
    <n v="-50"/>
    <x v="3667"/>
    <n v="1785.83"/>
    <s v="Complete Access"/>
    <x v="819"/>
    <x v="5"/>
    <x v="83"/>
    <d v="1900-01-21T00:00:00"/>
    <n v="4"/>
    <x v="1"/>
    <x v="6"/>
  </r>
  <r>
    <x v="1766"/>
    <n v="500"/>
    <x v="3407"/>
    <n v="2258.0300000000002"/>
    <s v="Complete Access"/>
    <x v="0"/>
    <x v="0"/>
    <x v="0"/>
    <d v="1900-01-21T00:00:00"/>
    <n v="4"/>
    <x v="1"/>
    <x v="6"/>
  </r>
  <r>
    <x v="1766"/>
    <n v="-12.5"/>
    <x v="3668"/>
    <n v="1759.83"/>
    <s v="Complete Access"/>
    <x v="186"/>
    <x v="1"/>
    <x v="5"/>
    <d v="1900-01-21T00:00:00"/>
    <n v="4"/>
    <x v="1"/>
    <x v="6"/>
  </r>
  <r>
    <x v="1766"/>
    <n v="-13.5"/>
    <x v="3669"/>
    <n v="1772.33"/>
    <s v="Complete Access"/>
    <x v="687"/>
    <x v="1"/>
    <x v="5"/>
    <d v="1900-01-21T00:00:00"/>
    <n v="4"/>
    <x v="1"/>
    <x v="6"/>
  </r>
  <r>
    <x v="1766"/>
    <n v="-13.5"/>
    <x v="3669"/>
    <n v="1772.33"/>
    <s v="Complete Access"/>
    <x v="687"/>
    <x v="1"/>
    <x v="5"/>
    <d v="1900-01-21T00:00:00"/>
    <n v="4"/>
    <x v="1"/>
    <x v="6"/>
  </r>
  <r>
    <x v="1767"/>
    <n v="-56"/>
    <x v="3670"/>
    <n v="2154.63"/>
    <s v="Complete Access"/>
    <x v="739"/>
    <x v="4"/>
    <x v="20"/>
    <d v="1900-01-18T00:00:00"/>
    <n v="3"/>
    <x v="1"/>
    <x v="6"/>
  </r>
  <r>
    <x v="1767"/>
    <n v="-515"/>
    <x v="3404"/>
    <n v="1835.83"/>
    <s v="Complete Access"/>
    <x v="783"/>
    <x v="19"/>
    <x v="61"/>
    <d v="1900-01-18T00:00:00"/>
    <n v="3"/>
    <x v="1"/>
    <x v="6"/>
  </r>
  <r>
    <x v="1767"/>
    <n v="-100"/>
    <x v="2274"/>
    <n v="2350.83"/>
    <s v="Complete Access"/>
    <x v="552"/>
    <x v="0"/>
    <x v="74"/>
    <d v="1900-01-18T00:00:00"/>
    <n v="3"/>
    <x v="1"/>
    <x v="6"/>
  </r>
  <r>
    <x v="1767"/>
    <n v="-13.5"/>
    <x v="3671"/>
    <n v="2450.83"/>
    <s v="Complete Access"/>
    <x v="687"/>
    <x v="1"/>
    <x v="5"/>
    <d v="1900-01-18T00:00:00"/>
    <n v="3"/>
    <x v="1"/>
    <x v="6"/>
  </r>
  <r>
    <x v="1768"/>
    <n v="-1.79"/>
    <x v="3672"/>
    <n v="2362.33"/>
    <s v="Complete Access"/>
    <x v="61"/>
    <x v="1"/>
    <x v="1"/>
    <d v="1900-01-17T00:00:00"/>
    <n v="3"/>
    <x v="1"/>
    <x v="6"/>
  </r>
  <r>
    <x v="1768"/>
    <n v="102"/>
    <x v="3188"/>
    <n v="2464.33"/>
    <s v="Complete Access"/>
    <x v="14"/>
    <x v="6"/>
    <x v="9"/>
    <d v="1900-01-17T00:00:00"/>
    <n v="3"/>
    <x v="1"/>
    <x v="6"/>
  </r>
  <r>
    <x v="1769"/>
    <n v="-12.65"/>
    <x v="3673"/>
    <n v="2622.94"/>
    <s v="Complete Access"/>
    <x v="839"/>
    <x v="1"/>
    <x v="85"/>
    <d v="1900-01-16T00:00:00"/>
    <n v="3"/>
    <x v="1"/>
    <x v="6"/>
  </r>
  <r>
    <x v="1769"/>
    <n v="-1.04"/>
    <x v="3674"/>
    <n v="2554.9"/>
    <s v="Complete Access"/>
    <x v="61"/>
    <x v="1"/>
    <x v="1"/>
    <d v="1900-01-16T00:00:00"/>
    <n v="3"/>
    <x v="1"/>
    <x v="6"/>
  </r>
  <r>
    <x v="1769"/>
    <n v="-33.5"/>
    <x v="3675"/>
    <n v="2555.94"/>
    <s v="Complete Access"/>
    <x v="8"/>
    <x v="1"/>
    <x v="5"/>
    <d v="1900-01-16T00:00:00"/>
    <n v="3"/>
    <x v="1"/>
    <x v="6"/>
  </r>
  <r>
    <x v="1769"/>
    <n v="-15.38"/>
    <x v="3676"/>
    <n v="2539.52"/>
    <s v="Complete Access"/>
    <x v="840"/>
    <x v="3"/>
    <x v="60"/>
    <d v="1900-01-16T00:00:00"/>
    <n v="3"/>
    <x v="1"/>
    <x v="6"/>
  </r>
  <r>
    <x v="1769"/>
    <n v="-175.4"/>
    <x v="3677"/>
    <n v="2364.12"/>
    <s v="Complete Access"/>
    <x v="741"/>
    <x v="16"/>
    <x v="81"/>
    <d v="1900-01-16T00:00:00"/>
    <n v="3"/>
    <x v="1"/>
    <x v="6"/>
  </r>
  <r>
    <x v="1769"/>
    <n v="-18.600000000000001"/>
    <x v="3678"/>
    <n v="2604.34"/>
    <s v="Complete Access"/>
    <x v="1"/>
    <x v="1"/>
    <x v="1"/>
    <d v="1900-01-16T00:00:00"/>
    <n v="3"/>
    <x v="1"/>
    <x v="6"/>
  </r>
  <r>
    <x v="1769"/>
    <n v="-14.9"/>
    <x v="3679"/>
    <n v="2589.44"/>
    <s v="Complete Access"/>
    <x v="186"/>
    <x v="1"/>
    <x v="5"/>
    <d v="1900-01-16T00:00:00"/>
    <n v="3"/>
    <x v="1"/>
    <x v="6"/>
  </r>
  <r>
    <x v="1770"/>
    <n v="-7.96"/>
    <x v="3680"/>
    <n v="1555.34"/>
    <s v="Complete Access"/>
    <x v="61"/>
    <x v="1"/>
    <x v="1"/>
    <d v="1900-01-15T00:00:00"/>
    <n v="3"/>
    <x v="1"/>
    <x v="6"/>
  </r>
  <r>
    <x v="1770"/>
    <n v="1080.25"/>
    <x v="3188"/>
    <n v="2635.59"/>
    <s v="Complete Access"/>
    <x v="14"/>
    <x v="6"/>
    <x v="9"/>
    <d v="1900-01-15T00:00:00"/>
    <n v="3"/>
    <x v="1"/>
    <x v="6"/>
  </r>
  <r>
    <x v="1771"/>
    <n v="-37.64"/>
    <x v="3681"/>
    <n v="1723.89"/>
    <s v="Complete Access"/>
    <x v="841"/>
    <x v="2"/>
    <x v="86"/>
    <d v="1900-01-14T00:00:00"/>
    <n v="3"/>
    <x v="1"/>
    <x v="6"/>
  </r>
  <r>
    <x v="1771"/>
    <n v="-7.58"/>
    <x v="3682"/>
    <n v="1563.3"/>
    <s v="Complete Access"/>
    <x v="61"/>
    <x v="1"/>
    <x v="1"/>
    <d v="1900-01-14T00:00:00"/>
    <n v="3"/>
    <x v="1"/>
    <x v="6"/>
  </r>
  <r>
    <x v="1771"/>
    <n v="-1.71"/>
    <x v="3683"/>
    <n v="1584.88"/>
    <s v="Complete Access"/>
    <x v="61"/>
    <x v="1"/>
    <x v="1"/>
    <d v="1900-01-14T00:00:00"/>
    <n v="3"/>
    <x v="1"/>
    <x v="6"/>
  </r>
  <r>
    <x v="1771"/>
    <n v="-39"/>
    <x v="3684"/>
    <n v="1586.59"/>
    <s v="Complete Access"/>
    <x v="8"/>
    <x v="1"/>
    <x v="5"/>
    <d v="1900-01-14T00:00:00"/>
    <n v="3"/>
    <x v="1"/>
    <x v="6"/>
  </r>
  <r>
    <x v="1771"/>
    <n v="-50"/>
    <x v="3685"/>
    <n v="1625.59"/>
    <s v="Complete Access"/>
    <x v="819"/>
    <x v="5"/>
    <x v="83"/>
    <d v="1900-01-14T00:00:00"/>
    <n v="3"/>
    <x v="1"/>
    <x v="6"/>
  </r>
  <r>
    <x v="1771"/>
    <n v="-14"/>
    <x v="3686"/>
    <n v="1570.88"/>
    <s v="Complete Access"/>
    <x v="254"/>
    <x v="16"/>
    <x v="35"/>
    <d v="1900-01-14T00:00:00"/>
    <n v="3"/>
    <x v="1"/>
    <x v="6"/>
  </r>
  <r>
    <x v="1771"/>
    <n v="-12.8"/>
    <x v="3687"/>
    <n v="1711.09"/>
    <s v="Complete Access"/>
    <x v="833"/>
    <x v="1"/>
    <x v="5"/>
    <d v="1900-01-14T00:00:00"/>
    <n v="3"/>
    <x v="1"/>
    <x v="6"/>
  </r>
  <r>
    <x v="1771"/>
    <n v="-35.5"/>
    <x v="3688"/>
    <n v="1675.59"/>
    <s v="Complete Access"/>
    <x v="1"/>
    <x v="1"/>
    <x v="1"/>
    <d v="1900-01-14T00:00:00"/>
    <n v="3"/>
    <x v="1"/>
    <x v="6"/>
  </r>
  <r>
    <x v="1772"/>
    <n v="-20"/>
    <x v="2970"/>
    <n v="1834.53"/>
    <s v="Complete Access"/>
    <x v="601"/>
    <x v="0"/>
    <x v="0"/>
    <d v="1900-01-13T00:00:00"/>
    <n v="3"/>
    <x v="1"/>
    <x v="6"/>
  </r>
  <r>
    <x v="1772"/>
    <n v="-73"/>
    <x v="2543"/>
    <n v="1761.53"/>
    <s v="Complete Access"/>
    <x v="17"/>
    <x v="7"/>
    <x v="11"/>
    <d v="1900-01-13T00:00:00"/>
    <n v="3"/>
    <x v="1"/>
    <x v="6"/>
  </r>
  <r>
    <x v="1773"/>
    <n v="-17"/>
    <x v="3689"/>
    <n v="2469.5300000000002"/>
    <s v="Complete Access"/>
    <x v="842"/>
    <x v="8"/>
    <x v="29"/>
    <d v="1900-01-11T00:00:00"/>
    <n v="2"/>
    <x v="1"/>
    <x v="6"/>
  </r>
  <r>
    <x v="1773"/>
    <n v="-515"/>
    <x v="3404"/>
    <n v="1854.53"/>
    <s v="Complete Access"/>
    <x v="783"/>
    <x v="19"/>
    <x v="61"/>
    <d v="1900-01-11T00:00:00"/>
    <n v="2"/>
    <x v="1"/>
    <x v="6"/>
  </r>
  <r>
    <x v="1773"/>
    <n v="-100"/>
    <x v="2274"/>
    <n v="2369.5300000000002"/>
    <s v="Complete Access"/>
    <x v="552"/>
    <x v="0"/>
    <x v="74"/>
    <d v="1900-01-11T00:00:00"/>
    <n v="2"/>
    <x v="1"/>
    <x v="6"/>
  </r>
  <r>
    <x v="1773"/>
    <n v="-13.5"/>
    <x v="3690"/>
    <n v="2486.5300000000002"/>
    <s v="Complete Access"/>
    <x v="687"/>
    <x v="1"/>
    <x v="5"/>
    <d v="1900-01-11T00:00:00"/>
    <n v="2"/>
    <x v="1"/>
    <x v="6"/>
  </r>
  <r>
    <x v="1774"/>
    <n v="-12.5"/>
    <x v="3691"/>
    <n v="2500.0300000000002"/>
    <s v="Complete Access"/>
    <x v="843"/>
    <x v="1"/>
    <x v="5"/>
    <d v="1900-01-10T00:00:00"/>
    <n v="2"/>
    <x v="1"/>
    <x v="6"/>
  </r>
  <r>
    <x v="1774"/>
    <n v="-26.3"/>
    <x v="3692"/>
    <n v="2512.5300000000002"/>
    <s v="Complete Access"/>
    <x v="844"/>
    <x v="1"/>
    <x v="5"/>
    <d v="1900-01-10T00:00:00"/>
    <n v="2"/>
    <x v="1"/>
    <x v="6"/>
  </r>
  <r>
    <x v="1775"/>
    <n v="-2.02"/>
    <x v="3693"/>
    <n v="2538.83"/>
    <s v="Complete Access"/>
    <x v="61"/>
    <x v="1"/>
    <x v="1"/>
    <d v="1900-01-09T00:00:00"/>
    <n v="2"/>
    <x v="1"/>
    <x v="6"/>
  </r>
  <r>
    <x v="1775"/>
    <n v="-2.4900000000000002"/>
    <x v="3694"/>
    <n v="2554.35"/>
    <s v="Complete Access"/>
    <x v="177"/>
    <x v="1"/>
    <x v="1"/>
    <d v="1900-01-09T00:00:00"/>
    <n v="2"/>
    <x v="1"/>
    <x v="6"/>
  </r>
  <r>
    <x v="1775"/>
    <n v="-13.5"/>
    <x v="3695"/>
    <n v="2540.85"/>
    <s v="Complete Access"/>
    <x v="687"/>
    <x v="1"/>
    <x v="5"/>
    <d v="1900-01-09T00:00:00"/>
    <n v="2"/>
    <x v="1"/>
    <x v="6"/>
  </r>
  <r>
    <x v="1776"/>
    <n v="-8.01"/>
    <x v="3696"/>
    <n v="2623.2"/>
    <s v="Complete Access"/>
    <x v="61"/>
    <x v="1"/>
    <x v="1"/>
    <d v="1900-01-08T00:00:00"/>
    <n v="2"/>
    <x v="1"/>
    <x v="6"/>
  </r>
  <r>
    <x v="1776"/>
    <n v="-5.75"/>
    <x v="3696"/>
    <n v="2631.21"/>
    <s v="Complete Access"/>
    <x v="61"/>
    <x v="1"/>
    <x v="1"/>
    <d v="1900-01-08T00:00:00"/>
    <n v="2"/>
    <x v="1"/>
    <x v="6"/>
  </r>
  <r>
    <x v="1776"/>
    <n v="-66.36"/>
    <x v="3697"/>
    <n v="2556.84"/>
    <s v="Complete Access"/>
    <x v="91"/>
    <x v="9"/>
    <x v="12"/>
    <d v="1900-01-08T00:00:00"/>
    <n v="2"/>
    <x v="1"/>
    <x v="6"/>
  </r>
  <r>
    <x v="1777"/>
    <n v="-14.9"/>
    <x v="3698"/>
    <n v="2656.11"/>
    <s v="Complete Access"/>
    <x v="260"/>
    <x v="1"/>
    <x v="5"/>
    <d v="1900-01-07T00:00:00"/>
    <n v="2"/>
    <x v="1"/>
    <x v="6"/>
  </r>
  <r>
    <x v="1777"/>
    <n v="-31.7"/>
    <x v="3699"/>
    <n v="2671.01"/>
    <s v="Complete Access"/>
    <x v="1"/>
    <x v="1"/>
    <x v="1"/>
    <d v="1900-01-07T00:00:00"/>
    <n v="2"/>
    <x v="1"/>
    <x v="6"/>
  </r>
  <r>
    <x v="1777"/>
    <n v="-15.65"/>
    <x v="3700"/>
    <n v="2636.96"/>
    <s v="Complete Access"/>
    <x v="1"/>
    <x v="1"/>
    <x v="1"/>
    <d v="1900-01-07T00:00:00"/>
    <n v="2"/>
    <x v="1"/>
    <x v="6"/>
  </r>
  <r>
    <x v="1777"/>
    <n v="-3.5"/>
    <x v="3701"/>
    <n v="2652.61"/>
    <s v="Complete Access"/>
    <x v="213"/>
    <x v="1"/>
    <x v="23"/>
    <d v="1900-01-07T00:00:00"/>
    <n v="2"/>
    <x v="1"/>
    <x v="6"/>
  </r>
  <r>
    <x v="1778"/>
    <n v="250"/>
    <x v="3378"/>
    <n v="2702.71"/>
    <s v="Complete Access"/>
    <x v="722"/>
    <x v="0"/>
    <x v="0"/>
    <d v="1900-01-06T00:00:00"/>
    <n v="2"/>
    <x v="1"/>
    <x v="6"/>
  </r>
  <r>
    <x v="1779"/>
    <n v="-515"/>
    <x v="3404"/>
    <n v="2452.71"/>
    <s v="Complete Access"/>
    <x v="783"/>
    <x v="19"/>
    <x v="61"/>
    <d v="1900-01-04T00:00:00"/>
    <n v="1"/>
    <x v="1"/>
    <x v="6"/>
  </r>
  <r>
    <x v="1779"/>
    <n v="-15.08"/>
    <x v="3702"/>
    <n v="3067.71"/>
    <s v="Complete Access"/>
    <x v="609"/>
    <x v="1"/>
    <x v="1"/>
    <d v="1900-01-04T00:00:00"/>
    <n v="1"/>
    <x v="1"/>
    <x v="6"/>
  </r>
  <r>
    <x v="1779"/>
    <n v="-100"/>
    <x v="2274"/>
    <n v="2967.71"/>
    <s v="Complete Access"/>
    <x v="552"/>
    <x v="0"/>
    <x v="74"/>
    <d v="1900-01-04T00:00:00"/>
    <n v="1"/>
    <x v="1"/>
    <x v="6"/>
  </r>
  <r>
    <x v="1779"/>
    <n v="-4.99"/>
    <x v="3703"/>
    <n v="3082.79"/>
    <s v="Complete Access"/>
    <x v="177"/>
    <x v="1"/>
    <x v="1"/>
    <d v="1900-01-04T00:00:00"/>
    <n v="1"/>
    <x v="1"/>
    <x v="6"/>
  </r>
  <r>
    <x v="1780"/>
    <n v="-11.95"/>
    <x v="3704"/>
    <n v="3309.37"/>
    <s v="Complete Access"/>
    <x v="839"/>
    <x v="1"/>
    <x v="85"/>
    <d v="1900-01-02T00:00:00"/>
    <n v="1"/>
    <x v="1"/>
    <x v="6"/>
  </r>
  <r>
    <x v="1780"/>
    <n v="-34.5"/>
    <x v="3705"/>
    <n v="3133.18"/>
    <s v="Complete Access"/>
    <x v="8"/>
    <x v="1"/>
    <x v="5"/>
    <d v="1900-01-02T00:00:00"/>
    <n v="1"/>
    <x v="1"/>
    <x v="6"/>
  </r>
  <r>
    <x v="1780"/>
    <n v="-34.5"/>
    <x v="3705"/>
    <n v="3167.68"/>
    <s v="Complete Access"/>
    <x v="8"/>
    <x v="1"/>
    <x v="5"/>
    <d v="1900-01-02T00:00:00"/>
    <n v="1"/>
    <x v="1"/>
    <x v="6"/>
  </r>
  <r>
    <x v="1780"/>
    <n v="34.5"/>
    <x v="3706"/>
    <n v="3321.32"/>
    <s v="Complete Access"/>
    <x v="8"/>
    <x v="1"/>
    <x v="5"/>
    <d v="1900-01-02T00:00:00"/>
    <n v="1"/>
    <x v="1"/>
    <x v="6"/>
  </r>
  <r>
    <x v="1780"/>
    <n v="-16.899999999999999"/>
    <x v="3707"/>
    <n v="3292.47"/>
    <s v="Complete Access"/>
    <x v="260"/>
    <x v="1"/>
    <x v="5"/>
    <d v="1900-01-02T00:00:00"/>
    <n v="1"/>
    <x v="1"/>
    <x v="6"/>
  </r>
  <r>
    <x v="1780"/>
    <n v="-45.4"/>
    <x v="3708"/>
    <n v="3087.78"/>
    <s v="Complete Access"/>
    <x v="741"/>
    <x v="16"/>
    <x v="81"/>
    <d v="1900-01-02T00:00:00"/>
    <n v="1"/>
    <x v="1"/>
    <x v="6"/>
  </r>
  <r>
    <x v="1780"/>
    <n v="-30.29"/>
    <x v="3709"/>
    <n v="3202.18"/>
    <s v="Complete Access"/>
    <x v="1"/>
    <x v="1"/>
    <x v="1"/>
    <d v="1900-01-02T00:00:00"/>
    <n v="1"/>
    <x v="1"/>
    <x v="6"/>
  </r>
  <r>
    <x v="1780"/>
    <n v="-60"/>
    <x v="3710"/>
    <n v="3232.47"/>
    <s v="Complete Access"/>
    <x v="219"/>
    <x v="7"/>
    <x v="53"/>
    <d v="1900-01-02T00:00:00"/>
    <n v="1"/>
    <x v="1"/>
    <x v="6"/>
  </r>
  <r>
    <x v="1781"/>
    <n v="-166.4"/>
    <x v="3711"/>
    <n v="3286.82"/>
    <s v="Complete Access"/>
    <x v="76"/>
    <x v="2"/>
    <x v="2"/>
    <d v="1900-01-01T00:00:00"/>
    <n v="1"/>
    <x v="1"/>
    <x v="6"/>
  </r>
  <r>
    <x v="1782"/>
    <n v="-75.5"/>
    <x v="3712"/>
    <n v="3453.22"/>
    <s v="Complete Access"/>
    <x v="8"/>
    <x v="1"/>
    <x v="5"/>
    <d v="1899-12-31T00:00:00"/>
    <n v="1"/>
    <x v="1"/>
    <x v="6"/>
  </r>
  <r>
    <x v="1783"/>
    <n v="-12.8"/>
    <x v="3700"/>
    <n v="3528.72"/>
    <s v="Complete Access"/>
    <x v="1"/>
    <x v="1"/>
    <x v="1"/>
    <d v="1900-01-30T00:00:00"/>
    <n v="53"/>
    <x v="2"/>
    <x v="7"/>
  </r>
  <r>
    <x v="1784"/>
    <n v="-16.5"/>
    <x v="3061"/>
    <n v="3541.52"/>
    <s v="Complete Access"/>
    <x v="27"/>
    <x v="1"/>
    <x v="5"/>
    <d v="1900-01-29T00:00:00"/>
    <n v="53"/>
    <x v="2"/>
    <x v="7"/>
  </r>
  <r>
    <x v="1785"/>
    <n v="-31"/>
    <x v="3713"/>
    <n v="4312.62"/>
    <s v="Complete Access"/>
    <x v="8"/>
    <x v="1"/>
    <x v="5"/>
    <d v="1900-01-28T00:00:00"/>
    <n v="52"/>
    <x v="2"/>
    <x v="7"/>
  </r>
  <r>
    <x v="1785"/>
    <n v="-515"/>
    <x v="3404"/>
    <n v="3590.67"/>
    <s v="Complete Access"/>
    <x v="783"/>
    <x v="19"/>
    <x v="61"/>
    <d v="1900-01-28T00:00:00"/>
    <n v="52"/>
    <x v="2"/>
    <x v="7"/>
  </r>
  <r>
    <x v="1785"/>
    <n v="-106.95"/>
    <x v="3714"/>
    <n v="4205.67"/>
    <s v="Complete Access"/>
    <x v="347"/>
    <x v="3"/>
    <x v="62"/>
    <d v="1900-01-28T00:00:00"/>
    <n v="52"/>
    <x v="2"/>
    <x v="7"/>
  </r>
  <r>
    <x v="1785"/>
    <n v="-100"/>
    <x v="2274"/>
    <n v="4105.67"/>
    <s v="Complete Access"/>
    <x v="552"/>
    <x v="0"/>
    <x v="74"/>
    <d v="1900-01-28T00:00:00"/>
    <n v="52"/>
    <x v="2"/>
    <x v="7"/>
  </r>
  <r>
    <x v="1785"/>
    <n v="-32.65"/>
    <x v="3715"/>
    <n v="3558.02"/>
    <s v="Complete Access"/>
    <x v="34"/>
    <x v="9"/>
    <x v="12"/>
    <d v="1900-01-28T00:00:00"/>
    <n v="52"/>
    <x v="2"/>
    <x v="7"/>
  </r>
  <r>
    <x v="1786"/>
    <n v="-35.619999999999997"/>
    <x v="3716"/>
    <n v="4343.62"/>
    <s v="Complete Access"/>
    <x v="8"/>
    <x v="1"/>
    <x v="5"/>
    <d v="1900-01-27T00:00:00"/>
    <n v="52"/>
    <x v="2"/>
    <x v="7"/>
  </r>
  <r>
    <x v="1786"/>
    <n v="-20.9"/>
    <x v="3717"/>
    <n v="4397.6099999999997"/>
    <s v="Complete Access"/>
    <x v="832"/>
    <x v="1"/>
    <x v="23"/>
    <d v="1900-01-27T00:00:00"/>
    <n v="52"/>
    <x v="2"/>
    <x v="7"/>
  </r>
  <r>
    <x v="1786"/>
    <n v="-14.21"/>
    <x v="3718"/>
    <n v="4418.9399999999996"/>
    <s v="Complete Access"/>
    <x v="845"/>
    <x v="4"/>
    <x v="47"/>
    <d v="1900-01-27T00:00:00"/>
    <n v="52"/>
    <x v="2"/>
    <x v="7"/>
  </r>
  <r>
    <x v="1786"/>
    <n v="-10.5"/>
    <x v="3719"/>
    <n v="4433.1499999999996"/>
    <s v="Complete Access"/>
    <x v="846"/>
    <x v="3"/>
    <x v="60"/>
    <d v="1900-01-27T00:00:00"/>
    <n v="52"/>
    <x v="2"/>
    <x v="7"/>
  </r>
  <r>
    <x v="1786"/>
    <n v="-0.43"/>
    <x v="3720"/>
    <n v="4418.51"/>
    <s v="Complete Access"/>
    <x v="10"/>
    <x v="0"/>
    <x v="0"/>
    <d v="1900-01-27T00:00:00"/>
    <n v="52"/>
    <x v="2"/>
    <x v="7"/>
  </r>
  <r>
    <x v="1786"/>
    <n v="-25.4"/>
    <x v="3721"/>
    <n v="4443.6499999999996"/>
    <s v="Complete Access"/>
    <x v="260"/>
    <x v="1"/>
    <x v="5"/>
    <d v="1900-01-27T00:00:00"/>
    <n v="52"/>
    <x v="2"/>
    <x v="7"/>
  </r>
  <r>
    <x v="1786"/>
    <n v="-18.37"/>
    <x v="3722"/>
    <n v="4379.24"/>
    <s v="Complete Access"/>
    <x v="1"/>
    <x v="1"/>
    <x v="1"/>
    <d v="1900-01-27T00:00:00"/>
    <n v="52"/>
    <x v="2"/>
    <x v="7"/>
  </r>
  <r>
    <x v="1787"/>
    <n v="-100"/>
    <x v="3403"/>
    <n v="4469.05"/>
    <s v="Complete Access"/>
    <x v="601"/>
    <x v="0"/>
    <x v="0"/>
    <d v="1900-01-26T00:00:00"/>
    <n v="52"/>
    <x v="2"/>
    <x v="7"/>
  </r>
  <r>
    <x v="1788"/>
    <n v="-20"/>
    <x v="3723"/>
    <n v="4658.7299999999996"/>
    <s v="Complete Access"/>
    <x v="819"/>
    <x v="5"/>
    <x v="83"/>
    <d v="1900-01-24T00:00:00"/>
    <n v="52"/>
    <x v="2"/>
    <x v="7"/>
  </r>
  <r>
    <x v="1788"/>
    <n v="-50"/>
    <x v="3724"/>
    <n v="4569.05"/>
    <s v="Complete Access"/>
    <x v="847"/>
    <x v="18"/>
    <x v="80"/>
    <d v="1900-01-24T00:00:00"/>
    <n v="52"/>
    <x v="2"/>
    <x v="7"/>
  </r>
  <r>
    <x v="1788"/>
    <n v="-15.5"/>
    <x v="3725"/>
    <n v="4619.05"/>
    <s v="Complete Access"/>
    <x v="843"/>
    <x v="1"/>
    <x v="5"/>
    <d v="1900-01-24T00:00:00"/>
    <n v="52"/>
    <x v="2"/>
    <x v="7"/>
  </r>
  <r>
    <x v="1788"/>
    <n v="-12.5"/>
    <x v="3726"/>
    <n v="4634.55"/>
    <s v="Complete Access"/>
    <x v="843"/>
    <x v="1"/>
    <x v="5"/>
    <d v="1900-01-24T00:00:00"/>
    <n v="52"/>
    <x v="2"/>
    <x v="7"/>
  </r>
  <r>
    <x v="1788"/>
    <n v="200"/>
    <x v="3727"/>
    <n v="4678.7299999999996"/>
    <s v="Complete Access"/>
    <x v="657"/>
    <x v="0"/>
    <x v="69"/>
    <d v="1900-01-24T00:00:00"/>
    <n v="52"/>
    <x v="2"/>
    <x v="7"/>
  </r>
  <r>
    <x v="1788"/>
    <n v="-11.68"/>
    <x v="3728"/>
    <n v="4647.05"/>
    <s v="Complete Access"/>
    <x v="27"/>
    <x v="1"/>
    <x v="5"/>
    <d v="1900-01-24T00:00:00"/>
    <n v="52"/>
    <x v="2"/>
    <x v="7"/>
  </r>
  <r>
    <x v="1789"/>
    <n v="1080.25"/>
    <x v="3188"/>
    <n v="4478.7299999999996"/>
    <s v="Complete Access"/>
    <x v="14"/>
    <x v="6"/>
    <x v="9"/>
    <d v="1900-01-23T00:00:00"/>
    <n v="52"/>
    <x v="2"/>
    <x v="7"/>
  </r>
  <r>
    <x v="1790"/>
    <n v="-29.19"/>
    <x v="3729"/>
    <n v="3398.48"/>
    <s v="Complete Access"/>
    <x v="668"/>
    <x v="15"/>
    <x v="34"/>
    <d v="1900-01-22T00:00:00"/>
    <n v="52"/>
    <x v="2"/>
    <x v="7"/>
  </r>
  <r>
    <x v="1790"/>
    <n v="-4"/>
    <x v="3730"/>
    <n v="3427.67"/>
    <s v="Complete Access"/>
    <x v="34"/>
    <x v="9"/>
    <x v="12"/>
    <d v="1900-01-22T00:00:00"/>
    <n v="52"/>
    <x v="2"/>
    <x v="7"/>
  </r>
  <r>
    <x v="1791"/>
    <n v="-30"/>
    <x v="3731"/>
    <n v="4046.67"/>
    <s v="Complete Access"/>
    <x v="8"/>
    <x v="1"/>
    <x v="5"/>
    <d v="1900-01-21T00:00:00"/>
    <n v="51"/>
    <x v="2"/>
    <x v="7"/>
  </r>
  <r>
    <x v="1791"/>
    <n v="-515"/>
    <x v="3404"/>
    <n v="3431.67"/>
    <s v="Complete Access"/>
    <x v="783"/>
    <x v="19"/>
    <x v="61"/>
    <d v="1900-01-21T00:00:00"/>
    <n v="51"/>
    <x v="2"/>
    <x v="7"/>
  </r>
  <r>
    <x v="1791"/>
    <n v="-11.4"/>
    <x v="3732"/>
    <n v="4076.67"/>
    <s v="Complete Access"/>
    <x v="609"/>
    <x v="1"/>
    <x v="1"/>
    <d v="1900-01-21T00:00:00"/>
    <n v="51"/>
    <x v="2"/>
    <x v="7"/>
  </r>
  <r>
    <x v="1791"/>
    <n v="-12.5"/>
    <x v="3733"/>
    <n v="4247.53"/>
    <s v="Complete Access"/>
    <x v="843"/>
    <x v="1"/>
    <x v="5"/>
    <d v="1900-01-21T00:00:00"/>
    <n v="51"/>
    <x v="2"/>
    <x v="7"/>
  </r>
  <r>
    <x v="1791"/>
    <n v="-100"/>
    <x v="2274"/>
    <n v="3946.67"/>
    <s v="Complete Access"/>
    <x v="552"/>
    <x v="0"/>
    <x v="74"/>
    <d v="1900-01-21T00:00:00"/>
    <n v="51"/>
    <x v="2"/>
    <x v="7"/>
  </r>
  <r>
    <x v="1791"/>
    <n v="-159.46"/>
    <x v="3734"/>
    <n v="4088.07"/>
    <s v="Complete Access"/>
    <x v="540"/>
    <x v="12"/>
    <x v="21"/>
    <d v="1900-01-21T00:00:00"/>
    <n v="51"/>
    <x v="2"/>
    <x v="7"/>
  </r>
  <r>
    <x v="1792"/>
    <n v="-12.95"/>
    <x v="3735"/>
    <n v="4310.03"/>
    <s v="Complete Access"/>
    <x v="839"/>
    <x v="1"/>
    <x v="85"/>
    <d v="1900-01-20T00:00:00"/>
    <n v="51"/>
    <x v="2"/>
    <x v="7"/>
  </r>
  <r>
    <x v="1792"/>
    <n v="-50"/>
    <x v="3403"/>
    <n v="4260.03"/>
    <s v="Complete Access"/>
    <x v="601"/>
    <x v="0"/>
    <x v="0"/>
    <d v="1900-01-20T00:00:00"/>
    <n v="51"/>
    <x v="2"/>
    <x v="7"/>
  </r>
  <r>
    <x v="1792"/>
    <n v="-14.8"/>
    <x v="3736"/>
    <n v="4322.9799999999996"/>
    <s v="Complete Access"/>
    <x v="833"/>
    <x v="1"/>
    <x v="5"/>
    <d v="1900-01-20T00:00:00"/>
    <n v="51"/>
    <x v="2"/>
    <x v="7"/>
  </r>
  <r>
    <x v="1793"/>
    <n v="-26.95"/>
    <x v="3737"/>
    <n v="4513.18"/>
    <s v="Complete Access"/>
    <x v="806"/>
    <x v="20"/>
    <x v="63"/>
    <d v="1900-01-19T00:00:00"/>
    <n v="51"/>
    <x v="2"/>
    <x v="7"/>
  </r>
  <r>
    <x v="1793"/>
    <n v="-10.87"/>
    <x v="3738"/>
    <n v="4540.13"/>
    <s v="Complete Access"/>
    <x v="609"/>
    <x v="1"/>
    <x v="1"/>
    <d v="1900-01-19T00:00:00"/>
    <n v="51"/>
    <x v="2"/>
    <x v="7"/>
  </r>
  <r>
    <x v="1793"/>
    <n v="-12.5"/>
    <x v="3739"/>
    <n v="4551"/>
    <s v="Complete Access"/>
    <x v="843"/>
    <x v="1"/>
    <x v="5"/>
    <d v="1900-01-19T00:00:00"/>
    <n v="51"/>
    <x v="2"/>
    <x v="7"/>
  </r>
  <r>
    <x v="1793"/>
    <n v="-175.4"/>
    <x v="3740"/>
    <n v="4337.78"/>
    <s v="Complete Access"/>
    <x v="741"/>
    <x v="16"/>
    <x v="81"/>
    <d v="1900-01-19T00:00:00"/>
    <n v="51"/>
    <x v="2"/>
    <x v="7"/>
  </r>
  <r>
    <x v="1794"/>
    <n v="1080.25"/>
    <x v="3188"/>
    <n v="4563.5"/>
    <s v="Complete Access"/>
    <x v="14"/>
    <x v="6"/>
    <x v="9"/>
    <d v="1900-01-18T00:00:00"/>
    <n v="51"/>
    <x v="2"/>
    <x v="7"/>
  </r>
  <r>
    <x v="1794"/>
    <n v="-15"/>
    <x v="3741"/>
    <n v="3515.75"/>
    <s v="Complete Access"/>
    <x v="848"/>
    <x v="1"/>
    <x v="5"/>
    <d v="1900-01-18T00:00:00"/>
    <n v="51"/>
    <x v="2"/>
    <x v="7"/>
  </r>
  <r>
    <x v="1794"/>
    <n v="-32.5"/>
    <x v="3742"/>
    <n v="3483.25"/>
    <s v="Complete Access"/>
    <x v="1"/>
    <x v="1"/>
    <x v="1"/>
    <d v="1900-01-18T00:00:00"/>
    <n v="51"/>
    <x v="2"/>
    <x v="7"/>
  </r>
  <r>
    <x v="1795"/>
    <n v="-30.8"/>
    <x v="3743"/>
    <n v="3545.25"/>
    <s v="Complete Access"/>
    <x v="8"/>
    <x v="1"/>
    <x v="5"/>
    <d v="1900-01-17T00:00:00"/>
    <n v="51"/>
    <x v="2"/>
    <x v="7"/>
  </r>
  <r>
    <x v="1795"/>
    <n v="-14.5"/>
    <x v="3744"/>
    <n v="3530.75"/>
    <s v="Complete Access"/>
    <x v="843"/>
    <x v="1"/>
    <x v="5"/>
    <d v="1900-01-17T00:00:00"/>
    <n v="51"/>
    <x v="2"/>
    <x v="7"/>
  </r>
  <r>
    <x v="1795"/>
    <n v="-54.1"/>
    <x v="3745"/>
    <n v="3621.34"/>
    <s v="Complete Access"/>
    <x v="393"/>
    <x v="11"/>
    <x v="49"/>
    <d v="1900-01-17T00:00:00"/>
    <n v="51"/>
    <x v="2"/>
    <x v="7"/>
  </r>
  <r>
    <x v="1795"/>
    <n v="-45.29"/>
    <x v="3746"/>
    <n v="3576.05"/>
    <s v="Complete Access"/>
    <x v="1"/>
    <x v="1"/>
    <x v="1"/>
    <d v="1900-01-17T00:00:00"/>
    <n v="51"/>
    <x v="2"/>
    <x v="7"/>
  </r>
  <r>
    <x v="1796"/>
    <n v="220"/>
    <x v="3378"/>
    <n v="3675.44"/>
    <s v="Complete Access"/>
    <x v="722"/>
    <x v="0"/>
    <x v="0"/>
    <d v="1900-01-16T00:00:00"/>
    <n v="51"/>
    <x v="2"/>
    <x v="7"/>
  </r>
  <r>
    <x v="1797"/>
    <n v="-37.64"/>
    <x v="3747"/>
    <n v="4084.24"/>
    <s v="Complete Access"/>
    <x v="841"/>
    <x v="2"/>
    <x v="86"/>
    <d v="1900-01-14T00:00:00"/>
    <n v="50"/>
    <x v="2"/>
    <x v="7"/>
  </r>
  <r>
    <x v="1797"/>
    <n v="-515"/>
    <x v="3404"/>
    <n v="3455.44"/>
    <s v="Complete Access"/>
    <x v="783"/>
    <x v="19"/>
    <x v="61"/>
    <d v="1900-01-14T00:00:00"/>
    <n v="50"/>
    <x v="2"/>
    <x v="7"/>
  </r>
  <r>
    <x v="1797"/>
    <n v="-100"/>
    <x v="2274"/>
    <n v="3970.44"/>
    <s v="Complete Access"/>
    <x v="552"/>
    <x v="0"/>
    <x v="74"/>
    <d v="1900-01-14T00:00:00"/>
    <n v="50"/>
    <x v="2"/>
    <x v="7"/>
  </r>
  <r>
    <x v="1797"/>
    <n v="-13.8"/>
    <x v="3748"/>
    <n v="4070.44"/>
    <s v="Complete Access"/>
    <x v="833"/>
    <x v="1"/>
    <x v="5"/>
    <d v="1900-01-14T00:00:00"/>
    <n v="50"/>
    <x v="2"/>
    <x v="7"/>
  </r>
  <r>
    <x v="1798"/>
    <n v="-50"/>
    <x v="3749"/>
    <n v="4121.88"/>
    <s v="Complete Access"/>
    <x v="776"/>
    <x v="5"/>
    <x v="83"/>
    <d v="1900-01-13T00:00:00"/>
    <n v="50"/>
    <x v="2"/>
    <x v="7"/>
  </r>
  <r>
    <x v="1798"/>
    <n v="-12.5"/>
    <x v="3750"/>
    <n v="4171.88"/>
    <s v="Complete Access"/>
    <x v="843"/>
    <x v="1"/>
    <x v="5"/>
    <d v="1900-01-13T00:00:00"/>
    <n v="50"/>
    <x v="2"/>
    <x v="7"/>
  </r>
  <r>
    <x v="1798"/>
    <n v="-13.5"/>
    <x v="3751"/>
    <n v="4184.38"/>
    <s v="Complete Access"/>
    <x v="687"/>
    <x v="1"/>
    <x v="5"/>
    <d v="1900-01-13T00:00:00"/>
    <n v="50"/>
    <x v="2"/>
    <x v="7"/>
  </r>
  <r>
    <x v="1799"/>
    <n v="-10.39"/>
    <x v="3752"/>
    <n v="4303.78"/>
    <s v="Complete Access"/>
    <x v="609"/>
    <x v="1"/>
    <x v="1"/>
    <d v="1900-01-12T00:00:00"/>
    <n v="50"/>
    <x v="2"/>
    <x v="7"/>
  </r>
  <r>
    <x v="1799"/>
    <n v="-14.4"/>
    <x v="3753"/>
    <n v="4289.38"/>
    <s v="Complete Access"/>
    <x v="260"/>
    <x v="1"/>
    <x v="5"/>
    <d v="1900-01-12T00:00:00"/>
    <n v="50"/>
    <x v="2"/>
    <x v="7"/>
  </r>
  <r>
    <x v="1799"/>
    <n v="-73"/>
    <x v="2543"/>
    <n v="4197.88"/>
    <s v="Complete Access"/>
    <x v="17"/>
    <x v="7"/>
    <x v="11"/>
    <d v="1900-01-12T00:00:00"/>
    <n v="50"/>
    <x v="2"/>
    <x v="7"/>
  </r>
  <r>
    <x v="1799"/>
    <n v="-18.5"/>
    <x v="3754"/>
    <n v="4270.88"/>
    <s v="Complete Access"/>
    <x v="1"/>
    <x v="1"/>
    <x v="1"/>
    <d v="1900-01-12T00:00:00"/>
    <n v="50"/>
    <x v="2"/>
    <x v="7"/>
  </r>
  <r>
    <x v="1800"/>
    <n v="1080.25"/>
    <x v="3188"/>
    <n v="4314.17"/>
    <s v="Complete Access"/>
    <x v="14"/>
    <x v="6"/>
    <x v="9"/>
    <d v="1900-01-11T00:00:00"/>
    <n v="50"/>
    <x v="2"/>
    <x v="7"/>
  </r>
  <r>
    <x v="1800"/>
    <n v="-8.5"/>
    <x v="3755"/>
    <n v="3258.92"/>
    <s v="Complete Access"/>
    <x v="849"/>
    <x v="8"/>
    <x v="29"/>
    <d v="1900-01-11T00:00:00"/>
    <n v="50"/>
    <x v="2"/>
    <x v="7"/>
  </r>
  <r>
    <x v="1800"/>
    <n v="-25"/>
    <x v="3061"/>
    <n v="3233.92"/>
    <s v="Complete Access"/>
    <x v="27"/>
    <x v="1"/>
    <x v="5"/>
    <d v="1900-01-11T00:00:00"/>
    <n v="50"/>
    <x v="2"/>
    <x v="7"/>
  </r>
  <r>
    <x v="1801"/>
    <n v="-30"/>
    <x v="3756"/>
    <n v="3267.42"/>
    <s v="Complete Access"/>
    <x v="8"/>
    <x v="1"/>
    <x v="5"/>
    <d v="1900-01-10T00:00:00"/>
    <n v="50"/>
    <x v="2"/>
    <x v="7"/>
  </r>
  <r>
    <x v="1801"/>
    <n v="-17.8"/>
    <x v="3757"/>
    <n v="3373.15"/>
    <s v="Complete Access"/>
    <x v="833"/>
    <x v="1"/>
    <x v="5"/>
    <d v="1900-01-10T00:00:00"/>
    <n v="50"/>
    <x v="2"/>
    <x v="7"/>
  </r>
  <r>
    <x v="1801"/>
    <n v="-12.8"/>
    <x v="3758"/>
    <n v="3297.42"/>
    <s v="Complete Access"/>
    <x v="833"/>
    <x v="1"/>
    <x v="5"/>
    <d v="1900-01-10T00:00:00"/>
    <n v="50"/>
    <x v="2"/>
    <x v="7"/>
  </r>
  <r>
    <x v="1801"/>
    <n v="-19.43"/>
    <x v="3759"/>
    <n v="3353.72"/>
    <s v="Complete Access"/>
    <x v="237"/>
    <x v="15"/>
    <x v="34"/>
    <d v="1900-01-10T00:00:00"/>
    <n v="50"/>
    <x v="2"/>
    <x v="7"/>
  </r>
  <r>
    <x v="1801"/>
    <n v="-43.5"/>
    <x v="3760"/>
    <n v="3310.22"/>
    <s v="Complete Access"/>
    <x v="1"/>
    <x v="1"/>
    <x v="1"/>
    <d v="1900-01-10T00:00:00"/>
    <n v="50"/>
    <x v="2"/>
    <x v="7"/>
  </r>
  <r>
    <x v="1802"/>
    <n v="-515"/>
    <x v="3404"/>
    <n v="3390.95"/>
    <s v="Complete Access"/>
    <x v="783"/>
    <x v="19"/>
    <x v="61"/>
    <d v="1900-01-07T00:00:00"/>
    <n v="49"/>
    <x v="2"/>
    <x v="7"/>
  </r>
  <r>
    <x v="1802"/>
    <n v="-18"/>
    <x v="3761"/>
    <n v="4005.95"/>
    <s v="Complete Access"/>
    <x v="850"/>
    <x v="8"/>
    <x v="29"/>
    <d v="1900-01-07T00:00:00"/>
    <n v="49"/>
    <x v="2"/>
    <x v="7"/>
  </r>
  <r>
    <x v="1802"/>
    <n v="-8.5"/>
    <x v="3762"/>
    <n v="4023.95"/>
    <s v="Complete Access"/>
    <x v="850"/>
    <x v="8"/>
    <x v="29"/>
    <d v="1900-01-07T00:00:00"/>
    <n v="49"/>
    <x v="2"/>
    <x v="7"/>
  </r>
  <r>
    <x v="1802"/>
    <n v="-100"/>
    <x v="2274"/>
    <n v="3905.95"/>
    <s v="Complete Access"/>
    <x v="552"/>
    <x v="0"/>
    <x v="74"/>
    <d v="1900-01-07T00:00:00"/>
    <n v="49"/>
    <x v="2"/>
    <x v="7"/>
  </r>
  <r>
    <x v="1802"/>
    <n v="-13.8"/>
    <x v="3763"/>
    <n v="4032.45"/>
    <s v="Complete Access"/>
    <x v="833"/>
    <x v="1"/>
    <x v="5"/>
    <d v="1900-01-07T00:00:00"/>
    <n v="49"/>
    <x v="2"/>
    <x v="7"/>
  </r>
  <r>
    <x v="1803"/>
    <n v="-50"/>
    <x v="3764"/>
    <n v="4046.25"/>
    <s v="Complete Access"/>
    <x v="601"/>
    <x v="0"/>
    <x v="0"/>
    <d v="1900-01-06T00:00:00"/>
    <n v="49"/>
    <x v="2"/>
    <x v="7"/>
  </r>
  <r>
    <x v="1803"/>
    <n v="-12.5"/>
    <x v="3765"/>
    <n v="4163.9799999999996"/>
    <s v="Complete Access"/>
    <x v="843"/>
    <x v="1"/>
    <x v="5"/>
    <d v="1900-01-06T00:00:00"/>
    <n v="49"/>
    <x v="2"/>
    <x v="7"/>
  </r>
  <r>
    <x v="1803"/>
    <n v="-10.15"/>
    <x v="3766"/>
    <n v="4096.25"/>
    <s v="Complete Access"/>
    <x v="851"/>
    <x v="1"/>
    <x v="5"/>
    <d v="1900-01-06T00:00:00"/>
    <n v="49"/>
    <x v="2"/>
    <x v="7"/>
  </r>
  <r>
    <x v="1803"/>
    <n v="-57.58"/>
    <x v="3767"/>
    <n v="4106.3999999999996"/>
    <s v="Complete Access"/>
    <x v="1"/>
    <x v="1"/>
    <x v="1"/>
    <d v="1900-01-06T00:00:00"/>
    <n v="49"/>
    <x v="2"/>
    <x v="7"/>
  </r>
  <r>
    <x v="1804"/>
    <n v="-12.25"/>
    <x v="3768"/>
    <n v="4142.58"/>
    <s v="Complete Access"/>
    <x v="839"/>
    <x v="1"/>
    <x v="85"/>
    <d v="1900-01-05T00:00:00"/>
    <n v="49"/>
    <x v="2"/>
    <x v="7"/>
  </r>
  <r>
    <x v="1804"/>
    <n v="-6"/>
    <x v="3769"/>
    <n v="4119.88"/>
    <s v="Complete Access"/>
    <x v="61"/>
    <x v="1"/>
    <x v="1"/>
    <d v="1900-01-05T00:00:00"/>
    <n v="49"/>
    <x v="2"/>
    <x v="7"/>
  </r>
  <r>
    <x v="1804"/>
    <n v="-18"/>
    <x v="3770"/>
    <n v="4351.88"/>
    <s v="Complete Access"/>
    <x v="850"/>
    <x v="8"/>
    <x v="29"/>
    <d v="1900-01-05T00:00:00"/>
    <n v="49"/>
    <x v="2"/>
    <x v="7"/>
  </r>
  <r>
    <x v="1804"/>
    <n v="-16.7"/>
    <x v="3771"/>
    <n v="4125.88"/>
    <s v="Complete Access"/>
    <x v="609"/>
    <x v="1"/>
    <x v="1"/>
    <d v="1900-01-05T00:00:00"/>
    <n v="49"/>
    <x v="2"/>
    <x v="7"/>
  </r>
  <r>
    <x v="1804"/>
    <n v="250"/>
    <x v="3772"/>
    <n v="4369.88"/>
    <s v="Complete Access"/>
    <x v="657"/>
    <x v="0"/>
    <x v="69"/>
    <d v="1900-01-05T00:00:00"/>
    <n v="49"/>
    <x v="2"/>
    <x v="7"/>
  </r>
  <r>
    <x v="1804"/>
    <n v="-175.4"/>
    <x v="3773"/>
    <n v="4176.4799999999996"/>
    <s v="Complete Access"/>
    <x v="741"/>
    <x v="16"/>
    <x v="81"/>
    <d v="1900-01-05T00:00:00"/>
    <n v="49"/>
    <x v="2"/>
    <x v="7"/>
  </r>
  <r>
    <x v="1805"/>
    <n v="-30"/>
    <x v="3774"/>
    <n v="3549.82"/>
    <s v="Complete Access"/>
    <x v="8"/>
    <x v="1"/>
    <x v="5"/>
    <d v="1900-01-04T00:00:00"/>
    <n v="49"/>
    <x v="2"/>
    <x v="7"/>
  </r>
  <r>
    <x v="1805"/>
    <n v="890.2"/>
    <x v="3188"/>
    <n v="4154.83"/>
    <s v="Complete Access"/>
    <x v="14"/>
    <x v="6"/>
    <x v="9"/>
    <d v="1900-01-04T00:00:00"/>
    <n v="49"/>
    <x v="2"/>
    <x v="7"/>
  </r>
  <r>
    <x v="1805"/>
    <n v="-179"/>
    <x v="3775"/>
    <n v="3264.63"/>
    <s v="Complete Access"/>
    <x v="347"/>
    <x v="3"/>
    <x v="62"/>
    <d v="1900-01-04T00:00:00"/>
    <n v="49"/>
    <x v="2"/>
    <x v="7"/>
  </r>
  <r>
    <x v="1805"/>
    <n v="-60"/>
    <x v="3776"/>
    <n v="3489.82"/>
    <s v="Complete Access"/>
    <x v="219"/>
    <x v="7"/>
    <x v="53"/>
    <d v="1900-01-04T00:00:00"/>
    <n v="49"/>
    <x v="2"/>
    <x v="7"/>
  </r>
  <r>
    <x v="1805"/>
    <n v="-119"/>
    <x v="3777"/>
    <n v="3579.82"/>
    <s v="Complete Access"/>
    <x v="852"/>
    <x v="4"/>
    <x v="62"/>
    <d v="1900-01-04T00:00:00"/>
    <n v="49"/>
    <x v="2"/>
    <x v="7"/>
  </r>
  <r>
    <x v="1805"/>
    <n v="-46.19"/>
    <x v="3778"/>
    <n v="3443.63"/>
    <s v="Complete Access"/>
    <x v="34"/>
    <x v="9"/>
    <x v="12"/>
    <d v="1900-01-04T00:00:00"/>
    <n v="49"/>
    <x v="2"/>
    <x v="7"/>
  </r>
  <r>
    <x v="1806"/>
    <n v="-50"/>
    <x v="3779"/>
    <n v="3727.61"/>
    <s v="Complete Access"/>
    <x v="819"/>
    <x v="5"/>
    <x v="83"/>
    <d v="1900-01-03T00:00:00"/>
    <n v="49"/>
    <x v="2"/>
    <x v="7"/>
  </r>
  <r>
    <x v="1806"/>
    <n v="-6.96"/>
    <x v="3780"/>
    <n v="3698.82"/>
    <s v="Complete Access"/>
    <x v="609"/>
    <x v="1"/>
    <x v="1"/>
    <d v="1900-01-03T00:00:00"/>
    <n v="49"/>
    <x v="2"/>
    <x v="7"/>
  </r>
  <r>
    <x v="1806"/>
    <n v="-8.33"/>
    <x v="3781"/>
    <n v="3705.78"/>
    <s v="Complete Access"/>
    <x v="1"/>
    <x v="1"/>
    <x v="1"/>
    <d v="1900-01-03T00:00:00"/>
    <n v="49"/>
    <x v="2"/>
    <x v="7"/>
  </r>
  <r>
    <x v="1806"/>
    <n v="-13.5"/>
    <x v="3782"/>
    <n v="3714.11"/>
    <s v="Complete Access"/>
    <x v="687"/>
    <x v="1"/>
    <x v="5"/>
    <d v="1900-01-03T00:00:00"/>
    <n v="49"/>
    <x v="2"/>
    <x v="7"/>
  </r>
  <r>
    <x v="1807"/>
    <n v="-166.4"/>
    <x v="3783"/>
    <n v="3777.61"/>
    <s v="Complete Access"/>
    <x v="76"/>
    <x v="2"/>
    <x v="2"/>
    <d v="1900-01-02T00:00:00"/>
    <n v="49"/>
    <x v="2"/>
    <x v="7"/>
  </r>
  <r>
    <x v="1808"/>
    <n v="-7.77"/>
    <x v="3784"/>
    <n v="4559.01"/>
    <s v="Complete Access"/>
    <x v="61"/>
    <x v="1"/>
    <x v="1"/>
    <d v="1899-12-31T00:00:00"/>
    <n v="48"/>
    <x v="2"/>
    <x v="7"/>
  </r>
  <r>
    <x v="1808"/>
    <n v="-515"/>
    <x v="3404"/>
    <n v="3944.01"/>
    <s v="Complete Access"/>
    <x v="783"/>
    <x v="19"/>
    <x v="61"/>
    <d v="1899-12-31T00:00:00"/>
    <n v="48"/>
    <x v="2"/>
    <x v="7"/>
  </r>
  <r>
    <x v="1808"/>
    <n v="-9.99"/>
    <x v="3785"/>
    <n v="4566.78"/>
    <s v="Complete Access"/>
    <x v="373"/>
    <x v="8"/>
    <x v="7"/>
    <d v="1899-12-31T00:00:00"/>
    <n v="48"/>
    <x v="2"/>
    <x v="7"/>
  </r>
  <r>
    <x v="1808"/>
    <n v="-100"/>
    <x v="2274"/>
    <n v="4459.01"/>
    <s v="Complete Access"/>
    <x v="552"/>
    <x v="0"/>
    <x v="74"/>
    <d v="1899-12-31T00:00:00"/>
    <n v="48"/>
    <x v="2"/>
    <x v="7"/>
  </r>
  <r>
    <x v="1809"/>
    <n v="-22.2"/>
    <x v="3786"/>
    <n v="4576.7700000000004"/>
    <s v="Complete Access"/>
    <x v="1"/>
    <x v="1"/>
    <x v="1"/>
    <d v="1900-01-29T00:00:00"/>
    <n v="48"/>
    <x v="3"/>
    <x v="7"/>
  </r>
  <r>
    <x v="1809"/>
    <n v="-13.5"/>
    <x v="3787"/>
    <n v="4598.97"/>
    <s v="Complete Access"/>
    <x v="687"/>
    <x v="1"/>
    <x v="5"/>
    <d v="1900-01-29T00:00:00"/>
    <n v="48"/>
    <x v="3"/>
    <x v="7"/>
  </r>
  <r>
    <x v="1810"/>
    <n v="-10.45"/>
    <x v="3788"/>
    <n v="4681.22"/>
    <s v="Complete Access"/>
    <x v="839"/>
    <x v="1"/>
    <x v="85"/>
    <d v="1900-01-28T00:00:00"/>
    <n v="48"/>
    <x v="3"/>
    <x v="7"/>
  </r>
  <r>
    <x v="1810"/>
    <n v="-13.4"/>
    <x v="3789"/>
    <n v="4667.82"/>
    <s v="Complete Access"/>
    <x v="609"/>
    <x v="1"/>
    <x v="1"/>
    <d v="1900-01-28T00:00:00"/>
    <n v="48"/>
    <x v="3"/>
    <x v="7"/>
  </r>
  <r>
    <x v="1810"/>
    <n v="-35.25"/>
    <x v="3790"/>
    <n v="4612.47"/>
    <s v="Complete Access"/>
    <x v="853"/>
    <x v="3"/>
    <x v="26"/>
    <d v="1900-01-28T00:00:00"/>
    <n v="48"/>
    <x v="3"/>
    <x v="7"/>
  </r>
  <r>
    <x v="1810"/>
    <n v="-11.45"/>
    <x v="3791"/>
    <n v="4691.67"/>
    <s v="Complete Access"/>
    <x v="27"/>
    <x v="1"/>
    <x v="5"/>
    <d v="1900-01-28T00:00:00"/>
    <n v="48"/>
    <x v="3"/>
    <x v="7"/>
  </r>
  <r>
    <x v="1810"/>
    <n v="-20.100000000000001"/>
    <x v="3792"/>
    <n v="4647.72"/>
    <s v="Complete Access"/>
    <x v="260"/>
    <x v="1"/>
    <x v="5"/>
    <d v="1900-01-28T00:00:00"/>
    <n v="48"/>
    <x v="3"/>
    <x v="7"/>
  </r>
  <r>
    <x v="1811"/>
    <n v="1052.1099999999999"/>
    <x v="3188"/>
    <n v="4703.12"/>
    <s v="Complete Access"/>
    <x v="14"/>
    <x v="6"/>
    <x v="9"/>
    <d v="1900-01-27T00:00:00"/>
    <n v="48"/>
    <x v="3"/>
    <x v="7"/>
  </r>
  <r>
    <x v="1811"/>
    <n v="-36.97"/>
    <x v="3793"/>
    <n v="3651.01"/>
    <s v="Complete Access"/>
    <x v="1"/>
    <x v="1"/>
    <x v="1"/>
    <d v="1900-01-27T00:00:00"/>
    <n v="48"/>
    <x v="3"/>
    <x v="7"/>
  </r>
  <r>
    <x v="1812"/>
    <n v="-13.1"/>
    <x v="3794"/>
    <n v="3774.07"/>
    <s v="Complete Access"/>
    <x v="839"/>
    <x v="1"/>
    <x v="85"/>
    <d v="1900-01-26T00:00:00"/>
    <n v="48"/>
    <x v="3"/>
    <x v="7"/>
  </r>
  <r>
    <x v="1812"/>
    <n v="-7.14"/>
    <x v="3795"/>
    <n v="3749.13"/>
    <s v="Complete Access"/>
    <x v="61"/>
    <x v="1"/>
    <x v="1"/>
    <d v="1900-01-26T00:00:00"/>
    <n v="48"/>
    <x v="3"/>
    <x v="7"/>
  </r>
  <r>
    <x v="1812"/>
    <n v="-16"/>
    <x v="3796"/>
    <n v="3733.13"/>
    <s v="Complete Access"/>
    <x v="854"/>
    <x v="1"/>
    <x v="5"/>
    <d v="1900-01-26T00:00:00"/>
    <n v="48"/>
    <x v="3"/>
    <x v="7"/>
  </r>
  <r>
    <x v="1812"/>
    <n v="-17.8"/>
    <x v="3797"/>
    <n v="3756.27"/>
    <s v="Complete Access"/>
    <x v="855"/>
    <x v="1"/>
    <x v="5"/>
    <d v="1900-01-26T00:00:00"/>
    <n v="48"/>
    <x v="3"/>
    <x v="7"/>
  </r>
  <r>
    <x v="1812"/>
    <n v="-45.15"/>
    <x v="3798"/>
    <n v="3687.98"/>
    <s v="Complete Access"/>
    <x v="1"/>
    <x v="1"/>
    <x v="1"/>
    <d v="1900-01-26T00:00:00"/>
    <n v="48"/>
    <x v="3"/>
    <x v="7"/>
  </r>
  <r>
    <x v="1813"/>
    <n v="-515"/>
    <x v="3404"/>
    <n v="3787.17"/>
    <s v="Complete Access"/>
    <x v="783"/>
    <x v="19"/>
    <x v="61"/>
    <d v="1900-01-23T00:00:00"/>
    <n v="47"/>
    <x v="3"/>
    <x v="7"/>
  </r>
  <r>
    <x v="1813"/>
    <n v="-100"/>
    <x v="2274"/>
    <n v="4302.17"/>
    <s v="Complete Access"/>
    <x v="552"/>
    <x v="0"/>
    <x v="74"/>
    <d v="1900-01-23T00:00:00"/>
    <n v="47"/>
    <x v="3"/>
    <x v="7"/>
  </r>
  <r>
    <x v="1814"/>
    <n v="-12.5"/>
    <x v="3799"/>
    <n v="4452.17"/>
    <s v="Complete Access"/>
    <x v="61"/>
    <x v="1"/>
    <x v="1"/>
    <d v="1900-01-22T00:00:00"/>
    <n v="47"/>
    <x v="3"/>
    <x v="7"/>
  </r>
  <r>
    <x v="1814"/>
    <n v="-50"/>
    <x v="3764"/>
    <n v="4402.17"/>
    <s v="Complete Access"/>
    <x v="601"/>
    <x v="0"/>
    <x v="0"/>
    <d v="1900-01-22T00:00:00"/>
    <n v="47"/>
    <x v="3"/>
    <x v="7"/>
  </r>
  <r>
    <x v="1814"/>
    <n v="-5.95"/>
    <x v="3800"/>
    <n v="4464.67"/>
    <s v="Complete Access"/>
    <x v="806"/>
    <x v="20"/>
    <x v="63"/>
    <d v="1900-01-22T00:00:00"/>
    <n v="47"/>
    <x v="3"/>
    <x v="7"/>
  </r>
  <r>
    <x v="1814"/>
    <n v="-4.4000000000000004"/>
    <x v="3801"/>
    <n v="4498.04"/>
    <s v="Complete Access"/>
    <x v="819"/>
    <x v="5"/>
    <x v="83"/>
    <d v="1900-01-22T00:00:00"/>
    <n v="47"/>
    <x v="3"/>
    <x v="7"/>
  </r>
  <r>
    <x v="1814"/>
    <n v="-4.4000000000000004"/>
    <x v="3801"/>
    <n v="4502.4399999999996"/>
    <s v="Complete Access"/>
    <x v="819"/>
    <x v="5"/>
    <x v="83"/>
    <d v="1900-01-22T00:00:00"/>
    <n v="47"/>
    <x v="3"/>
    <x v="7"/>
  </r>
  <r>
    <x v="1814"/>
    <n v="-13.92"/>
    <x v="3802"/>
    <n v="4470.62"/>
    <s v="Complete Access"/>
    <x v="609"/>
    <x v="1"/>
    <x v="1"/>
    <d v="1900-01-22T00:00:00"/>
    <n v="47"/>
    <x v="3"/>
    <x v="7"/>
  </r>
  <r>
    <x v="1814"/>
    <n v="-13.5"/>
    <x v="3803"/>
    <n v="4484.54"/>
    <s v="Complete Access"/>
    <x v="687"/>
    <x v="1"/>
    <x v="5"/>
    <d v="1900-01-22T00:00:00"/>
    <n v="47"/>
    <x v="3"/>
    <x v="7"/>
  </r>
  <r>
    <x v="1815"/>
    <n v="-13"/>
    <x v="3804"/>
    <n v="4645.25"/>
    <s v="Complete Access"/>
    <x v="839"/>
    <x v="1"/>
    <x v="85"/>
    <d v="1900-01-21T00:00:00"/>
    <n v="47"/>
    <x v="3"/>
    <x v="7"/>
  </r>
  <r>
    <x v="1815"/>
    <n v="-8.41"/>
    <x v="3805"/>
    <n v="4636.84"/>
    <s v="Complete Access"/>
    <x v="61"/>
    <x v="1"/>
    <x v="1"/>
    <d v="1900-01-21T00:00:00"/>
    <n v="47"/>
    <x v="3"/>
    <x v="7"/>
  </r>
  <r>
    <x v="1815"/>
    <n v="-130"/>
    <x v="3806"/>
    <n v="4506.84"/>
    <s v="Complete Access"/>
    <x v="741"/>
    <x v="16"/>
    <x v="81"/>
    <d v="1900-01-21T00:00:00"/>
    <n v="47"/>
    <x v="3"/>
    <x v="7"/>
  </r>
  <r>
    <x v="1815"/>
    <n v="-13.5"/>
    <x v="3807"/>
    <n v="4658.25"/>
    <s v="Complete Access"/>
    <x v="687"/>
    <x v="1"/>
    <x v="5"/>
    <d v="1900-01-21T00:00:00"/>
    <n v="47"/>
    <x v="3"/>
    <x v="7"/>
  </r>
  <r>
    <x v="1816"/>
    <n v="-20"/>
    <x v="3808"/>
    <n v="3662.5"/>
    <s v="Complete Access"/>
    <x v="856"/>
    <x v="4"/>
    <x v="6"/>
    <d v="1900-01-20T00:00:00"/>
    <n v="47"/>
    <x v="3"/>
    <x v="7"/>
  </r>
  <r>
    <x v="1816"/>
    <n v="-10"/>
    <x v="3809"/>
    <n v="3682.5"/>
    <s v="Complete Access"/>
    <x v="856"/>
    <x v="4"/>
    <x v="6"/>
    <d v="1900-01-20T00:00:00"/>
    <n v="47"/>
    <x v="3"/>
    <x v="7"/>
  </r>
  <r>
    <x v="1816"/>
    <n v="-30"/>
    <x v="3810"/>
    <n v="3692.5"/>
    <s v="Complete Access"/>
    <x v="8"/>
    <x v="1"/>
    <x v="5"/>
    <d v="1900-01-20T00:00:00"/>
    <n v="47"/>
    <x v="3"/>
    <x v="7"/>
  </r>
  <r>
    <x v="1816"/>
    <n v="-50"/>
    <x v="3811"/>
    <n v="3722.5"/>
    <s v="Complete Access"/>
    <x v="776"/>
    <x v="5"/>
    <x v="83"/>
    <d v="1900-01-20T00:00:00"/>
    <n v="47"/>
    <x v="3"/>
    <x v="7"/>
  </r>
  <r>
    <x v="1816"/>
    <n v="1080.25"/>
    <x v="3188"/>
    <n v="4671.75"/>
    <s v="Complete Access"/>
    <x v="14"/>
    <x v="6"/>
    <x v="9"/>
    <d v="1900-01-20T00:00:00"/>
    <n v="47"/>
    <x v="3"/>
    <x v="7"/>
  </r>
  <r>
    <x v="1816"/>
    <n v="-60"/>
    <x v="2929"/>
    <n v="3591.5"/>
    <s v="Complete Access"/>
    <x v="645"/>
    <x v="0"/>
    <x v="69"/>
    <d v="1900-01-20T00:00:00"/>
    <n v="47"/>
    <x v="3"/>
    <x v="7"/>
  </r>
  <r>
    <x v="1816"/>
    <n v="-11"/>
    <x v="3812"/>
    <n v="3651.5"/>
    <s v="Complete Access"/>
    <x v="1"/>
    <x v="1"/>
    <x v="1"/>
    <d v="1900-01-20T00:00:00"/>
    <n v="47"/>
    <x v="3"/>
    <x v="7"/>
  </r>
  <r>
    <x v="1817"/>
    <n v="-78.5"/>
    <x v="3813"/>
    <n v="3805.5"/>
    <s v="Complete Access"/>
    <x v="8"/>
    <x v="1"/>
    <x v="5"/>
    <d v="1900-01-19T00:00:00"/>
    <n v="47"/>
    <x v="3"/>
    <x v="7"/>
  </r>
  <r>
    <x v="1817"/>
    <n v="-22.5"/>
    <x v="3814"/>
    <n v="3772.5"/>
    <s v="Complete Access"/>
    <x v="826"/>
    <x v="8"/>
    <x v="29"/>
    <d v="1900-01-19T00:00:00"/>
    <n v="47"/>
    <x v="3"/>
    <x v="7"/>
  </r>
  <r>
    <x v="1817"/>
    <n v="-13.5"/>
    <x v="3815"/>
    <n v="3884"/>
    <s v="Complete Access"/>
    <x v="687"/>
    <x v="1"/>
    <x v="5"/>
    <d v="1900-01-19T00:00:00"/>
    <n v="47"/>
    <x v="3"/>
    <x v="7"/>
  </r>
  <r>
    <x v="1817"/>
    <n v="-10.5"/>
    <x v="3816"/>
    <n v="3795"/>
    <s v="Complete Access"/>
    <x v="277"/>
    <x v="8"/>
    <x v="29"/>
    <d v="1900-01-19T00:00:00"/>
    <n v="47"/>
    <x v="3"/>
    <x v="7"/>
  </r>
  <r>
    <x v="1818"/>
    <n v="-18.5"/>
    <x v="3817"/>
    <n v="3897.5"/>
    <s v="Complete Access"/>
    <x v="857"/>
    <x v="4"/>
    <x v="6"/>
    <d v="1900-01-16T00:00:00"/>
    <n v="46"/>
    <x v="3"/>
    <x v="7"/>
  </r>
  <r>
    <x v="1818"/>
    <n v="-10"/>
    <x v="3818"/>
    <n v="3916"/>
    <s v="Complete Access"/>
    <x v="856"/>
    <x v="4"/>
    <x v="6"/>
    <d v="1900-01-16T00:00:00"/>
    <n v="46"/>
    <x v="3"/>
    <x v="7"/>
  </r>
  <r>
    <x v="1818"/>
    <n v="-16.239999999999998"/>
    <x v="3819"/>
    <n v="3926"/>
    <s v="Complete Access"/>
    <x v="858"/>
    <x v="8"/>
    <x v="29"/>
    <d v="1900-01-16T00:00:00"/>
    <n v="46"/>
    <x v="3"/>
    <x v="7"/>
  </r>
  <r>
    <x v="1818"/>
    <n v="-8.1199999999999992"/>
    <x v="3819"/>
    <n v="3942.24"/>
    <s v="Complete Access"/>
    <x v="858"/>
    <x v="8"/>
    <x v="29"/>
    <d v="1900-01-16T00:00:00"/>
    <n v="46"/>
    <x v="3"/>
    <x v="7"/>
  </r>
  <r>
    <x v="1818"/>
    <n v="-515"/>
    <x v="3404"/>
    <n v="3950.36"/>
    <s v="Complete Access"/>
    <x v="783"/>
    <x v="19"/>
    <x v="61"/>
    <d v="1900-01-16T00:00:00"/>
    <n v="46"/>
    <x v="3"/>
    <x v="7"/>
  </r>
  <r>
    <x v="1818"/>
    <n v="-100"/>
    <x v="2274"/>
    <n v="4465.3599999999997"/>
    <s v="Complete Access"/>
    <x v="552"/>
    <x v="0"/>
    <x v="74"/>
    <d v="1900-01-16T00:00:00"/>
    <n v="46"/>
    <x v="3"/>
    <x v="7"/>
  </r>
  <r>
    <x v="1819"/>
    <n v="30"/>
    <x v="3112"/>
    <n v="4540.3599999999997"/>
    <s v="Complete Access"/>
    <x v="76"/>
    <x v="2"/>
    <x v="2"/>
    <d v="1900-01-15T00:00:00"/>
    <n v="46"/>
    <x v="3"/>
    <x v="7"/>
  </r>
  <r>
    <x v="1819"/>
    <n v="25"/>
    <x v="3820"/>
    <n v="4565.3599999999997"/>
    <s v="Complete Access"/>
    <x v="67"/>
    <x v="0"/>
    <x v="0"/>
    <d v="1900-01-15T00:00:00"/>
    <n v="46"/>
    <x v="3"/>
    <x v="7"/>
  </r>
  <r>
    <x v="1819"/>
    <n v="-13.5"/>
    <x v="3821"/>
    <n v="4510.3599999999997"/>
    <s v="Complete Access"/>
    <x v="687"/>
    <x v="1"/>
    <x v="5"/>
    <d v="1900-01-15T00:00:00"/>
    <n v="46"/>
    <x v="3"/>
    <x v="7"/>
  </r>
  <r>
    <x v="1820"/>
    <n v="-37.64"/>
    <x v="3822"/>
    <n v="4513.3599999999997"/>
    <s v="Complete Access"/>
    <x v="841"/>
    <x v="2"/>
    <x v="86"/>
    <d v="1900-01-14T00:00:00"/>
    <n v="46"/>
    <x v="3"/>
    <x v="7"/>
  </r>
  <r>
    <x v="1820"/>
    <n v="-12.5"/>
    <x v="3823"/>
    <n v="4500.8599999999997"/>
    <s v="Complete Access"/>
    <x v="843"/>
    <x v="1"/>
    <x v="5"/>
    <d v="1900-01-14T00:00:00"/>
    <n v="46"/>
    <x v="3"/>
    <x v="7"/>
  </r>
  <r>
    <x v="1820"/>
    <n v="23"/>
    <x v="3136"/>
    <n v="4523.8599999999997"/>
    <s v="Complete Access"/>
    <x v="27"/>
    <x v="1"/>
    <x v="5"/>
    <d v="1900-01-14T00:00:00"/>
    <n v="46"/>
    <x v="3"/>
    <x v="7"/>
  </r>
  <r>
    <x v="1821"/>
    <n v="-37"/>
    <x v="3824"/>
    <n v="3509.45"/>
    <s v="Complete Access"/>
    <x v="8"/>
    <x v="1"/>
    <x v="5"/>
    <d v="1900-01-13T00:00:00"/>
    <n v="46"/>
    <x v="3"/>
    <x v="7"/>
  </r>
  <r>
    <x v="1821"/>
    <n v="-30"/>
    <x v="3825"/>
    <n v="3479.45"/>
    <s v="Complete Access"/>
    <x v="8"/>
    <x v="1"/>
    <x v="5"/>
    <d v="1900-01-13T00:00:00"/>
    <n v="46"/>
    <x v="3"/>
    <x v="7"/>
  </r>
  <r>
    <x v="1821"/>
    <n v="1080.25"/>
    <x v="3188"/>
    <n v="4551"/>
    <s v="Complete Access"/>
    <x v="14"/>
    <x v="6"/>
    <x v="9"/>
    <d v="1900-01-13T00:00:00"/>
    <n v="46"/>
    <x v="3"/>
    <x v="7"/>
  </r>
  <r>
    <x v="1821"/>
    <n v="-8.6999999999999993"/>
    <x v="3826"/>
    <n v="3470.75"/>
    <s v="Complete Access"/>
    <x v="1"/>
    <x v="1"/>
    <x v="1"/>
    <d v="1900-01-13T00:00:00"/>
    <n v="46"/>
    <x v="3"/>
    <x v="7"/>
  </r>
  <r>
    <x v="1822"/>
    <n v="-10.65"/>
    <x v="3827"/>
    <n v="3709.18"/>
    <s v="Complete Access"/>
    <x v="839"/>
    <x v="1"/>
    <x v="85"/>
    <d v="1900-01-12T00:00:00"/>
    <n v="46"/>
    <x v="3"/>
    <x v="7"/>
  </r>
  <r>
    <x v="1822"/>
    <n v="-7"/>
    <x v="3828"/>
    <n v="3702.18"/>
    <s v="Complete Access"/>
    <x v="61"/>
    <x v="1"/>
    <x v="1"/>
    <d v="1900-01-12T00:00:00"/>
    <n v="46"/>
    <x v="3"/>
    <x v="7"/>
  </r>
  <r>
    <x v="1822"/>
    <n v="-50"/>
    <x v="3829"/>
    <n v="3719.83"/>
    <s v="Complete Access"/>
    <x v="819"/>
    <x v="5"/>
    <x v="83"/>
    <d v="1900-01-12T00:00:00"/>
    <n v="46"/>
    <x v="3"/>
    <x v="7"/>
  </r>
  <r>
    <x v="1822"/>
    <n v="-35.36"/>
    <x v="3830"/>
    <n v="3769.83"/>
    <s v="Complete Access"/>
    <x v="609"/>
    <x v="1"/>
    <x v="1"/>
    <d v="1900-01-12T00:00:00"/>
    <n v="46"/>
    <x v="3"/>
    <x v="7"/>
  </r>
  <r>
    <x v="1822"/>
    <n v="-35.53"/>
    <x v="3831"/>
    <n v="3619.45"/>
    <s v="Complete Access"/>
    <x v="859"/>
    <x v="1"/>
    <x v="5"/>
    <d v="1900-01-12T00:00:00"/>
    <n v="46"/>
    <x v="3"/>
    <x v="7"/>
  </r>
  <r>
    <x v="1822"/>
    <n v="-9.14"/>
    <x v="3831"/>
    <n v="3654.98"/>
    <s v="Complete Access"/>
    <x v="859"/>
    <x v="1"/>
    <x v="5"/>
    <d v="1900-01-12T00:00:00"/>
    <n v="46"/>
    <x v="3"/>
    <x v="7"/>
  </r>
  <r>
    <x v="1822"/>
    <n v="-18.27"/>
    <x v="3831"/>
    <n v="3664.12"/>
    <s v="Complete Access"/>
    <x v="859"/>
    <x v="1"/>
    <x v="5"/>
    <d v="1900-01-12T00:00:00"/>
    <n v="46"/>
    <x v="3"/>
    <x v="7"/>
  </r>
  <r>
    <x v="1822"/>
    <n v="-19.79"/>
    <x v="3831"/>
    <n v="3682.39"/>
    <s v="Complete Access"/>
    <x v="859"/>
    <x v="1"/>
    <x v="5"/>
    <d v="1900-01-12T00:00:00"/>
    <n v="46"/>
    <x v="3"/>
    <x v="7"/>
  </r>
  <r>
    <x v="1822"/>
    <n v="-73"/>
    <x v="2543"/>
    <n v="3546.45"/>
    <s v="Complete Access"/>
    <x v="17"/>
    <x v="7"/>
    <x v="11"/>
    <d v="1900-01-12T00:00:00"/>
    <n v="46"/>
    <x v="3"/>
    <x v="7"/>
  </r>
  <r>
    <x v="1823"/>
    <n v="-6"/>
    <x v="3832"/>
    <n v="4420.1899999999996"/>
    <s v="Complete Access"/>
    <x v="61"/>
    <x v="1"/>
    <x v="1"/>
    <d v="1900-01-09T00:00:00"/>
    <n v="45"/>
    <x v="3"/>
    <x v="7"/>
  </r>
  <r>
    <x v="1823"/>
    <n v="-515"/>
    <x v="3404"/>
    <n v="3805.19"/>
    <s v="Complete Access"/>
    <x v="783"/>
    <x v="19"/>
    <x v="61"/>
    <d v="1900-01-09T00:00:00"/>
    <n v="45"/>
    <x v="3"/>
    <x v="7"/>
  </r>
  <r>
    <x v="1823"/>
    <n v="-100"/>
    <x v="2274"/>
    <n v="4320.1899999999996"/>
    <s v="Complete Access"/>
    <x v="552"/>
    <x v="0"/>
    <x v="74"/>
    <d v="1900-01-09T00:00:00"/>
    <n v="45"/>
    <x v="3"/>
    <x v="7"/>
  </r>
  <r>
    <x v="1824"/>
    <n v="-6"/>
    <x v="3833"/>
    <n v="4518.18"/>
    <s v="Complete Access"/>
    <x v="61"/>
    <x v="1"/>
    <x v="1"/>
    <d v="1900-01-08T00:00:00"/>
    <n v="45"/>
    <x v="3"/>
    <x v="7"/>
  </r>
  <r>
    <x v="1824"/>
    <n v="-50"/>
    <x v="3764"/>
    <n v="4456.1899999999996"/>
    <s v="Complete Access"/>
    <x v="601"/>
    <x v="0"/>
    <x v="0"/>
    <d v="1900-01-08T00:00:00"/>
    <n v="45"/>
    <x v="3"/>
    <x v="7"/>
  </r>
  <r>
    <x v="1824"/>
    <n v="-11.99"/>
    <x v="3834"/>
    <n v="4506.1899999999996"/>
    <s v="Complete Access"/>
    <x v="860"/>
    <x v="8"/>
    <x v="22"/>
    <d v="1900-01-08T00:00:00"/>
    <n v="45"/>
    <x v="3"/>
    <x v="7"/>
  </r>
  <r>
    <x v="1824"/>
    <n v="-30"/>
    <x v="3835"/>
    <n v="4426.1899999999996"/>
    <s v="Complete Access"/>
    <x v="861"/>
    <x v="3"/>
    <x v="26"/>
    <d v="1900-01-08T00:00:00"/>
    <n v="45"/>
    <x v="3"/>
    <x v="7"/>
  </r>
  <r>
    <x v="1825"/>
    <n v="-17"/>
    <x v="3836"/>
    <n v="4654.18"/>
    <s v="Complete Access"/>
    <x v="842"/>
    <x v="8"/>
    <x v="29"/>
    <d v="1900-01-07T00:00:00"/>
    <n v="45"/>
    <x v="3"/>
    <x v="7"/>
  </r>
  <r>
    <x v="1825"/>
    <n v="-12.5"/>
    <x v="3837"/>
    <n v="4742.1099999999997"/>
    <s v="Complete Access"/>
    <x v="843"/>
    <x v="1"/>
    <x v="5"/>
    <d v="1900-01-07T00:00:00"/>
    <n v="45"/>
    <x v="3"/>
    <x v="7"/>
  </r>
  <r>
    <x v="1825"/>
    <n v="-130"/>
    <x v="3838"/>
    <n v="4524.18"/>
    <s v="Complete Access"/>
    <x v="741"/>
    <x v="16"/>
    <x v="81"/>
    <d v="1900-01-07T00:00:00"/>
    <n v="45"/>
    <x v="3"/>
    <x v="7"/>
  </r>
  <r>
    <x v="1825"/>
    <n v="-70.930000000000007"/>
    <x v="3839"/>
    <n v="4671.18"/>
    <s v="Complete Access"/>
    <x v="1"/>
    <x v="1"/>
    <x v="1"/>
    <d v="1900-01-07T00:00:00"/>
    <n v="45"/>
    <x v="3"/>
    <x v="7"/>
  </r>
  <r>
    <x v="1826"/>
    <n v="-46.5"/>
    <x v="3840"/>
    <n v="3674.36"/>
    <s v="Complete Access"/>
    <x v="8"/>
    <x v="1"/>
    <x v="5"/>
    <d v="1900-01-06T00:00:00"/>
    <n v="45"/>
    <x v="3"/>
    <x v="7"/>
  </r>
  <r>
    <x v="1826"/>
    <n v="1080.25"/>
    <x v="3188"/>
    <n v="4754.6099999999997"/>
    <s v="Complete Access"/>
    <x v="14"/>
    <x v="6"/>
    <x v="9"/>
    <d v="1900-01-06T00:00:00"/>
    <n v="45"/>
    <x v="3"/>
    <x v="7"/>
  </r>
  <r>
    <x v="1826"/>
    <n v="-57"/>
    <x v="3841"/>
    <n v="3720.86"/>
    <s v="Complete Access"/>
    <x v="343"/>
    <x v="1"/>
    <x v="5"/>
    <d v="1900-01-06T00:00:00"/>
    <n v="45"/>
    <x v="3"/>
    <x v="7"/>
  </r>
  <r>
    <x v="1827"/>
    <n v="20"/>
    <x v="3842"/>
    <n v="3777.86"/>
    <s v="Complete Access"/>
    <x v="67"/>
    <x v="0"/>
    <x v="0"/>
    <d v="1900-01-04T00:00:00"/>
    <n v="45"/>
    <x v="3"/>
    <x v="7"/>
  </r>
  <r>
    <x v="1828"/>
    <n v="-15.54"/>
    <x v="3317"/>
    <n v="3757.86"/>
    <s v="Complete Access"/>
    <x v="761"/>
    <x v="15"/>
    <x v="34"/>
    <d v="1900-01-03T00:00:00"/>
    <n v="45"/>
    <x v="3"/>
    <x v="7"/>
  </r>
  <r>
    <x v="1829"/>
    <n v="-50"/>
    <x v="3843"/>
    <n v="3798.9"/>
    <s v="Complete Access"/>
    <x v="601"/>
    <x v="0"/>
    <x v="0"/>
    <d v="1900-01-02T00:00:00"/>
    <n v="44"/>
    <x v="3"/>
    <x v="7"/>
  </r>
  <r>
    <x v="1829"/>
    <n v="-20"/>
    <x v="3843"/>
    <n v="3851.4"/>
    <s v="Complete Access"/>
    <x v="601"/>
    <x v="0"/>
    <x v="0"/>
    <d v="1900-01-02T00:00:00"/>
    <n v="44"/>
    <x v="3"/>
    <x v="7"/>
  </r>
  <r>
    <x v="1829"/>
    <n v="-17"/>
    <x v="3844"/>
    <n v="3940.4"/>
    <s v="Complete Access"/>
    <x v="842"/>
    <x v="8"/>
    <x v="29"/>
    <d v="1900-01-02T00:00:00"/>
    <n v="44"/>
    <x v="3"/>
    <x v="7"/>
  </r>
  <r>
    <x v="1829"/>
    <n v="-515"/>
    <x v="3404"/>
    <n v="3957.4"/>
    <s v="Complete Access"/>
    <x v="783"/>
    <x v="19"/>
    <x v="61"/>
    <d v="1900-01-02T00:00:00"/>
    <n v="44"/>
    <x v="3"/>
    <x v="7"/>
  </r>
  <r>
    <x v="1829"/>
    <n v="-2.5"/>
    <x v="72"/>
    <n v="3796.4"/>
    <s v="Complete Access"/>
    <x v="37"/>
    <x v="0"/>
    <x v="0"/>
    <d v="1900-01-02T00:00:00"/>
    <n v="44"/>
    <x v="3"/>
    <x v="7"/>
  </r>
  <r>
    <x v="1829"/>
    <n v="-2.5"/>
    <x v="72"/>
    <n v="3848.9"/>
    <s v="Complete Access"/>
    <x v="37"/>
    <x v="0"/>
    <x v="0"/>
    <d v="1900-01-02T00:00:00"/>
    <n v="44"/>
    <x v="3"/>
    <x v="7"/>
  </r>
  <r>
    <x v="1829"/>
    <n v="-100"/>
    <x v="2274"/>
    <n v="4472.3999999999996"/>
    <s v="Complete Access"/>
    <x v="552"/>
    <x v="0"/>
    <x v="74"/>
    <d v="1900-01-02T00:00:00"/>
    <n v="44"/>
    <x v="3"/>
    <x v="7"/>
  </r>
  <r>
    <x v="1829"/>
    <n v="-12"/>
    <x v="3061"/>
    <n v="3773.4"/>
    <s v="Complete Access"/>
    <x v="27"/>
    <x v="1"/>
    <x v="5"/>
    <d v="1900-01-02T00:00:00"/>
    <n v="44"/>
    <x v="3"/>
    <x v="7"/>
  </r>
  <r>
    <x v="1829"/>
    <n v="-11"/>
    <x v="3845"/>
    <n v="3785.4"/>
    <s v="Complete Access"/>
    <x v="862"/>
    <x v="8"/>
    <x v="29"/>
    <d v="1900-01-02T00:00:00"/>
    <n v="44"/>
    <x v="3"/>
    <x v="7"/>
  </r>
  <r>
    <x v="1829"/>
    <n v="-9"/>
    <x v="3845"/>
    <n v="3871.4"/>
    <s v="Complete Access"/>
    <x v="862"/>
    <x v="8"/>
    <x v="29"/>
    <d v="1900-01-02T00:00:00"/>
    <n v="44"/>
    <x v="3"/>
    <x v="7"/>
  </r>
  <r>
    <x v="1829"/>
    <n v="-60"/>
    <x v="3846"/>
    <n v="3880.4"/>
    <s v="Complete Access"/>
    <x v="219"/>
    <x v="7"/>
    <x v="53"/>
    <d v="1900-01-02T00:00:00"/>
    <n v="44"/>
    <x v="3"/>
    <x v="7"/>
  </r>
  <r>
    <x v="1830"/>
    <n v="-11.35"/>
    <x v="3203"/>
    <n v="4598.8999999999996"/>
    <s v="Complete Access"/>
    <x v="188"/>
    <x v="1"/>
    <x v="1"/>
    <d v="1900-01-01T00:00:00"/>
    <n v="44"/>
    <x v="3"/>
    <x v="7"/>
  </r>
  <r>
    <x v="1830"/>
    <n v="-50"/>
    <x v="3847"/>
    <n v="4610.25"/>
    <s v="Complete Access"/>
    <x v="819"/>
    <x v="5"/>
    <x v="83"/>
    <d v="1900-01-01T00:00:00"/>
    <n v="44"/>
    <x v="3"/>
    <x v="7"/>
  </r>
  <r>
    <x v="1830"/>
    <n v="-26.5"/>
    <x v="3848"/>
    <n v="4572.3999999999996"/>
    <s v="Complete Access"/>
    <x v="826"/>
    <x v="8"/>
    <x v="29"/>
    <d v="1900-01-01T00:00:00"/>
    <n v="44"/>
    <x v="3"/>
    <x v="7"/>
  </r>
  <r>
    <x v="1830"/>
    <n v="-13.5"/>
    <x v="3849"/>
    <n v="4660.25"/>
    <s v="Complete Access"/>
    <x v="687"/>
    <x v="1"/>
    <x v="5"/>
    <d v="1900-01-01T00:00:00"/>
    <n v="44"/>
    <x v="3"/>
    <x v="7"/>
  </r>
  <r>
    <x v="1831"/>
    <n v="-12.6"/>
    <x v="3850"/>
    <n v="4982.72"/>
    <s v="Complete Access"/>
    <x v="839"/>
    <x v="1"/>
    <x v="85"/>
    <d v="1899-12-31T00:00:00"/>
    <n v="44"/>
    <x v="3"/>
    <x v="7"/>
  </r>
  <r>
    <x v="1831"/>
    <n v="-34.85"/>
    <x v="3851"/>
    <n v="4940.62"/>
    <s v="Complete Access"/>
    <x v="8"/>
    <x v="1"/>
    <x v="5"/>
    <d v="1899-12-31T00:00:00"/>
    <n v="44"/>
    <x v="3"/>
    <x v="7"/>
  </r>
  <r>
    <x v="1831"/>
    <n v="-7.25"/>
    <x v="3852"/>
    <n v="4975.47"/>
    <s v="Complete Access"/>
    <x v="609"/>
    <x v="1"/>
    <x v="1"/>
    <d v="1899-12-31T00:00:00"/>
    <n v="44"/>
    <x v="3"/>
    <x v="7"/>
  </r>
  <r>
    <x v="1831"/>
    <n v="-12.5"/>
    <x v="3853"/>
    <n v="4995.32"/>
    <s v="Complete Access"/>
    <x v="843"/>
    <x v="1"/>
    <x v="5"/>
    <d v="1899-12-31T00:00:00"/>
    <n v="44"/>
    <x v="3"/>
    <x v="7"/>
  </r>
  <r>
    <x v="1831"/>
    <n v="-70"/>
    <x v="3854"/>
    <n v="4870.62"/>
    <s v="Complete Access"/>
    <x v="393"/>
    <x v="11"/>
    <x v="49"/>
    <d v="1899-12-31T00:00:00"/>
    <n v="44"/>
    <x v="3"/>
    <x v="7"/>
  </r>
  <r>
    <x v="1831"/>
    <n v="-166.4"/>
    <x v="3855"/>
    <n v="4673.75"/>
    <s v="Complete Access"/>
    <x v="76"/>
    <x v="2"/>
    <x v="2"/>
    <d v="1899-12-31T00:00:00"/>
    <n v="44"/>
    <x v="3"/>
    <x v="7"/>
  </r>
  <r>
    <x v="1831"/>
    <n v="-30.47"/>
    <x v="3856"/>
    <n v="4840.1499999999996"/>
    <s v="Complete Access"/>
    <x v="1"/>
    <x v="1"/>
    <x v="1"/>
    <d v="1899-12-31T00:00:00"/>
    <n v="44"/>
    <x v="3"/>
    <x v="7"/>
  </r>
  <r>
    <x v="1832"/>
    <n v="-4.38"/>
    <x v="3203"/>
    <n v="3946.07"/>
    <s v="Complete Access"/>
    <x v="188"/>
    <x v="1"/>
    <x v="1"/>
    <d v="1900-01-30T00:00:00"/>
    <n v="44"/>
    <x v="4"/>
    <x v="7"/>
  </r>
  <r>
    <x v="1832"/>
    <n v="-17.5"/>
    <x v="3857"/>
    <n v="3960.44"/>
    <s v="Complete Access"/>
    <x v="863"/>
    <x v="8"/>
    <x v="29"/>
    <d v="1900-01-30T00:00:00"/>
    <n v="44"/>
    <x v="4"/>
    <x v="7"/>
  </r>
  <r>
    <x v="1832"/>
    <n v="1080.25"/>
    <x v="3188"/>
    <n v="5007.82"/>
    <s v="Complete Access"/>
    <x v="14"/>
    <x v="6"/>
    <x v="9"/>
    <d v="1900-01-30T00:00:00"/>
    <n v="44"/>
    <x v="4"/>
    <x v="7"/>
  </r>
  <r>
    <x v="1832"/>
    <n v="-12.5"/>
    <x v="3858"/>
    <n v="3933.57"/>
    <s v="Complete Access"/>
    <x v="843"/>
    <x v="1"/>
    <x v="5"/>
    <d v="1900-01-30T00:00:00"/>
    <n v="44"/>
    <x v="4"/>
    <x v="7"/>
  </r>
  <r>
    <x v="1832"/>
    <n v="-9.99"/>
    <x v="3859"/>
    <n v="3950.45"/>
    <s v="Complete Access"/>
    <x v="373"/>
    <x v="8"/>
    <x v="7"/>
    <d v="1900-01-30T00:00:00"/>
    <n v="44"/>
    <x v="4"/>
    <x v="7"/>
  </r>
  <r>
    <x v="1832"/>
    <n v="-6"/>
    <x v="3860"/>
    <n v="3927.57"/>
    <s v="Complete Access"/>
    <x v="587"/>
    <x v="8"/>
    <x v="22"/>
    <d v="1900-01-30T00:00:00"/>
    <n v="44"/>
    <x v="4"/>
    <x v="7"/>
  </r>
  <r>
    <x v="1833"/>
    <n v="-6.7"/>
    <x v="3861"/>
    <n v="3942.94"/>
    <s v="Complete Access"/>
    <x v="447"/>
    <x v="3"/>
    <x v="26"/>
    <d v="1900-01-29T00:00:00"/>
    <n v="44"/>
    <x v="4"/>
    <x v="7"/>
  </r>
  <r>
    <x v="1833"/>
    <n v="87.99"/>
    <x v="3862"/>
    <n v="4007.74"/>
    <s v="Complete Access"/>
    <x v="864"/>
    <x v="3"/>
    <x v="15"/>
    <d v="1900-01-29T00:00:00"/>
    <n v="44"/>
    <x v="4"/>
    <x v="7"/>
  </r>
  <r>
    <x v="1833"/>
    <n v="-12.5"/>
    <x v="3863"/>
    <n v="3995.24"/>
    <s v="Complete Access"/>
    <x v="843"/>
    <x v="1"/>
    <x v="5"/>
    <d v="1900-01-29T00:00:00"/>
    <n v="44"/>
    <x v="4"/>
    <x v="7"/>
  </r>
  <r>
    <x v="1833"/>
    <n v="35"/>
    <x v="3024"/>
    <n v="3977.94"/>
    <s v="Complete Access"/>
    <x v="27"/>
    <x v="1"/>
    <x v="5"/>
    <d v="1900-01-29T00:00:00"/>
    <n v="44"/>
    <x v="4"/>
    <x v="7"/>
  </r>
  <r>
    <x v="1833"/>
    <n v="-45.6"/>
    <x v="3864"/>
    <n v="3949.64"/>
    <s v="Complete Access"/>
    <x v="1"/>
    <x v="1"/>
    <x v="1"/>
    <d v="1900-01-29T00:00:00"/>
    <n v="44"/>
    <x v="4"/>
    <x v="7"/>
  </r>
  <r>
    <x v="1834"/>
    <n v="-29.82"/>
    <x v="3729"/>
    <n v="3919.75"/>
    <s v="Complete Access"/>
    <x v="668"/>
    <x v="15"/>
    <x v="34"/>
    <d v="1900-01-27T00:00:00"/>
    <n v="44"/>
    <x v="4"/>
    <x v="7"/>
  </r>
  <r>
    <x v="1834"/>
    <n v="-8.5"/>
    <x v="3865"/>
    <n v="3969.57"/>
    <s v="Complete Access"/>
    <x v="863"/>
    <x v="8"/>
    <x v="29"/>
    <d v="1900-01-27T00:00:00"/>
    <n v="44"/>
    <x v="4"/>
    <x v="7"/>
  </r>
  <r>
    <x v="1834"/>
    <n v="-8.5"/>
    <x v="3865"/>
    <n v="3978.07"/>
    <s v="Complete Access"/>
    <x v="863"/>
    <x v="8"/>
    <x v="29"/>
    <d v="1900-01-27T00:00:00"/>
    <n v="44"/>
    <x v="4"/>
    <x v="7"/>
  </r>
  <r>
    <x v="1834"/>
    <n v="-19"/>
    <x v="3865"/>
    <n v="3986.57"/>
    <s v="Complete Access"/>
    <x v="863"/>
    <x v="8"/>
    <x v="29"/>
    <d v="1900-01-27T00:00:00"/>
    <n v="44"/>
    <x v="4"/>
    <x v="7"/>
  </r>
  <r>
    <x v="1834"/>
    <n v="-8.5"/>
    <x v="3865"/>
    <n v="4005.57"/>
    <s v="Complete Access"/>
    <x v="863"/>
    <x v="8"/>
    <x v="29"/>
    <d v="1900-01-27T00:00:00"/>
    <n v="44"/>
    <x v="4"/>
    <x v="7"/>
  </r>
  <r>
    <x v="1834"/>
    <n v="-20"/>
    <x v="3866"/>
    <n v="3949.57"/>
    <s v="Complete Access"/>
    <x v="865"/>
    <x v="1"/>
    <x v="5"/>
    <d v="1900-01-27T00:00:00"/>
    <n v="44"/>
    <x v="4"/>
    <x v="7"/>
  </r>
  <r>
    <x v="1835"/>
    <n v="-515"/>
    <x v="3404"/>
    <n v="4089.37"/>
    <s v="Complete Access"/>
    <x v="783"/>
    <x v="19"/>
    <x v="61"/>
    <d v="1900-01-26T00:00:00"/>
    <n v="43"/>
    <x v="4"/>
    <x v="7"/>
  </r>
  <r>
    <x v="1835"/>
    <n v="-32"/>
    <x v="3867"/>
    <n v="4044.87"/>
    <s v="Complete Access"/>
    <x v="609"/>
    <x v="1"/>
    <x v="1"/>
    <d v="1900-01-26T00:00:00"/>
    <n v="43"/>
    <x v="4"/>
    <x v="7"/>
  </r>
  <r>
    <x v="1835"/>
    <n v="-12.5"/>
    <x v="3868"/>
    <n v="4076.87"/>
    <s v="Complete Access"/>
    <x v="843"/>
    <x v="1"/>
    <x v="5"/>
    <d v="1900-01-26T00:00:00"/>
    <n v="43"/>
    <x v="4"/>
    <x v="7"/>
  </r>
  <r>
    <x v="1835"/>
    <n v="-10.3"/>
    <x v="3869"/>
    <n v="4034.57"/>
    <s v="Complete Access"/>
    <x v="47"/>
    <x v="1"/>
    <x v="5"/>
    <d v="1900-01-26T00:00:00"/>
    <n v="43"/>
    <x v="4"/>
    <x v="7"/>
  </r>
  <r>
    <x v="1835"/>
    <n v="-100"/>
    <x v="2274"/>
    <n v="4604.37"/>
    <s v="Complete Access"/>
    <x v="552"/>
    <x v="0"/>
    <x v="74"/>
    <d v="1900-01-26T00:00:00"/>
    <n v="43"/>
    <x v="4"/>
    <x v="7"/>
  </r>
  <r>
    <x v="1835"/>
    <n v="-20.5"/>
    <x v="3870"/>
    <n v="4014.07"/>
    <s v="Complete Access"/>
    <x v="260"/>
    <x v="1"/>
    <x v="5"/>
    <d v="1900-01-26T00:00:00"/>
    <n v="43"/>
    <x v="4"/>
    <x v="7"/>
  </r>
  <r>
    <x v="1836"/>
    <n v="-4.21"/>
    <x v="3871"/>
    <n v="4704.37"/>
    <s v="Complete Access"/>
    <x v="61"/>
    <x v="1"/>
    <x v="1"/>
    <d v="1900-01-25T00:00:00"/>
    <n v="43"/>
    <x v="4"/>
    <x v="7"/>
  </r>
  <r>
    <x v="1836"/>
    <n v="-4.3"/>
    <x v="3872"/>
    <n v="4708.58"/>
    <s v="Complete Access"/>
    <x v="199"/>
    <x v="14"/>
    <x v="46"/>
    <d v="1900-01-25T00:00:00"/>
    <n v="43"/>
    <x v="4"/>
    <x v="7"/>
  </r>
  <r>
    <x v="1837"/>
    <n v="-7.12"/>
    <x v="3873"/>
    <n v="4859.88"/>
    <s v="Complete Access"/>
    <x v="61"/>
    <x v="1"/>
    <x v="1"/>
    <d v="1900-01-24T00:00:00"/>
    <n v="43"/>
    <x v="4"/>
    <x v="7"/>
  </r>
  <r>
    <x v="1837"/>
    <n v="-17"/>
    <x v="3874"/>
    <n v="4842.88"/>
    <s v="Complete Access"/>
    <x v="842"/>
    <x v="8"/>
    <x v="29"/>
    <d v="1900-01-24T00:00:00"/>
    <n v="43"/>
    <x v="4"/>
    <x v="7"/>
  </r>
  <r>
    <x v="1837"/>
    <n v="-130"/>
    <x v="3875"/>
    <n v="4712.88"/>
    <s v="Complete Access"/>
    <x v="741"/>
    <x v="16"/>
    <x v="81"/>
    <d v="1900-01-24T00:00:00"/>
    <n v="43"/>
    <x v="4"/>
    <x v="7"/>
  </r>
  <r>
    <x v="1837"/>
    <n v="-41"/>
    <x v="3876"/>
    <n v="4867"/>
    <s v="Complete Access"/>
    <x v="1"/>
    <x v="1"/>
    <x v="1"/>
    <d v="1900-01-24T00:00:00"/>
    <n v="43"/>
    <x v="4"/>
    <x v="7"/>
  </r>
  <r>
    <x v="1837"/>
    <n v="-13.5"/>
    <x v="3877"/>
    <n v="4908"/>
    <s v="Complete Access"/>
    <x v="687"/>
    <x v="1"/>
    <x v="5"/>
    <d v="1900-01-24T00:00:00"/>
    <n v="43"/>
    <x v="4"/>
    <x v="7"/>
  </r>
  <r>
    <x v="1838"/>
    <n v="1080.25"/>
    <x v="3188"/>
    <n v="4921.5"/>
    <s v="Complete Access"/>
    <x v="14"/>
    <x v="6"/>
    <x v="9"/>
    <d v="1900-01-23T00:00:00"/>
    <n v="43"/>
    <x v="4"/>
    <x v="7"/>
  </r>
  <r>
    <x v="1838"/>
    <n v="-31.4"/>
    <x v="3878"/>
    <n v="3811.25"/>
    <s v="Complete Access"/>
    <x v="343"/>
    <x v="1"/>
    <x v="5"/>
    <d v="1900-01-23T00:00:00"/>
    <n v="43"/>
    <x v="4"/>
    <x v="7"/>
  </r>
  <r>
    <x v="1838"/>
    <n v="30"/>
    <x v="3879"/>
    <n v="3841.25"/>
    <s v="Complete Access"/>
    <x v="645"/>
    <x v="0"/>
    <x v="69"/>
    <d v="1900-01-23T00:00:00"/>
    <n v="43"/>
    <x v="4"/>
    <x v="7"/>
  </r>
  <r>
    <x v="1839"/>
    <n v="-50"/>
    <x v="3403"/>
    <n v="3842.65"/>
    <s v="Complete Access"/>
    <x v="601"/>
    <x v="0"/>
    <x v="0"/>
    <d v="1900-01-22T00:00:00"/>
    <n v="43"/>
    <x v="4"/>
    <x v="7"/>
  </r>
  <r>
    <x v="1839"/>
    <n v="-13.5"/>
    <x v="3880"/>
    <n v="3892.65"/>
    <s v="Complete Access"/>
    <x v="687"/>
    <x v="1"/>
    <x v="5"/>
    <d v="1900-01-22T00:00:00"/>
    <n v="43"/>
    <x v="4"/>
    <x v="7"/>
  </r>
  <r>
    <x v="1840"/>
    <n v="-6.64"/>
    <x v="3203"/>
    <n v="3906.15"/>
    <s v="Complete Access"/>
    <x v="188"/>
    <x v="1"/>
    <x v="1"/>
    <d v="1900-01-21T00:00:00"/>
    <n v="43"/>
    <x v="4"/>
    <x v="7"/>
  </r>
  <r>
    <x v="1841"/>
    <n v="-515"/>
    <x v="3404"/>
    <n v="3912.79"/>
    <s v="Complete Access"/>
    <x v="783"/>
    <x v="19"/>
    <x v="61"/>
    <d v="1900-01-19T00:00:00"/>
    <n v="42"/>
    <x v="4"/>
    <x v="7"/>
  </r>
  <r>
    <x v="1841"/>
    <n v="-4.59"/>
    <x v="3881"/>
    <n v="4527.79"/>
    <s v="Complete Access"/>
    <x v="10"/>
    <x v="0"/>
    <x v="0"/>
    <d v="1900-01-19T00:00:00"/>
    <n v="42"/>
    <x v="4"/>
    <x v="7"/>
  </r>
  <r>
    <x v="1841"/>
    <n v="-100"/>
    <x v="2274"/>
    <n v="4427.79"/>
    <s v="Complete Access"/>
    <x v="552"/>
    <x v="0"/>
    <x v="74"/>
    <d v="1900-01-19T00:00:00"/>
    <n v="42"/>
    <x v="4"/>
    <x v="7"/>
  </r>
  <r>
    <x v="1841"/>
    <n v="-153.12"/>
    <x v="3882"/>
    <n v="4532.38"/>
    <s v="Complete Access"/>
    <x v="866"/>
    <x v="4"/>
    <x v="47"/>
    <d v="1900-01-19T00:00:00"/>
    <n v="42"/>
    <x v="4"/>
    <x v="7"/>
  </r>
  <r>
    <x v="1842"/>
    <n v="-50"/>
    <x v="2970"/>
    <n v="4727.33"/>
    <s v="Complete Access"/>
    <x v="601"/>
    <x v="0"/>
    <x v="0"/>
    <d v="1900-01-18T00:00:00"/>
    <n v="42"/>
    <x v="4"/>
    <x v="7"/>
  </r>
  <r>
    <x v="1842"/>
    <n v="-7.48"/>
    <x v="3883"/>
    <n v="4685.5"/>
    <s v="Complete Access"/>
    <x v="177"/>
    <x v="1"/>
    <x v="1"/>
    <d v="1900-01-18T00:00:00"/>
    <n v="42"/>
    <x v="4"/>
    <x v="7"/>
  </r>
  <r>
    <x v="1842"/>
    <n v="-34.35"/>
    <x v="3700"/>
    <n v="4692.9799999999996"/>
    <s v="Complete Access"/>
    <x v="1"/>
    <x v="1"/>
    <x v="1"/>
    <d v="1900-01-18T00:00:00"/>
    <n v="42"/>
    <x v="4"/>
    <x v="7"/>
  </r>
  <r>
    <x v="1843"/>
    <n v="-157.94"/>
    <x v="3884"/>
    <n v="4777.33"/>
    <s v="Complete Access"/>
    <x v="867"/>
    <x v="3"/>
    <x v="15"/>
    <d v="1900-01-17T00:00:00"/>
    <n v="42"/>
    <x v="4"/>
    <x v="7"/>
  </r>
  <r>
    <x v="1843"/>
    <n v="-14"/>
    <x v="3885"/>
    <n v="5010.09"/>
    <s v="Complete Access"/>
    <x v="254"/>
    <x v="16"/>
    <x v="35"/>
    <d v="1900-01-17T00:00:00"/>
    <n v="42"/>
    <x v="4"/>
    <x v="7"/>
  </r>
  <r>
    <x v="1843"/>
    <n v="-74.819999999999993"/>
    <x v="3886"/>
    <n v="4935.2700000000004"/>
    <s v="Complete Access"/>
    <x v="1"/>
    <x v="1"/>
    <x v="1"/>
    <d v="1900-01-17T00:00:00"/>
    <n v="42"/>
    <x v="4"/>
    <x v="7"/>
  </r>
  <r>
    <x v="1843"/>
    <n v="-114.44"/>
    <x v="3887"/>
    <n v="5024.09"/>
    <s v="Complete Access"/>
    <x v="540"/>
    <x v="12"/>
    <x v="21"/>
    <d v="1900-01-17T00:00:00"/>
    <n v="42"/>
    <x v="4"/>
    <x v="7"/>
  </r>
  <r>
    <x v="1844"/>
    <n v="-23"/>
    <x v="3888"/>
    <n v="4146.28"/>
    <s v="Complete Access"/>
    <x v="842"/>
    <x v="8"/>
    <x v="29"/>
    <d v="1900-01-16T00:00:00"/>
    <n v="42"/>
    <x v="4"/>
    <x v="7"/>
  </r>
  <r>
    <x v="1844"/>
    <n v="1080.25"/>
    <x v="3188"/>
    <n v="5226.53"/>
    <s v="Complete Access"/>
    <x v="14"/>
    <x v="6"/>
    <x v="9"/>
    <d v="1900-01-16T00:00:00"/>
    <n v="42"/>
    <x v="4"/>
    <x v="7"/>
  </r>
  <r>
    <x v="1844"/>
    <n v="-88"/>
    <x v="3889"/>
    <n v="5138.53"/>
    <s v="Complete Access"/>
    <x v="868"/>
    <x v="1"/>
    <x v="5"/>
    <d v="1900-01-16T00:00:00"/>
    <n v="42"/>
    <x v="4"/>
    <x v="7"/>
  </r>
  <r>
    <x v="1845"/>
    <n v="-37.64"/>
    <x v="3890"/>
    <n v="4212.28"/>
    <s v="Complete Access"/>
    <x v="841"/>
    <x v="2"/>
    <x v="86"/>
    <d v="1900-01-15T00:00:00"/>
    <n v="42"/>
    <x v="4"/>
    <x v="7"/>
  </r>
  <r>
    <x v="1845"/>
    <n v="-50"/>
    <x v="3891"/>
    <n v="4242.28"/>
    <s v="Complete Access"/>
    <x v="819"/>
    <x v="5"/>
    <x v="83"/>
    <d v="1900-01-15T00:00:00"/>
    <n v="42"/>
    <x v="4"/>
    <x v="7"/>
  </r>
  <r>
    <x v="1845"/>
    <n v="-73"/>
    <x v="2543"/>
    <n v="4169.28"/>
    <s v="Complete Access"/>
    <x v="17"/>
    <x v="7"/>
    <x v="11"/>
    <d v="1900-01-15T00:00:00"/>
    <n v="42"/>
    <x v="4"/>
    <x v="7"/>
  </r>
  <r>
    <x v="1845"/>
    <n v="80"/>
    <x v="3378"/>
    <n v="4292.28"/>
    <s v="Complete Access"/>
    <x v="722"/>
    <x v="0"/>
    <x v="0"/>
    <d v="1900-01-15T00:00:00"/>
    <n v="42"/>
    <x v="4"/>
    <x v="7"/>
  </r>
  <r>
    <x v="1846"/>
    <n v="-140"/>
    <x v="3892"/>
    <n v="4252.42"/>
    <s v="Complete Access"/>
    <x v="601"/>
    <x v="0"/>
    <x v="0"/>
    <d v="1900-01-13T00:00:00"/>
    <n v="42"/>
    <x v="4"/>
    <x v="7"/>
  </r>
  <r>
    <x v="1846"/>
    <n v="-2.5"/>
    <x v="72"/>
    <n v="4249.92"/>
    <s v="Complete Access"/>
    <x v="37"/>
    <x v="0"/>
    <x v="0"/>
    <d v="1900-01-13T00:00:00"/>
    <n v="42"/>
    <x v="4"/>
    <x v="7"/>
  </r>
  <r>
    <x v="1847"/>
    <n v="-515"/>
    <x v="3404"/>
    <n v="4559.91"/>
    <s v="Complete Access"/>
    <x v="783"/>
    <x v="19"/>
    <x v="61"/>
    <d v="1900-01-12T00:00:00"/>
    <n v="41"/>
    <x v="4"/>
    <x v="7"/>
  </r>
  <r>
    <x v="1847"/>
    <n v="-64.989999999999995"/>
    <x v="3893"/>
    <n v="4494.92"/>
    <s v="Complete Access"/>
    <x v="832"/>
    <x v="1"/>
    <x v="23"/>
    <d v="1900-01-12T00:00:00"/>
    <n v="41"/>
    <x v="4"/>
    <x v="7"/>
  </r>
  <r>
    <x v="1847"/>
    <n v="-8.5"/>
    <x v="3894"/>
    <n v="4486.42"/>
    <s v="Complete Access"/>
    <x v="869"/>
    <x v="8"/>
    <x v="29"/>
    <d v="1900-01-12T00:00:00"/>
    <n v="41"/>
    <x v="4"/>
    <x v="7"/>
  </r>
  <r>
    <x v="1847"/>
    <n v="-100"/>
    <x v="2274"/>
    <n v="5074.91"/>
    <s v="Complete Access"/>
    <x v="552"/>
    <x v="0"/>
    <x v="74"/>
    <d v="1900-01-12T00:00:00"/>
    <n v="41"/>
    <x v="4"/>
    <x v="7"/>
  </r>
  <r>
    <x v="1847"/>
    <n v="-27.7"/>
    <x v="3895"/>
    <n v="4408.22"/>
    <s v="Complete Access"/>
    <x v="870"/>
    <x v="8"/>
    <x v="29"/>
    <d v="1900-01-12T00:00:00"/>
    <n v="41"/>
    <x v="4"/>
    <x v="7"/>
  </r>
  <r>
    <x v="1847"/>
    <n v="-24.7"/>
    <x v="3895"/>
    <n v="4435.92"/>
    <s v="Complete Access"/>
    <x v="870"/>
    <x v="8"/>
    <x v="29"/>
    <d v="1900-01-12T00:00:00"/>
    <n v="41"/>
    <x v="4"/>
    <x v="7"/>
  </r>
  <r>
    <x v="1847"/>
    <n v="-25.8"/>
    <x v="3895"/>
    <n v="4460.62"/>
    <s v="Complete Access"/>
    <x v="870"/>
    <x v="8"/>
    <x v="29"/>
    <d v="1900-01-12T00:00:00"/>
    <n v="41"/>
    <x v="4"/>
    <x v="7"/>
  </r>
  <r>
    <x v="1847"/>
    <n v="-15.8"/>
    <x v="3896"/>
    <n v="4392.42"/>
    <s v="Complete Access"/>
    <x v="871"/>
    <x v="8"/>
    <x v="29"/>
    <d v="1900-01-12T00:00:00"/>
    <n v="41"/>
    <x v="4"/>
    <x v="7"/>
  </r>
  <r>
    <x v="1848"/>
    <n v="-12.5"/>
    <x v="3858"/>
    <n v="5190.8500000000004"/>
    <s v="Complete Access"/>
    <x v="843"/>
    <x v="1"/>
    <x v="5"/>
    <d v="1900-01-11T00:00:00"/>
    <n v="41"/>
    <x v="4"/>
    <x v="7"/>
  </r>
  <r>
    <x v="1848"/>
    <n v="-15.94"/>
    <x v="3897"/>
    <n v="5174.91"/>
    <s v="Complete Access"/>
    <x v="27"/>
    <x v="1"/>
    <x v="5"/>
    <d v="1900-01-11T00:00:00"/>
    <n v="41"/>
    <x v="4"/>
    <x v="7"/>
  </r>
  <r>
    <x v="1849"/>
    <n v="-130"/>
    <x v="3898"/>
    <n v="5203.3500000000004"/>
    <s v="Complete Access"/>
    <x v="741"/>
    <x v="16"/>
    <x v="81"/>
    <d v="1900-01-10T00:00:00"/>
    <n v="41"/>
    <x v="4"/>
    <x v="7"/>
  </r>
  <r>
    <x v="1850"/>
    <n v="-11.99"/>
    <x v="3899"/>
    <n v="4443.1499999999996"/>
    <s v="Complete Access"/>
    <x v="860"/>
    <x v="8"/>
    <x v="22"/>
    <d v="1900-01-09T00:00:00"/>
    <n v="41"/>
    <x v="4"/>
    <x v="7"/>
  </r>
  <r>
    <x v="1850"/>
    <n v="890.2"/>
    <x v="3188"/>
    <n v="5333.35"/>
    <s v="Complete Access"/>
    <x v="14"/>
    <x v="6"/>
    <x v="9"/>
    <d v="1900-01-09T00:00:00"/>
    <n v="41"/>
    <x v="4"/>
    <x v="7"/>
  </r>
  <r>
    <x v="1850"/>
    <n v="-34.5"/>
    <x v="3900"/>
    <n v="4455.1400000000003"/>
    <s v="Complete Access"/>
    <x v="343"/>
    <x v="1"/>
    <x v="5"/>
    <d v="1900-01-09T00:00:00"/>
    <n v="41"/>
    <x v="4"/>
    <x v="7"/>
  </r>
  <r>
    <x v="1851"/>
    <n v="-2.5"/>
    <x v="3203"/>
    <n v="4582.6400000000003"/>
    <s v="Complete Access"/>
    <x v="188"/>
    <x v="1"/>
    <x v="1"/>
    <d v="1900-01-08T00:00:00"/>
    <n v="41"/>
    <x v="4"/>
    <x v="7"/>
  </r>
  <r>
    <x v="1851"/>
    <n v="-14.5"/>
    <x v="3901"/>
    <n v="4585.1400000000003"/>
    <s v="Complete Access"/>
    <x v="843"/>
    <x v="1"/>
    <x v="5"/>
    <d v="1900-01-08T00:00:00"/>
    <n v="41"/>
    <x v="4"/>
    <x v="7"/>
  </r>
  <r>
    <x v="1851"/>
    <n v="-93"/>
    <x v="3902"/>
    <n v="4489.6400000000003"/>
    <s v="Complete Access"/>
    <x v="700"/>
    <x v="8"/>
    <x v="69"/>
    <d v="1900-01-08T00:00:00"/>
    <n v="41"/>
    <x v="4"/>
    <x v="7"/>
  </r>
  <r>
    <x v="1852"/>
    <n v="-17"/>
    <x v="3874"/>
    <n v="4657.59"/>
    <s v="Complete Access"/>
    <x v="842"/>
    <x v="8"/>
    <x v="29"/>
    <d v="1900-01-07T00:00:00"/>
    <n v="41"/>
    <x v="4"/>
    <x v="7"/>
  </r>
  <r>
    <x v="1852"/>
    <n v="-57.95"/>
    <x v="3700"/>
    <n v="4599.6400000000003"/>
    <s v="Complete Access"/>
    <x v="1"/>
    <x v="1"/>
    <x v="1"/>
    <d v="1900-01-07T00:00:00"/>
    <n v="41"/>
    <x v="4"/>
    <x v="7"/>
  </r>
  <r>
    <x v="1853"/>
    <n v="-10.5"/>
    <x v="3317"/>
    <n v="4684.99"/>
    <s v="Complete Access"/>
    <x v="761"/>
    <x v="15"/>
    <x v="34"/>
    <d v="1900-01-06T00:00:00"/>
    <n v="41"/>
    <x v="4"/>
    <x v="7"/>
  </r>
  <r>
    <x v="1853"/>
    <n v="-10.4"/>
    <x v="3897"/>
    <n v="4674.59"/>
    <s v="Complete Access"/>
    <x v="27"/>
    <x v="1"/>
    <x v="5"/>
    <d v="1900-01-06T00:00:00"/>
    <n v="41"/>
    <x v="4"/>
    <x v="7"/>
  </r>
  <r>
    <x v="1854"/>
    <n v="-50"/>
    <x v="3403"/>
    <n v="4695.49"/>
    <s v="Complete Access"/>
    <x v="601"/>
    <x v="0"/>
    <x v="0"/>
    <d v="1900-01-05T00:00:00"/>
    <n v="40"/>
    <x v="4"/>
    <x v="7"/>
  </r>
  <r>
    <x v="1854"/>
    <n v="-515"/>
    <x v="3404"/>
    <n v="4765.99"/>
    <s v="Complete Access"/>
    <x v="783"/>
    <x v="19"/>
    <x v="61"/>
    <d v="1900-01-05T00:00:00"/>
    <n v="40"/>
    <x v="4"/>
    <x v="7"/>
  </r>
  <r>
    <x v="1854"/>
    <n v="-20.5"/>
    <x v="3653"/>
    <n v="4745.49"/>
    <s v="Complete Access"/>
    <x v="796"/>
    <x v="20"/>
    <x v="63"/>
    <d v="1900-01-05T00:00:00"/>
    <n v="40"/>
    <x v="4"/>
    <x v="7"/>
  </r>
  <r>
    <x v="1854"/>
    <n v="-100"/>
    <x v="2274"/>
    <n v="5280.99"/>
    <s v="Complete Access"/>
    <x v="552"/>
    <x v="0"/>
    <x v="74"/>
    <d v="1900-01-05T00:00:00"/>
    <n v="40"/>
    <x v="4"/>
    <x v="7"/>
  </r>
  <r>
    <x v="1855"/>
    <n v="-50"/>
    <x v="3903"/>
    <n v="5380.99"/>
    <s v="Complete Access"/>
    <x v="776"/>
    <x v="5"/>
    <x v="83"/>
    <d v="1900-01-04T00:00:00"/>
    <n v="40"/>
    <x v="4"/>
    <x v="7"/>
  </r>
  <r>
    <x v="1856"/>
    <n v="-50"/>
    <x v="3764"/>
    <n v="5430.99"/>
    <s v="Complete Access"/>
    <x v="601"/>
    <x v="0"/>
    <x v="0"/>
    <d v="1900-01-03T00:00:00"/>
    <n v="40"/>
    <x v="4"/>
    <x v="7"/>
  </r>
  <r>
    <x v="1856"/>
    <n v="-9.99"/>
    <x v="3904"/>
    <n v="5480.99"/>
    <s v="Complete Access"/>
    <x v="373"/>
    <x v="8"/>
    <x v="7"/>
    <d v="1900-01-03T00:00:00"/>
    <n v="40"/>
    <x v="4"/>
    <x v="7"/>
  </r>
  <r>
    <x v="1857"/>
    <n v="1080.25"/>
    <x v="3188"/>
    <n v="5490.98"/>
    <s v="Complete Access"/>
    <x v="14"/>
    <x v="6"/>
    <x v="9"/>
    <d v="1900-01-02T00:00:00"/>
    <n v="40"/>
    <x v="4"/>
    <x v="7"/>
  </r>
  <r>
    <x v="1857"/>
    <n v="-75"/>
    <x v="3905"/>
    <n v="4470.7299999999996"/>
    <s v="Complete Access"/>
    <x v="343"/>
    <x v="1"/>
    <x v="5"/>
    <d v="1900-01-02T00:00:00"/>
    <n v="40"/>
    <x v="4"/>
    <x v="7"/>
  </r>
  <r>
    <x v="1857"/>
    <n v="-60"/>
    <x v="3906"/>
    <n v="4410.7299999999996"/>
    <s v="Complete Access"/>
    <x v="219"/>
    <x v="7"/>
    <x v="53"/>
    <d v="1900-01-02T00:00:00"/>
    <n v="40"/>
    <x v="4"/>
    <x v="7"/>
  </r>
  <r>
    <x v="1858"/>
    <n v="-35"/>
    <x v="3907"/>
    <n v="4762.6499999999996"/>
    <s v="Complete Access"/>
    <x v="872"/>
    <x v="18"/>
    <x v="59"/>
    <d v="1900-01-01T00:00:00"/>
    <n v="40"/>
    <x v="4"/>
    <x v="7"/>
  </r>
  <r>
    <x v="1858"/>
    <n v="-166.4"/>
    <x v="3908"/>
    <n v="4545.7299999999996"/>
    <s v="Complete Access"/>
    <x v="76"/>
    <x v="2"/>
    <x v="2"/>
    <d v="1900-01-01T00:00:00"/>
    <n v="40"/>
    <x v="4"/>
    <x v="7"/>
  </r>
  <r>
    <x v="1858"/>
    <n v="-37.020000000000003"/>
    <x v="3700"/>
    <n v="4712.13"/>
    <s v="Complete Access"/>
    <x v="1"/>
    <x v="1"/>
    <x v="1"/>
    <d v="1900-01-01T00:00:00"/>
    <n v="40"/>
    <x v="4"/>
    <x v="7"/>
  </r>
  <r>
    <x v="1858"/>
    <n v="-13.5"/>
    <x v="3909"/>
    <n v="4749.1499999999996"/>
    <s v="Complete Access"/>
    <x v="687"/>
    <x v="1"/>
    <x v="5"/>
    <d v="1900-01-01T00:00:00"/>
    <n v="40"/>
    <x v="4"/>
    <x v="7"/>
  </r>
  <r>
    <x v="1859"/>
    <n v="400"/>
    <x v="3910"/>
    <n v="4797.6499999999996"/>
    <s v="Complete Access"/>
    <x v="67"/>
    <x v="0"/>
    <x v="0"/>
    <d v="1899-12-31T00:00:00"/>
    <n v="40"/>
    <x v="4"/>
    <x v="7"/>
  </r>
  <r>
    <x v="1860"/>
    <n v="-515"/>
    <x v="3404"/>
    <n v="4397.6499999999996"/>
    <s v="Complete Access"/>
    <x v="783"/>
    <x v="19"/>
    <x v="61"/>
    <d v="1900-01-28T00:00:00"/>
    <n v="39"/>
    <x v="5"/>
    <x v="7"/>
  </r>
  <r>
    <x v="1860"/>
    <n v="-100"/>
    <x v="2274"/>
    <n v="4912.6499999999996"/>
    <s v="Complete Access"/>
    <x v="552"/>
    <x v="0"/>
    <x v="74"/>
    <d v="1900-01-28T00:00:00"/>
    <n v="39"/>
    <x v="5"/>
    <x v="7"/>
  </r>
  <r>
    <x v="1861"/>
    <n v="-70"/>
    <x v="3764"/>
    <n v="5012.6499999999996"/>
    <s v="Complete Access"/>
    <x v="601"/>
    <x v="0"/>
    <x v="0"/>
    <d v="1900-01-27T00:00:00"/>
    <n v="39"/>
    <x v="5"/>
    <x v="7"/>
  </r>
  <r>
    <x v="1861"/>
    <n v="-29.9"/>
    <x v="3911"/>
    <n v="5082.6499999999996"/>
    <s v="Complete Access"/>
    <x v="343"/>
    <x v="1"/>
    <x v="5"/>
    <d v="1900-01-27T00:00:00"/>
    <n v="39"/>
    <x v="5"/>
    <x v="7"/>
  </r>
  <r>
    <x v="1862"/>
    <n v="-13.5"/>
    <x v="3858"/>
    <n v="5242.55"/>
    <s v="Complete Access"/>
    <x v="843"/>
    <x v="1"/>
    <x v="5"/>
    <d v="1900-01-26T00:00:00"/>
    <n v="39"/>
    <x v="5"/>
    <x v="7"/>
  </r>
  <r>
    <x v="1862"/>
    <n v="-130"/>
    <x v="3912"/>
    <n v="5112.55"/>
    <s v="Complete Access"/>
    <x v="741"/>
    <x v="16"/>
    <x v="81"/>
    <d v="1900-01-26T00:00:00"/>
    <n v="39"/>
    <x v="5"/>
    <x v="7"/>
  </r>
  <r>
    <x v="1863"/>
    <n v="1080.25"/>
    <x v="3188"/>
    <n v="5256.05"/>
    <s v="Complete Access"/>
    <x v="14"/>
    <x v="6"/>
    <x v="9"/>
    <d v="1900-01-25T00:00:00"/>
    <n v="39"/>
    <x v="5"/>
    <x v="7"/>
  </r>
  <r>
    <x v="1863"/>
    <n v="-32.31"/>
    <x v="3913"/>
    <n v="4175.8"/>
    <s v="Complete Access"/>
    <x v="343"/>
    <x v="1"/>
    <x v="5"/>
    <d v="1900-01-25T00:00:00"/>
    <n v="39"/>
    <x v="5"/>
    <x v="7"/>
  </r>
  <r>
    <x v="1864"/>
    <n v="-50"/>
    <x v="3891"/>
    <n v="4208.1099999999997"/>
    <s v="Complete Access"/>
    <x v="819"/>
    <x v="5"/>
    <x v="83"/>
    <d v="1900-01-24T00:00:00"/>
    <n v="39"/>
    <x v="5"/>
    <x v="7"/>
  </r>
  <r>
    <x v="1865"/>
    <n v="-85.36"/>
    <x v="3700"/>
    <n v="4258.1099999999997"/>
    <s v="Complete Access"/>
    <x v="1"/>
    <x v="1"/>
    <x v="1"/>
    <d v="1900-01-23T00:00:00"/>
    <n v="39"/>
    <x v="5"/>
    <x v="7"/>
  </r>
  <r>
    <x v="1865"/>
    <n v="-13.5"/>
    <x v="3909"/>
    <n v="4343.47"/>
    <s v="Complete Access"/>
    <x v="687"/>
    <x v="1"/>
    <x v="5"/>
    <d v="1900-01-23T00:00:00"/>
    <n v="39"/>
    <x v="5"/>
    <x v="7"/>
  </r>
  <r>
    <x v="1866"/>
    <n v="-50"/>
    <x v="3403"/>
    <n v="4356.97"/>
    <s v="Complete Access"/>
    <x v="601"/>
    <x v="0"/>
    <x v="0"/>
    <d v="1900-01-21T00:00:00"/>
    <n v="38"/>
    <x v="5"/>
    <x v="7"/>
  </r>
  <r>
    <x v="1866"/>
    <n v="-515"/>
    <x v="3404"/>
    <n v="4427.47"/>
    <s v="Complete Access"/>
    <x v="783"/>
    <x v="19"/>
    <x v="61"/>
    <d v="1900-01-21T00:00:00"/>
    <n v="38"/>
    <x v="5"/>
    <x v="7"/>
  </r>
  <r>
    <x v="1866"/>
    <n v="-20.5"/>
    <x v="3653"/>
    <n v="4406.97"/>
    <s v="Complete Access"/>
    <x v="796"/>
    <x v="20"/>
    <x v="63"/>
    <d v="1900-01-21T00:00:00"/>
    <n v="38"/>
    <x v="5"/>
    <x v="7"/>
  </r>
  <r>
    <x v="1866"/>
    <n v="-100"/>
    <x v="2274"/>
    <n v="4942.47"/>
    <s v="Complete Access"/>
    <x v="552"/>
    <x v="0"/>
    <x v="74"/>
    <d v="1900-01-21T00:00:00"/>
    <n v="38"/>
    <x v="5"/>
    <x v="7"/>
  </r>
  <r>
    <x v="1867"/>
    <n v="-7.2"/>
    <x v="3874"/>
    <n v="5095.25"/>
    <s v="Complete Access"/>
    <x v="842"/>
    <x v="8"/>
    <x v="29"/>
    <d v="1900-01-20T00:00:00"/>
    <n v="38"/>
    <x v="5"/>
    <x v="7"/>
  </r>
  <r>
    <x v="1867"/>
    <n v="-13.9"/>
    <x v="3914"/>
    <n v="5102.45"/>
    <s v="Complete Access"/>
    <x v="687"/>
    <x v="1"/>
    <x v="5"/>
    <d v="1900-01-20T00:00:00"/>
    <n v="38"/>
    <x v="5"/>
    <x v="7"/>
  </r>
  <r>
    <x v="1867"/>
    <n v="-52.78"/>
    <x v="3915"/>
    <n v="5042.47"/>
    <s v="Complete Access"/>
    <x v="873"/>
    <x v="1"/>
    <x v="5"/>
    <d v="1900-01-20T00:00:00"/>
    <n v="38"/>
    <x v="5"/>
    <x v="7"/>
  </r>
  <r>
    <x v="1868"/>
    <n v="-5.5"/>
    <x v="3203"/>
    <n v="5116.3500000000004"/>
    <s v="Complete Access"/>
    <x v="188"/>
    <x v="1"/>
    <x v="1"/>
    <d v="1900-01-19T00:00:00"/>
    <n v="38"/>
    <x v="5"/>
    <x v="7"/>
  </r>
  <r>
    <x v="1868"/>
    <n v="-15.5"/>
    <x v="3858"/>
    <n v="5121.8500000000004"/>
    <s v="Complete Access"/>
    <x v="843"/>
    <x v="1"/>
    <x v="5"/>
    <d v="1900-01-19T00:00:00"/>
    <n v="38"/>
    <x v="5"/>
    <x v="7"/>
  </r>
  <r>
    <x v="1868"/>
    <n v="-19.399999999999999"/>
    <x v="3916"/>
    <n v="5137.3500000000004"/>
    <s v="Complete Access"/>
    <x v="1"/>
    <x v="1"/>
    <x v="1"/>
    <d v="1900-01-19T00:00:00"/>
    <n v="38"/>
    <x v="5"/>
    <x v="7"/>
  </r>
  <r>
    <x v="1869"/>
    <n v="1080.25"/>
    <x v="3188"/>
    <n v="5207.74"/>
    <s v="Complete Access"/>
    <x v="14"/>
    <x v="6"/>
    <x v="9"/>
    <d v="1900-01-18T00:00:00"/>
    <n v="38"/>
    <x v="5"/>
    <x v="7"/>
  </r>
  <r>
    <x v="1869"/>
    <n v="-50.99"/>
    <x v="3917"/>
    <n v="5156.75"/>
    <s v="Complete Access"/>
    <x v="785"/>
    <x v="9"/>
    <x v="12"/>
    <d v="1900-01-18T00:00:00"/>
    <n v="38"/>
    <x v="5"/>
    <x v="7"/>
  </r>
  <r>
    <x v="1870"/>
    <n v="-13.2"/>
    <x v="3203"/>
    <n v="4127.49"/>
    <s v="Complete Access"/>
    <x v="188"/>
    <x v="1"/>
    <x v="1"/>
    <d v="1900-01-17T00:00:00"/>
    <n v="38"/>
    <x v="5"/>
    <x v="7"/>
  </r>
  <r>
    <x v="1871"/>
    <n v="-34"/>
    <x v="3874"/>
    <n v="4090.69"/>
    <s v="Complete Access"/>
    <x v="842"/>
    <x v="8"/>
    <x v="29"/>
    <d v="1900-01-16T00:00:00"/>
    <n v="38"/>
    <x v="5"/>
    <x v="7"/>
  </r>
  <r>
    <x v="1871"/>
    <n v="1.22"/>
    <x v="3918"/>
    <n v="4124.6899999999996"/>
    <s v="Complete Access"/>
    <x v="67"/>
    <x v="0"/>
    <x v="0"/>
    <d v="1900-01-16T00:00:00"/>
    <n v="38"/>
    <x v="5"/>
    <x v="7"/>
  </r>
  <r>
    <x v="1871"/>
    <n v="50"/>
    <x v="3919"/>
    <n v="4140.6899999999996"/>
    <s v="Complete Access"/>
    <x v="67"/>
    <x v="0"/>
    <x v="0"/>
    <d v="1900-01-16T00:00:00"/>
    <n v="38"/>
    <x v="5"/>
    <x v="7"/>
  </r>
  <r>
    <x v="1872"/>
    <n v="-26.5"/>
    <x v="3920"/>
    <n v="4155.92"/>
    <s v="Complete Access"/>
    <x v="874"/>
    <x v="20"/>
    <x v="63"/>
    <d v="1900-01-15T00:00:00"/>
    <n v="38"/>
    <x v="5"/>
    <x v="7"/>
  </r>
  <r>
    <x v="1872"/>
    <n v="-32.450000000000003"/>
    <x v="3921"/>
    <n v="4123.47"/>
    <s v="Complete Access"/>
    <x v="237"/>
    <x v="15"/>
    <x v="34"/>
    <d v="1900-01-15T00:00:00"/>
    <n v="38"/>
    <x v="5"/>
    <x v="7"/>
  </r>
  <r>
    <x v="1872"/>
    <n v="-20"/>
    <x v="3922"/>
    <n v="4182.42"/>
    <s v="Complete Access"/>
    <x v="875"/>
    <x v="8"/>
    <x v="29"/>
    <d v="1900-01-15T00:00:00"/>
    <n v="38"/>
    <x v="5"/>
    <x v="7"/>
  </r>
  <r>
    <x v="1872"/>
    <n v="-20"/>
    <x v="3922"/>
    <n v="4202.42"/>
    <s v="Complete Access"/>
    <x v="875"/>
    <x v="8"/>
    <x v="29"/>
    <d v="1900-01-15T00:00:00"/>
    <n v="38"/>
    <x v="5"/>
    <x v="7"/>
  </r>
  <r>
    <x v="1872"/>
    <n v="-20"/>
    <x v="3922"/>
    <n v="4222.42"/>
    <s v="Complete Access"/>
    <x v="875"/>
    <x v="8"/>
    <x v="29"/>
    <d v="1900-01-15T00:00:00"/>
    <n v="38"/>
    <x v="5"/>
    <x v="7"/>
  </r>
  <r>
    <x v="1873"/>
    <n v="-37.64"/>
    <x v="3923"/>
    <n v="4403.22"/>
    <s v="Complete Access"/>
    <x v="841"/>
    <x v="2"/>
    <x v="86"/>
    <d v="1900-01-14T00:00:00"/>
    <n v="37"/>
    <x v="5"/>
    <x v="7"/>
  </r>
  <r>
    <x v="1873"/>
    <n v="-515"/>
    <x v="3404"/>
    <n v="4440.8599999999997"/>
    <s v="Complete Access"/>
    <x v="783"/>
    <x v="19"/>
    <x v="61"/>
    <d v="1900-01-14T00:00:00"/>
    <n v="37"/>
    <x v="5"/>
    <x v="7"/>
  </r>
  <r>
    <x v="1873"/>
    <n v="-13.5"/>
    <x v="3924"/>
    <n v="4320.42"/>
    <s v="Complete Access"/>
    <x v="876"/>
    <x v="1"/>
    <x v="5"/>
    <d v="1900-01-14T00:00:00"/>
    <n v="37"/>
    <x v="5"/>
    <x v="7"/>
  </r>
  <r>
    <x v="1873"/>
    <n v="-100"/>
    <x v="2274"/>
    <n v="4955.8599999999997"/>
    <s v="Complete Access"/>
    <x v="552"/>
    <x v="0"/>
    <x v="74"/>
    <d v="1900-01-14T00:00:00"/>
    <n v="37"/>
    <x v="5"/>
    <x v="7"/>
  </r>
  <r>
    <x v="1873"/>
    <n v="-40"/>
    <x v="3925"/>
    <n v="4333.92"/>
    <s v="Complete Access"/>
    <x v="877"/>
    <x v="8"/>
    <x v="29"/>
    <d v="1900-01-14T00:00:00"/>
    <n v="37"/>
    <x v="5"/>
    <x v="7"/>
  </r>
  <r>
    <x v="1873"/>
    <n v="-49.5"/>
    <x v="3926"/>
    <n v="4242.42"/>
    <s v="Complete Access"/>
    <x v="875"/>
    <x v="8"/>
    <x v="29"/>
    <d v="1900-01-14T00:00:00"/>
    <n v="37"/>
    <x v="5"/>
    <x v="7"/>
  </r>
  <r>
    <x v="1873"/>
    <n v="-19"/>
    <x v="3922"/>
    <n v="4291.92"/>
    <s v="Complete Access"/>
    <x v="875"/>
    <x v="8"/>
    <x v="29"/>
    <d v="1900-01-14T00:00:00"/>
    <n v="37"/>
    <x v="5"/>
    <x v="7"/>
  </r>
  <r>
    <x v="1873"/>
    <n v="-9.5"/>
    <x v="3922"/>
    <n v="4310.92"/>
    <s v="Complete Access"/>
    <x v="875"/>
    <x v="8"/>
    <x v="29"/>
    <d v="1900-01-14T00:00:00"/>
    <n v="37"/>
    <x v="5"/>
    <x v="7"/>
  </r>
  <r>
    <x v="1873"/>
    <n v="-17.8"/>
    <x v="3927"/>
    <n v="4373.92"/>
    <s v="Complete Access"/>
    <x v="294"/>
    <x v="8"/>
    <x v="29"/>
    <d v="1900-01-14T00:00:00"/>
    <n v="37"/>
    <x v="5"/>
    <x v="7"/>
  </r>
  <r>
    <x v="1873"/>
    <n v="-11.5"/>
    <x v="3927"/>
    <n v="4391.72"/>
    <s v="Complete Access"/>
    <x v="294"/>
    <x v="8"/>
    <x v="29"/>
    <d v="1900-01-14T00:00:00"/>
    <n v="37"/>
    <x v="5"/>
    <x v="7"/>
  </r>
  <r>
    <x v="1874"/>
    <n v="-9.1"/>
    <x v="3928"/>
    <n v="5071.3599999999997"/>
    <s v="Complete Access"/>
    <x v="839"/>
    <x v="1"/>
    <x v="85"/>
    <d v="1900-01-13T00:00:00"/>
    <n v="37"/>
    <x v="5"/>
    <x v="7"/>
  </r>
  <r>
    <x v="1874"/>
    <n v="-2"/>
    <x v="3203"/>
    <n v="5055.8599999999997"/>
    <s v="Complete Access"/>
    <x v="188"/>
    <x v="1"/>
    <x v="1"/>
    <d v="1900-01-13T00:00:00"/>
    <n v="37"/>
    <x v="5"/>
    <x v="7"/>
  </r>
  <r>
    <x v="1874"/>
    <n v="-13.5"/>
    <x v="3929"/>
    <n v="5057.8599999999997"/>
    <s v="Complete Access"/>
    <x v="682"/>
    <x v="1"/>
    <x v="5"/>
    <d v="1900-01-13T00:00:00"/>
    <n v="37"/>
    <x v="5"/>
    <x v="7"/>
  </r>
  <r>
    <x v="1875"/>
    <n v="-50"/>
    <x v="3891"/>
    <n v="5295.46"/>
    <s v="Complete Access"/>
    <x v="819"/>
    <x v="5"/>
    <x v="83"/>
    <d v="1900-01-12T00:00:00"/>
    <n v="37"/>
    <x v="5"/>
    <x v="7"/>
  </r>
  <r>
    <x v="1875"/>
    <n v="-12"/>
    <x v="3930"/>
    <n v="5283.46"/>
    <s v="Complete Access"/>
    <x v="242"/>
    <x v="1"/>
    <x v="5"/>
    <d v="1900-01-12T00:00:00"/>
    <n v="37"/>
    <x v="5"/>
    <x v="7"/>
  </r>
  <r>
    <x v="1875"/>
    <n v="-23.7"/>
    <x v="3931"/>
    <n v="5506.11"/>
    <s v="Complete Access"/>
    <x v="47"/>
    <x v="1"/>
    <x v="5"/>
    <d v="1900-01-12T00:00:00"/>
    <n v="37"/>
    <x v="5"/>
    <x v="7"/>
  </r>
  <r>
    <x v="1875"/>
    <n v="-16"/>
    <x v="3932"/>
    <n v="5345.46"/>
    <s v="Complete Access"/>
    <x v="826"/>
    <x v="8"/>
    <x v="29"/>
    <d v="1900-01-12T00:00:00"/>
    <n v="37"/>
    <x v="5"/>
    <x v="7"/>
  </r>
  <r>
    <x v="1875"/>
    <n v="-41.11"/>
    <x v="3933"/>
    <n v="5361.46"/>
    <s v="Complete Access"/>
    <x v="878"/>
    <x v="8"/>
    <x v="29"/>
    <d v="1900-01-12T00:00:00"/>
    <n v="37"/>
    <x v="5"/>
    <x v="7"/>
  </r>
  <r>
    <x v="1875"/>
    <n v="-30.45"/>
    <x v="3933"/>
    <n v="5402.57"/>
    <s v="Complete Access"/>
    <x v="878"/>
    <x v="8"/>
    <x v="29"/>
    <d v="1900-01-12T00:00:00"/>
    <n v="37"/>
    <x v="5"/>
    <x v="7"/>
  </r>
  <r>
    <x v="1875"/>
    <n v="-21.32"/>
    <x v="3933"/>
    <n v="5433.02"/>
    <s v="Complete Access"/>
    <x v="878"/>
    <x v="8"/>
    <x v="29"/>
    <d v="1900-01-12T00:00:00"/>
    <n v="37"/>
    <x v="5"/>
    <x v="7"/>
  </r>
  <r>
    <x v="1875"/>
    <n v="-41.11"/>
    <x v="3933"/>
    <n v="5454.34"/>
    <s v="Complete Access"/>
    <x v="878"/>
    <x v="8"/>
    <x v="29"/>
    <d v="1900-01-12T00:00:00"/>
    <n v="37"/>
    <x v="5"/>
    <x v="7"/>
  </r>
  <r>
    <x v="1875"/>
    <n v="-10.66"/>
    <x v="3933"/>
    <n v="5495.45"/>
    <s v="Complete Access"/>
    <x v="878"/>
    <x v="8"/>
    <x v="29"/>
    <d v="1900-01-12T00:00:00"/>
    <n v="37"/>
    <x v="5"/>
    <x v="7"/>
  </r>
  <r>
    <x v="1875"/>
    <n v="-73"/>
    <x v="2543"/>
    <n v="5210.46"/>
    <s v="Complete Access"/>
    <x v="17"/>
    <x v="7"/>
    <x v="11"/>
    <d v="1900-01-12T00:00:00"/>
    <n v="37"/>
    <x v="5"/>
    <x v="7"/>
  </r>
  <r>
    <x v="1875"/>
    <n v="-130"/>
    <x v="3934"/>
    <n v="5080.46"/>
    <s v="Complete Access"/>
    <x v="741"/>
    <x v="16"/>
    <x v="81"/>
    <d v="1900-01-12T00:00:00"/>
    <n v="37"/>
    <x v="5"/>
    <x v="7"/>
  </r>
  <r>
    <x v="1876"/>
    <n v="1071.02"/>
    <x v="3188"/>
    <n v="5529.81"/>
    <s v="Complete Access"/>
    <x v="14"/>
    <x v="6"/>
    <x v="9"/>
    <d v="1900-01-11T00:00:00"/>
    <n v="37"/>
    <x v="5"/>
    <x v="7"/>
  </r>
  <r>
    <x v="1876"/>
    <n v="-44.63"/>
    <x v="3935"/>
    <n v="4482.17"/>
    <s v="Complete Access"/>
    <x v="835"/>
    <x v="15"/>
    <x v="34"/>
    <d v="1900-01-11T00:00:00"/>
    <n v="37"/>
    <x v="5"/>
    <x v="7"/>
  </r>
  <r>
    <x v="1876"/>
    <n v="-30.9"/>
    <x v="3936"/>
    <n v="4526.8"/>
    <s v="Complete Access"/>
    <x v="343"/>
    <x v="1"/>
    <x v="5"/>
    <d v="1900-01-11T00:00:00"/>
    <n v="37"/>
    <x v="5"/>
    <x v="7"/>
  </r>
  <r>
    <x v="1876"/>
    <n v="-8.48"/>
    <x v="3897"/>
    <n v="4458.79"/>
    <s v="Complete Access"/>
    <x v="27"/>
    <x v="1"/>
    <x v="5"/>
    <d v="1900-01-11T00:00:00"/>
    <n v="37"/>
    <x v="5"/>
    <x v="7"/>
  </r>
  <r>
    <x v="1876"/>
    <n v="-14.9"/>
    <x v="3909"/>
    <n v="4467.2700000000004"/>
    <s v="Complete Access"/>
    <x v="687"/>
    <x v="1"/>
    <x v="5"/>
    <d v="1900-01-11T00:00:00"/>
    <n v="37"/>
    <x v="5"/>
    <x v="7"/>
  </r>
  <r>
    <x v="1876"/>
    <n v="-9.5"/>
    <x v="3937"/>
    <n v="4557.7"/>
    <s v="Complete Access"/>
    <x v="879"/>
    <x v="1"/>
    <x v="5"/>
    <d v="1900-01-11T00:00:00"/>
    <n v="37"/>
    <x v="5"/>
    <x v="7"/>
  </r>
  <r>
    <x v="1876"/>
    <n v="-19"/>
    <x v="3937"/>
    <n v="4567.2"/>
    <s v="Complete Access"/>
    <x v="879"/>
    <x v="1"/>
    <x v="5"/>
    <d v="1900-01-11T00:00:00"/>
    <n v="37"/>
    <x v="5"/>
    <x v="7"/>
  </r>
  <r>
    <x v="1876"/>
    <n v="-9.5"/>
    <x v="3937"/>
    <n v="4586.2"/>
    <s v="Complete Access"/>
    <x v="879"/>
    <x v="1"/>
    <x v="5"/>
    <d v="1900-01-11T00:00:00"/>
    <n v="37"/>
    <x v="5"/>
    <x v="7"/>
  </r>
  <r>
    <x v="1877"/>
    <n v="-9.1999999999999993"/>
    <x v="3938"/>
    <n v="4649.49"/>
    <s v="Complete Access"/>
    <x v="609"/>
    <x v="1"/>
    <x v="1"/>
    <d v="1900-01-10T00:00:00"/>
    <n v="37"/>
    <x v="5"/>
    <x v="7"/>
  </r>
  <r>
    <x v="1877"/>
    <n v="-43.79"/>
    <x v="3939"/>
    <n v="4595.7"/>
    <s v="Complete Access"/>
    <x v="609"/>
    <x v="1"/>
    <x v="1"/>
    <d v="1900-01-10T00:00:00"/>
    <n v="37"/>
    <x v="5"/>
    <x v="7"/>
  </r>
  <r>
    <x v="1877"/>
    <n v="-27"/>
    <x v="3940"/>
    <n v="4658.6899999999996"/>
    <s v="Complete Access"/>
    <x v="343"/>
    <x v="1"/>
    <x v="5"/>
    <d v="1900-01-10T00:00:00"/>
    <n v="37"/>
    <x v="5"/>
    <x v="7"/>
  </r>
  <r>
    <x v="1877"/>
    <n v="-10"/>
    <x v="3941"/>
    <n v="4639.49"/>
    <s v="Complete Access"/>
    <x v="213"/>
    <x v="1"/>
    <x v="23"/>
    <d v="1900-01-10T00:00:00"/>
    <n v="37"/>
    <x v="5"/>
    <x v="7"/>
  </r>
  <r>
    <x v="1878"/>
    <n v="-70"/>
    <x v="3942"/>
    <n v="4685.6899999999996"/>
    <s v="Complete Access"/>
    <x v="601"/>
    <x v="0"/>
    <x v="0"/>
    <d v="1900-01-09T00:00:00"/>
    <n v="37"/>
    <x v="5"/>
    <x v="7"/>
  </r>
  <r>
    <x v="1878"/>
    <n v="-20.100000000000001"/>
    <x v="3943"/>
    <n v="4755.6899999999996"/>
    <s v="Complete Access"/>
    <x v="880"/>
    <x v="8"/>
    <x v="29"/>
    <d v="1900-01-09T00:00:00"/>
    <n v="37"/>
    <x v="5"/>
    <x v="7"/>
  </r>
  <r>
    <x v="1879"/>
    <n v="-515"/>
    <x v="3404"/>
    <n v="4775.79"/>
    <s v="Complete Access"/>
    <x v="783"/>
    <x v="19"/>
    <x v="61"/>
    <d v="1900-01-07T00:00:00"/>
    <n v="36"/>
    <x v="5"/>
    <x v="7"/>
  </r>
  <r>
    <x v="1879"/>
    <n v="-100"/>
    <x v="2274"/>
    <n v="5290.79"/>
    <s v="Complete Access"/>
    <x v="552"/>
    <x v="0"/>
    <x v="74"/>
    <d v="1900-01-07T00:00:00"/>
    <n v="36"/>
    <x v="5"/>
    <x v="7"/>
  </r>
  <r>
    <x v="1880"/>
    <n v="-50"/>
    <x v="3764"/>
    <n v="5414.79"/>
    <s v="Complete Access"/>
    <x v="601"/>
    <x v="0"/>
    <x v="0"/>
    <d v="1900-01-06T00:00:00"/>
    <n v="36"/>
    <x v="5"/>
    <x v="7"/>
  </r>
  <r>
    <x v="1880"/>
    <n v="-7"/>
    <x v="3944"/>
    <n v="5464.79"/>
    <s v="Complete Access"/>
    <x v="1"/>
    <x v="1"/>
    <x v="1"/>
    <d v="1900-01-06T00:00:00"/>
    <n v="36"/>
    <x v="5"/>
    <x v="7"/>
  </r>
  <r>
    <x v="1880"/>
    <n v="-24"/>
    <x v="3835"/>
    <n v="5390.79"/>
    <s v="Complete Access"/>
    <x v="861"/>
    <x v="3"/>
    <x v="26"/>
    <d v="1900-01-06T00:00:00"/>
    <n v="36"/>
    <x v="5"/>
    <x v="7"/>
  </r>
  <r>
    <x v="1881"/>
    <n v="-9.35"/>
    <x v="3945"/>
    <n v="5487.69"/>
    <s v="Complete Access"/>
    <x v="27"/>
    <x v="1"/>
    <x v="5"/>
    <d v="1900-01-05T00:00:00"/>
    <n v="36"/>
    <x v="5"/>
    <x v="7"/>
  </r>
  <r>
    <x v="1881"/>
    <n v="-50"/>
    <x v="3946"/>
    <n v="5497.04"/>
    <s v="Complete Access"/>
    <x v="819"/>
    <x v="5"/>
    <x v="83"/>
    <d v="1900-01-05T00:00:00"/>
    <n v="36"/>
    <x v="5"/>
    <x v="7"/>
  </r>
  <r>
    <x v="1881"/>
    <n v="-15.9"/>
    <x v="3947"/>
    <n v="5471.79"/>
    <s v="Complete Access"/>
    <x v="609"/>
    <x v="1"/>
    <x v="1"/>
    <d v="1900-01-05T00:00:00"/>
    <n v="36"/>
    <x v="5"/>
    <x v="7"/>
  </r>
  <r>
    <x v="1882"/>
    <n v="1080.25"/>
    <x v="3188"/>
    <n v="5547.04"/>
    <s v="Complete Access"/>
    <x v="14"/>
    <x v="6"/>
    <x v="9"/>
    <d v="1900-01-04T00:00:00"/>
    <n v="36"/>
    <x v="5"/>
    <x v="7"/>
  </r>
  <r>
    <x v="1882"/>
    <n v="-17.8"/>
    <x v="3948"/>
    <n v="4496.8500000000004"/>
    <s v="Complete Access"/>
    <x v="881"/>
    <x v="1"/>
    <x v="5"/>
    <d v="1900-01-04T00:00:00"/>
    <n v="36"/>
    <x v="5"/>
    <x v="7"/>
  </r>
  <r>
    <x v="1882"/>
    <n v="-30.06"/>
    <x v="3949"/>
    <n v="4466.79"/>
    <s v="Complete Access"/>
    <x v="1"/>
    <x v="1"/>
    <x v="1"/>
    <d v="1900-01-04T00:00:00"/>
    <n v="36"/>
    <x v="5"/>
    <x v="7"/>
  </r>
  <r>
    <x v="1882"/>
    <n v="-12.95"/>
    <x v="3950"/>
    <n v="4574.6499999999996"/>
    <s v="Complete Access"/>
    <x v="1"/>
    <x v="1"/>
    <x v="1"/>
    <d v="1900-01-04T00:00:00"/>
    <n v="36"/>
    <x v="5"/>
    <x v="7"/>
  </r>
  <r>
    <x v="1882"/>
    <n v="-13.9"/>
    <x v="3951"/>
    <n v="4587.6000000000004"/>
    <s v="Complete Access"/>
    <x v="687"/>
    <x v="1"/>
    <x v="5"/>
    <d v="1900-01-04T00:00:00"/>
    <n v="36"/>
    <x v="5"/>
    <x v="7"/>
  </r>
  <r>
    <x v="1882"/>
    <n v="-60"/>
    <x v="3952"/>
    <n v="4514.6499999999996"/>
    <s v="Complete Access"/>
    <x v="219"/>
    <x v="7"/>
    <x v="53"/>
    <d v="1900-01-04T00:00:00"/>
    <n v="36"/>
    <x v="5"/>
    <x v="7"/>
  </r>
  <r>
    <x v="1883"/>
    <n v="-7.2"/>
    <x v="3953"/>
    <n v="4636.1000000000004"/>
    <s v="Complete Access"/>
    <x v="447"/>
    <x v="3"/>
    <x v="26"/>
    <d v="1900-01-03T00:00:00"/>
    <n v="36"/>
    <x v="5"/>
    <x v="7"/>
  </r>
  <r>
    <x v="1883"/>
    <n v="-17"/>
    <x v="3954"/>
    <n v="4601.5"/>
    <s v="Complete Access"/>
    <x v="842"/>
    <x v="8"/>
    <x v="29"/>
    <d v="1900-01-03T00:00:00"/>
    <n v="36"/>
    <x v="5"/>
    <x v="7"/>
  </r>
  <r>
    <x v="1883"/>
    <n v="-17.600000000000001"/>
    <x v="3955"/>
    <n v="4618.5"/>
    <s v="Complete Access"/>
    <x v="1"/>
    <x v="1"/>
    <x v="1"/>
    <d v="1900-01-03T00:00:00"/>
    <n v="36"/>
    <x v="5"/>
    <x v="7"/>
  </r>
  <r>
    <x v="1884"/>
    <n v="-12.5"/>
    <x v="3956"/>
    <n v="5004.7"/>
    <s v="Complete Access"/>
    <x v="843"/>
    <x v="1"/>
    <x v="5"/>
    <d v="1900-01-02T00:00:00"/>
    <n v="36"/>
    <x v="5"/>
    <x v="7"/>
  </r>
  <r>
    <x v="1884"/>
    <n v="-166.4"/>
    <x v="3957"/>
    <n v="4838.3"/>
    <s v="Complete Access"/>
    <x v="76"/>
    <x v="2"/>
    <x v="2"/>
    <d v="1900-01-02T00:00:00"/>
    <n v="36"/>
    <x v="5"/>
    <x v="7"/>
  </r>
  <r>
    <x v="1884"/>
    <n v="-65"/>
    <x v="3958"/>
    <n v="4773.3"/>
    <s v="Complete Access"/>
    <x v="741"/>
    <x v="16"/>
    <x v="81"/>
    <d v="1900-01-02T00:00:00"/>
    <n v="36"/>
    <x v="5"/>
    <x v="7"/>
  </r>
  <r>
    <x v="1884"/>
    <n v="-130"/>
    <x v="3959"/>
    <n v="4643.3"/>
    <s v="Complete Access"/>
    <x v="741"/>
    <x v="16"/>
    <x v="81"/>
    <d v="1900-01-02T00:00:00"/>
    <n v="36"/>
    <x v="5"/>
    <x v="7"/>
  </r>
  <r>
    <x v="1885"/>
    <n v="-515"/>
    <x v="3404"/>
    <n v="5040.68"/>
    <s v="Complete Access"/>
    <x v="783"/>
    <x v="19"/>
    <x v="61"/>
    <d v="1899-12-31T00:00:00"/>
    <n v="35"/>
    <x v="5"/>
    <x v="7"/>
  </r>
  <r>
    <x v="1885"/>
    <n v="-13.49"/>
    <x v="3960"/>
    <n v="5017.2"/>
    <s v="Complete Access"/>
    <x v="609"/>
    <x v="1"/>
    <x v="1"/>
    <d v="1899-12-31T00:00:00"/>
    <n v="35"/>
    <x v="5"/>
    <x v="7"/>
  </r>
  <r>
    <x v="1885"/>
    <n v="-9.99"/>
    <x v="3961"/>
    <n v="5030.6899999999996"/>
    <s v="Complete Access"/>
    <x v="373"/>
    <x v="8"/>
    <x v="7"/>
    <d v="1899-12-31T00:00:00"/>
    <n v="35"/>
    <x v="5"/>
    <x v="7"/>
  </r>
  <r>
    <x v="1885"/>
    <n v="-100"/>
    <x v="2274"/>
    <n v="5555.68"/>
    <s v="Complete Access"/>
    <x v="552"/>
    <x v="0"/>
    <x v="74"/>
    <d v="1899-12-31T00:00:00"/>
    <n v="35"/>
    <x v="5"/>
    <x v="7"/>
  </r>
  <r>
    <x v="1886"/>
    <n v="-13.35"/>
    <x v="3962"/>
    <n v="5727.88"/>
    <s v="Complete Access"/>
    <x v="27"/>
    <x v="1"/>
    <x v="5"/>
    <d v="1900-01-30T00:00:00"/>
    <n v="35"/>
    <x v="6"/>
    <x v="7"/>
  </r>
  <r>
    <x v="1886"/>
    <n v="-41.6"/>
    <x v="3963"/>
    <n v="5655.68"/>
    <s v="Complete Access"/>
    <x v="801"/>
    <x v="8"/>
    <x v="29"/>
    <d v="1900-01-30T00:00:00"/>
    <n v="35"/>
    <x v="6"/>
    <x v="7"/>
  </r>
  <r>
    <x v="1886"/>
    <n v="-30.6"/>
    <x v="3964"/>
    <n v="5697.28"/>
    <s v="Complete Access"/>
    <x v="1"/>
    <x v="1"/>
    <x v="1"/>
    <d v="1900-01-30T00:00:00"/>
    <n v="35"/>
    <x v="6"/>
    <x v="7"/>
  </r>
  <r>
    <x v="1887"/>
    <n v="-11.8"/>
    <x v="3965"/>
    <n v="5789.57"/>
    <s v="Complete Access"/>
    <x v="27"/>
    <x v="1"/>
    <x v="5"/>
    <d v="1900-01-29T00:00:00"/>
    <n v="35"/>
    <x v="6"/>
    <x v="7"/>
  </r>
  <r>
    <x v="1887"/>
    <n v="-19.09"/>
    <x v="3966"/>
    <n v="5770.48"/>
    <s v="Complete Access"/>
    <x v="609"/>
    <x v="1"/>
    <x v="1"/>
    <d v="1900-01-29T00:00:00"/>
    <n v="35"/>
    <x v="6"/>
    <x v="7"/>
  </r>
  <r>
    <x v="1887"/>
    <n v="-13.15"/>
    <x v="3967"/>
    <n v="5757.33"/>
    <s v="Complete Access"/>
    <x v="47"/>
    <x v="1"/>
    <x v="5"/>
    <d v="1900-01-29T00:00:00"/>
    <n v="35"/>
    <x v="6"/>
    <x v="7"/>
  </r>
  <r>
    <x v="1887"/>
    <n v="-16.100000000000001"/>
    <x v="3968"/>
    <n v="5741.23"/>
    <s v="Complete Access"/>
    <x v="1"/>
    <x v="1"/>
    <x v="1"/>
    <d v="1900-01-29T00:00:00"/>
    <n v="35"/>
    <x v="6"/>
    <x v="7"/>
  </r>
  <r>
    <x v="1888"/>
    <n v="-6"/>
    <x v="3969"/>
    <n v="4598.3500000000004"/>
    <s v="Complete Access"/>
    <x v="61"/>
    <x v="1"/>
    <x v="1"/>
    <d v="1900-01-28T00:00:00"/>
    <n v="35"/>
    <x v="6"/>
    <x v="7"/>
  </r>
  <r>
    <x v="1888"/>
    <n v="-20.16"/>
    <x v="3970"/>
    <n v="4604.3500000000004"/>
    <s v="Complete Access"/>
    <x v="882"/>
    <x v="9"/>
    <x v="32"/>
    <d v="1900-01-28T00:00:00"/>
    <n v="35"/>
    <x v="6"/>
    <x v="7"/>
  </r>
  <r>
    <x v="1888"/>
    <n v="1203.02"/>
    <x v="3188"/>
    <n v="5801.37"/>
    <s v="Complete Access"/>
    <x v="14"/>
    <x v="6"/>
    <x v="9"/>
    <d v="1900-01-28T00:00:00"/>
    <n v="35"/>
    <x v="6"/>
    <x v="7"/>
  </r>
  <r>
    <x v="1889"/>
    <n v="-17"/>
    <x v="3971"/>
    <n v="4624.51"/>
    <s v="Complete Access"/>
    <x v="842"/>
    <x v="8"/>
    <x v="29"/>
    <d v="1900-01-27T00:00:00"/>
    <n v="35"/>
    <x v="6"/>
    <x v="7"/>
  </r>
  <r>
    <x v="1889"/>
    <n v="-13.05"/>
    <x v="3972"/>
    <n v="4641.51"/>
    <s v="Complete Access"/>
    <x v="47"/>
    <x v="1"/>
    <x v="5"/>
    <d v="1900-01-27T00:00:00"/>
    <n v="35"/>
    <x v="6"/>
    <x v="7"/>
  </r>
  <r>
    <x v="1889"/>
    <n v="-6.05"/>
    <x v="3973"/>
    <n v="4681.67"/>
    <s v="Complete Access"/>
    <x v="27"/>
    <x v="1"/>
    <x v="5"/>
    <d v="1900-01-27T00:00:00"/>
    <n v="35"/>
    <x v="6"/>
    <x v="7"/>
  </r>
  <r>
    <x v="1889"/>
    <n v="-27.11"/>
    <x v="3974"/>
    <n v="4654.5600000000004"/>
    <s v="Complete Access"/>
    <x v="1"/>
    <x v="1"/>
    <x v="1"/>
    <d v="1900-01-27T00:00:00"/>
    <n v="35"/>
    <x v="6"/>
    <x v="7"/>
  </r>
  <r>
    <x v="1890"/>
    <n v="-13.5"/>
    <x v="3975"/>
    <n v="4687.72"/>
    <s v="Complete Access"/>
    <x v="687"/>
    <x v="1"/>
    <x v="5"/>
    <d v="1900-01-26T00:00:00"/>
    <n v="35"/>
    <x v="6"/>
    <x v="7"/>
  </r>
  <r>
    <x v="1891"/>
    <n v="-50"/>
    <x v="3403"/>
    <n v="4701.22"/>
    <s v="Complete Access"/>
    <x v="601"/>
    <x v="0"/>
    <x v="0"/>
    <d v="1900-01-24T00:00:00"/>
    <n v="34"/>
    <x v="6"/>
    <x v="7"/>
  </r>
  <r>
    <x v="1891"/>
    <n v="-50"/>
    <x v="3976"/>
    <n v="5714.54"/>
    <s v="Complete Access"/>
    <x v="819"/>
    <x v="5"/>
    <x v="83"/>
    <d v="1900-01-24T00:00:00"/>
    <n v="34"/>
    <x v="6"/>
    <x v="7"/>
  </r>
  <r>
    <x v="1891"/>
    <n v="-17"/>
    <x v="3977"/>
    <n v="5687.04"/>
    <s v="Complete Access"/>
    <x v="842"/>
    <x v="8"/>
    <x v="29"/>
    <d v="1900-01-24T00:00:00"/>
    <n v="34"/>
    <x v="6"/>
    <x v="7"/>
  </r>
  <r>
    <x v="1891"/>
    <n v="-515"/>
    <x v="3404"/>
    <n v="4751.22"/>
    <s v="Complete Access"/>
    <x v="783"/>
    <x v="19"/>
    <x v="61"/>
    <d v="1900-01-24T00:00:00"/>
    <n v="34"/>
    <x v="6"/>
    <x v="7"/>
  </r>
  <r>
    <x v="1891"/>
    <n v="-8.18"/>
    <x v="3978"/>
    <n v="5406.23"/>
    <s v="Complete Access"/>
    <x v="10"/>
    <x v="0"/>
    <x v="0"/>
    <d v="1900-01-24T00:00:00"/>
    <n v="34"/>
    <x v="6"/>
    <x v="7"/>
  </r>
  <r>
    <x v="1891"/>
    <n v="-100"/>
    <x v="2274"/>
    <n v="5266.22"/>
    <s v="Complete Access"/>
    <x v="552"/>
    <x v="0"/>
    <x v="74"/>
    <d v="1900-01-24T00:00:00"/>
    <n v="34"/>
    <x v="6"/>
    <x v="7"/>
  </r>
  <r>
    <x v="1891"/>
    <n v="-272.63"/>
    <x v="3979"/>
    <n v="5414.41"/>
    <s v="Complete Access"/>
    <x v="883"/>
    <x v="4"/>
    <x v="47"/>
    <d v="1900-01-24T00:00:00"/>
    <n v="34"/>
    <x v="6"/>
    <x v="7"/>
  </r>
  <r>
    <x v="1891"/>
    <n v="-7"/>
    <x v="3980"/>
    <n v="5704.04"/>
    <s v="Complete Access"/>
    <x v="884"/>
    <x v="1"/>
    <x v="5"/>
    <d v="1900-01-24T00:00:00"/>
    <n v="34"/>
    <x v="6"/>
    <x v="7"/>
  </r>
  <r>
    <x v="1891"/>
    <n v="-3.5"/>
    <x v="3980"/>
    <n v="5711.04"/>
    <s v="Complete Access"/>
    <x v="884"/>
    <x v="1"/>
    <x v="5"/>
    <d v="1900-01-24T00:00:00"/>
    <n v="34"/>
    <x v="6"/>
    <x v="7"/>
  </r>
  <r>
    <x v="1891"/>
    <n v="-40.01"/>
    <x v="3981"/>
    <n v="5366.22"/>
    <s v="Complete Access"/>
    <x v="34"/>
    <x v="9"/>
    <x v="12"/>
    <d v="1900-01-24T00:00:00"/>
    <n v="34"/>
    <x v="6"/>
    <x v="7"/>
  </r>
  <r>
    <x v="1892"/>
    <n v="-46.5"/>
    <x v="3982"/>
    <n v="5779.54"/>
    <s v="Complete Access"/>
    <x v="885"/>
    <x v="1"/>
    <x v="5"/>
    <d v="1900-01-23T00:00:00"/>
    <n v="34"/>
    <x v="6"/>
    <x v="7"/>
  </r>
  <r>
    <x v="1892"/>
    <n v="-15"/>
    <x v="3983"/>
    <n v="5764.54"/>
    <s v="Complete Access"/>
    <x v="884"/>
    <x v="1"/>
    <x v="5"/>
    <d v="1900-01-23T00:00:00"/>
    <n v="34"/>
    <x v="6"/>
    <x v="7"/>
  </r>
  <r>
    <x v="1893"/>
    <n v="-12.1"/>
    <x v="3984"/>
    <n v="6042.54"/>
    <s v="Complete Access"/>
    <x v="27"/>
    <x v="1"/>
    <x v="5"/>
    <d v="1900-01-22T00:00:00"/>
    <n v="34"/>
    <x v="6"/>
    <x v="7"/>
  </r>
  <r>
    <x v="1893"/>
    <n v="-20.45"/>
    <x v="3985"/>
    <n v="6022.09"/>
    <s v="Complete Access"/>
    <x v="609"/>
    <x v="1"/>
    <x v="1"/>
    <d v="1900-01-22T00:00:00"/>
    <n v="34"/>
    <x v="6"/>
    <x v="7"/>
  </r>
  <r>
    <x v="1893"/>
    <n v="-13.6"/>
    <x v="3986"/>
    <n v="5954.79"/>
    <s v="Complete Access"/>
    <x v="47"/>
    <x v="1"/>
    <x v="5"/>
    <d v="1900-01-22T00:00:00"/>
    <n v="34"/>
    <x v="6"/>
    <x v="7"/>
  </r>
  <r>
    <x v="1893"/>
    <n v="-95.55"/>
    <x v="3987"/>
    <n v="5844.04"/>
    <s v="Complete Access"/>
    <x v="237"/>
    <x v="15"/>
    <x v="34"/>
    <d v="1900-01-22T00:00:00"/>
    <n v="34"/>
    <x v="6"/>
    <x v="7"/>
  </r>
  <r>
    <x v="1893"/>
    <n v="-53.7"/>
    <x v="3988"/>
    <n v="5968.39"/>
    <s v="Complete Access"/>
    <x v="260"/>
    <x v="1"/>
    <x v="5"/>
    <d v="1900-01-22T00:00:00"/>
    <n v="34"/>
    <x v="6"/>
    <x v="7"/>
  </r>
  <r>
    <x v="1893"/>
    <n v="-6"/>
    <x v="3989"/>
    <n v="5826.04"/>
    <s v="Complete Access"/>
    <x v="886"/>
    <x v="8"/>
    <x v="29"/>
    <d v="1900-01-22T00:00:00"/>
    <n v="34"/>
    <x v="6"/>
    <x v="7"/>
  </r>
  <r>
    <x v="1893"/>
    <n v="-6"/>
    <x v="3989"/>
    <n v="5832.04"/>
    <s v="Complete Access"/>
    <x v="886"/>
    <x v="8"/>
    <x v="29"/>
    <d v="1900-01-22T00:00:00"/>
    <n v="34"/>
    <x v="6"/>
    <x v="7"/>
  </r>
  <r>
    <x v="1893"/>
    <n v="-6"/>
    <x v="3989"/>
    <n v="5838.04"/>
    <s v="Complete Access"/>
    <x v="886"/>
    <x v="8"/>
    <x v="29"/>
    <d v="1900-01-22T00:00:00"/>
    <n v="34"/>
    <x v="6"/>
    <x v="7"/>
  </r>
  <r>
    <x v="1893"/>
    <n v="-15.2"/>
    <x v="3990"/>
    <n v="5939.59"/>
    <s v="Complete Access"/>
    <x v="886"/>
    <x v="8"/>
    <x v="29"/>
    <d v="1900-01-22T00:00:00"/>
    <n v="34"/>
    <x v="6"/>
    <x v="7"/>
  </r>
  <r>
    <x v="1894"/>
    <n v="-78.86"/>
    <x v="3991"/>
    <n v="4969.75"/>
    <s v="Complete Access"/>
    <x v="668"/>
    <x v="15"/>
    <x v="34"/>
    <d v="1900-01-21T00:00:00"/>
    <n v="34"/>
    <x v="6"/>
    <x v="7"/>
  </r>
  <r>
    <x v="1894"/>
    <n v="-16.59"/>
    <x v="3992"/>
    <n v="5129.8100000000004"/>
    <s v="Complete Access"/>
    <x v="559"/>
    <x v="20"/>
    <x v="63"/>
    <d v="1900-01-21T00:00:00"/>
    <n v="34"/>
    <x v="6"/>
    <x v="7"/>
  </r>
  <r>
    <x v="1894"/>
    <n v="1080.25"/>
    <x v="3188"/>
    <n v="6040.64"/>
    <s v="Complete Access"/>
    <x v="14"/>
    <x v="6"/>
    <x v="9"/>
    <d v="1900-01-21T00:00:00"/>
    <n v="34"/>
    <x v="6"/>
    <x v="7"/>
  </r>
  <r>
    <x v="1894"/>
    <n v="-63"/>
    <x v="3993"/>
    <n v="5048.6099999999997"/>
    <s v="Complete Access"/>
    <x v="887"/>
    <x v="8"/>
    <x v="29"/>
    <d v="1900-01-21T00:00:00"/>
    <n v="34"/>
    <x v="6"/>
    <x v="7"/>
  </r>
  <r>
    <x v="1894"/>
    <n v="-18.2"/>
    <x v="3993"/>
    <n v="5111.6099999999997"/>
    <s v="Complete Access"/>
    <x v="887"/>
    <x v="8"/>
    <x v="29"/>
    <d v="1900-01-21T00:00:00"/>
    <n v="34"/>
    <x v="6"/>
    <x v="7"/>
  </r>
  <r>
    <x v="1894"/>
    <n v="14"/>
    <x v="2702"/>
    <n v="6054.64"/>
    <s v="Complete Access"/>
    <x v="6"/>
    <x v="4"/>
    <x v="4"/>
    <d v="1900-01-21T00:00:00"/>
    <n v="34"/>
    <x v="6"/>
    <x v="7"/>
  </r>
  <r>
    <x v="1894"/>
    <n v="13.44"/>
    <x v="3994"/>
    <n v="4960.3900000000003"/>
    <s v="Complete Access"/>
    <x v="67"/>
    <x v="0"/>
    <x v="0"/>
    <d v="1900-01-21T00:00:00"/>
    <n v="34"/>
    <x v="6"/>
    <x v="7"/>
  </r>
  <r>
    <x v="1894"/>
    <n v="-14.9"/>
    <x v="3990"/>
    <n v="4946.95"/>
    <s v="Complete Access"/>
    <x v="886"/>
    <x v="8"/>
    <x v="29"/>
    <d v="1900-01-21T00:00:00"/>
    <n v="34"/>
    <x v="6"/>
    <x v="7"/>
  </r>
  <r>
    <x v="1894"/>
    <n v="-7.9"/>
    <x v="3990"/>
    <n v="4961.8500000000004"/>
    <s v="Complete Access"/>
    <x v="886"/>
    <x v="8"/>
    <x v="29"/>
    <d v="1900-01-21T00:00:00"/>
    <n v="34"/>
    <x v="6"/>
    <x v="7"/>
  </r>
  <r>
    <x v="1895"/>
    <n v="-9.8000000000000007"/>
    <x v="3995"/>
    <n v="5327.29"/>
    <s v="Complete Access"/>
    <x v="61"/>
    <x v="1"/>
    <x v="1"/>
    <d v="1900-01-20T00:00:00"/>
    <n v="34"/>
    <x v="6"/>
    <x v="7"/>
  </r>
  <r>
    <x v="1895"/>
    <n v="-75"/>
    <x v="3996"/>
    <n v="5252.29"/>
    <s v="Complete Access"/>
    <x v="61"/>
    <x v="1"/>
    <x v="1"/>
    <d v="1900-01-20T00:00:00"/>
    <n v="34"/>
    <x v="6"/>
    <x v="7"/>
  </r>
  <r>
    <x v="1895"/>
    <n v="-10"/>
    <x v="3997"/>
    <n v="5161.3900000000003"/>
    <s v="Complete Access"/>
    <x v="42"/>
    <x v="8"/>
    <x v="22"/>
    <d v="1900-01-20T00:00:00"/>
    <n v="34"/>
    <x v="6"/>
    <x v="7"/>
  </r>
  <r>
    <x v="1895"/>
    <n v="-10"/>
    <x v="3998"/>
    <n v="5242.29"/>
    <s v="Complete Access"/>
    <x v="612"/>
    <x v="18"/>
    <x v="59"/>
    <d v="1900-01-20T00:00:00"/>
    <n v="34"/>
    <x v="6"/>
    <x v="7"/>
  </r>
  <r>
    <x v="1895"/>
    <n v="-30"/>
    <x v="3999"/>
    <n v="5174.8900000000003"/>
    <s v="Complete Access"/>
    <x v="888"/>
    <x v="3"/>
    <x v="60"/>
    <d v="1900-01-20T00:00:00"/>
    <n v="34"/>
    <x v="6"/>
    <x v="7"/>
  </r>
  <r>
    <x v="1895"/>
    <n v="-3.5"/>
    <x v="4000"/>
    <n v="5171.3900000000003"/>
    <s v="Complete Access"/>
    <x v="889"/>
    <x v="1"/>
    <x v="5"/>
    <d v="1900-01-20T00:00:00"/>
    <n v="34"/>
    <x v="6"/>
    <x v="7"/>
  </r>
  <r>
    <x v="1895"/>
    <n v="-25"/>
    <x v="4001"/>
    <n v="5204.8900000000003"/>
    <s v="Complete Access"/>
    <x v="796"/>
    <x v="20"/>
    <x v="63"/>
    <d v="1900-01-20T00:00:00"/>
    <n v="34"/>
    <x v="6"/>
    <x v="7"/>
  </r>
  <r>
    <x v="1895"/>
    <n v="-12.4"/>
    <x v="4002"/>
    <n v="5229.8900000000003"/>
    <s v="Complete Access"/>
    <x v="890"/>
    <x v="8"/>
    <x v="29"/>
    <d v="1900-01-20T00:00:00"/>
    <n v="34"/>
    <x v="6"/>
    <x v="7"/>
  </r>
  <r>
    <x v="1895"/>
    <n v="-14.99"/>
    <x v="4003"/>
    <n v="5146.3999999999996"/>
    <s v="Complete Access"/>
    <x v="213"/>
    <x v="1"/>
    <x v="23"/>
    <d v="1900-01-20T00:00:00"/>
    <n v="34"/>
    <x v="6"/>
    <x v="7"/>
  </r>
  <r>
    <x v="1896"/>
    <n v="-515"/>
    <x v="3404"/>
    <n v="5386.58"/>
    <s v="Complete Access"/>
    <x v="783"/>
    <x v="19"/>
    <x v="61"/>
    <d v="1900-01-17T00:00:00"/>
    <n v="33"/>
    <x v="6"/>
    <x v="7"/>
  </r>
  <r>
    <x v="1896"/>
    <n v="-100"/>
    <x v="2274"/>
    <n v="5901.58"/>
    <s v="Complete Access"/>
    <x v="552"/>
    <x v="0"/>
    <x v="74"/>
    <d v="1900-01-17T00:00:00"/>
    <n v="33"/>
    <x v="6"/>
    <x v="7"/>
  </r>
  <r>
    <x v="1896"/>
    <n v="-35.99"/>
    <x v="4004"/>
    <n v="5337.09"/>
    <s v="Complete Access"/>
    <x v="891"/>
    <x v="1"/>
    <x v="23"/>
    <d v="1900-01-17T00:00:00"/>
    <n v="33"/>
    <x v="6"/>
    <x v="7"/>
  </r>
  <r>
    <x v="1896"/>
    <n v="-13.5"/>
    <x v="4005"/>
    <n v="5373.08"/>
    <s v="Complete Access"/>
    <x v="687"/>
    <x v="1"/>
    <x v="5"/>
    <d v="1900-01-17T00:00:00"/>
    <n v="33"/>
    <x v="6"/>
    <x v="7"/>
  </r>
  <r>
    <x v="1897"/>
    <n v="-19.45"/>
    <x v="4006"/>
    <n v="6001.58"/>
    <s v="Complete Access"/>
    <x v="609"/>
    <x v="1"/>
    <x v="1"/>
    <d v="1900-01-16T00:00:00"/>
    <n v="33"/>
    <x v="6"/>
    <x v="7"/>
  </r>
  <r>
    <x v="1897"/>
    <n v="-14.9"/>
    <x v="4007"/>
    <n v="6021.03"/>
    <s v="Complete Access"/>
    <x v="687"/>
    <x v="1"/>
    <x v="5"/>
    <d v="1900-01-16T00:00:00"/>
    <n v="33"/>
    <x v="6"/>
    <x v="7"/>
  </r>
  <r>
    <x v="1898"/>
    <n v="-11.5"/>
    <x v="4008"/>
    <n v="6081.63"/>
    <s v="Complete Access"/>
    <x v="749"/>
    <x v="1"/>
    <x v="5"/>
    <d v="1900-01-15T00:00:00"/>
    <n v="33"/>
    <x v="6"/>
    <x v="7"/>
  </r>
  <r>
    <x v="1898"/>
    <n v="-19.7"/>
    <x v="4009"/>
    <n v="6061.93"/>
    <s v="Complete Access"/>
    <x v="27"/>
    <x v="1"/>
    <x v="5"/>
    <d v="1900-01-15T00:00:00"/>
    <n v="33"/>
    <x v="6"/>
    <x v="7"/>
  </r>
  <r>
    <x v="1898"/>
    <n v="-5.2"/>
    <x v="4010"/>
    <n v="6035.93"/>
    <s v="Complete Access"/>
    <x v="447"/>
    <x v="3"/>
    <x v="26"/>
    <d v="1900-01-15T00:00:00"/>
    <n v="33"/>
    <x v="6"/>
    <x v="7"/>
  </r>
  <r>
    <x v="1898"/>
    <n v="-20.8"/>
    <x v="4011"/>
    <n v="6041.13"/>
    <s v="Complete Access"/>
    <x v="47"/>
    <x v="1"/>
    <x v="5"/>
    <d v="1900-01-15T00:00:00"/>
    <n v="33"/>
    <x v="6"/>
    <x v="7"/>
  </r>
  <r>
    <x v="1899"/>
    <n v="-37.64"/>
    <x v="4012"/>
    <n v="5104.2700000000004"/>
    <s v="Complete Access"/>
    <x v="841"/>
    <x v="2"/>
    <x v="86"/>
    <d v="1900-01-14T00:00:00"/>
    <n v="33"/>
    <x v="6"/>
    <x v="7"/>
  </r>
  <r>
    <x v="1899"/>
    <n v="-7.2"/>
    <x v="4013"/>
    <n v="5084.57"/>
    <s v="Complete Access"/>
    <x v="61"/>
    <x v="1"/>
    <x v="1"/>
    <d v="1900-01-14T00:00:00"/>
    <n v="33"/>
    <x v="6"/>
    <x v="7"/>
  </r>
  <r>
    <x v="1899"/>
    <n v="-20.16"/>
    <x v="4014"/>
    <n v="5035.6099999999997"/>
    <s v="Complete Access"/>
    <x v="882"/>
    <x v="9"/>
    <x v="32"/>
    <d v="1900-01-14T00:00:00"/>
    <n v="33"/>
    <x v="6"/>
    <x v="7"/>
  </r>
  <r>
    <x v="1899"/>
    <n v="1081.47"/>
    <x v="3188"/>
    <n v="6093.13"/>
    <s v="Complete Access"/>
    <x v="14"/>
    <x v="6"/>
    <x v="9"/>
    <d v="1900-01-14T00:00:00"/>
    <n v="33"/>
    <x v="6"/>
    <x v="7"/>
  </r>
  <r>
    <x v="1899"/>
    <n v="-12.5"/>
    <x v="4015"/>
    <n v="5091.7700000000004"/>
    <s v="Complete Access"/>
    <x v="843"/>
    <x v="1"/>
    <x v="5"/>
    <d v="1900-01-14T00:00:00"/>
    <n v="33"/>
    <x v="6"/>
    <x v="7"/>
  </r>
  <r>
    <x v="1899"/>
    <n v="-28.8"/>
    <x v="4016"/>
    <n v="5055.7700000000004"/>
    <s v="Complete Access"/>
    <x v="343"/>
    <x v="1"/>
    <x v="5"/>
    <d v="1900-01-14T00:00:00"/>
    <n v="33"/>
    <x v="6"/>
    <x v="7"/>
  </r>
  <r>
    <x v="1899"/>
    <n v="-23.95"/>
    <x v="4017"/>
    <n v="5011.66"/>
    <s v="Complete Access"/>
    <x v="1"/>
    <x v="1"/>
    <x v="1"/>
    <d v="1900-01-14T00:00:00"/>
    <n v="33"/>
    <x v="6"/>
    <x v="7"/>
  </r>
  <r>
    <x v="1900"/>
    <n v="-3.9"/>
    <x v="4018"/>
    <n v="5237.91"/>
    <s v="Complete Access"/>
    <x v="447"/>
    <x v="3"/>
    <x v="26"/>
    <d v="1900-01-13T00:00:00"/>
    <n v="33"/>
    <x v="6"/>
    <x v="7"/>
  </r>
  <r>
    <x v="1900"/>
    <n v="-17"/>
    <x v="4019"/>
    <n v="5220.91"/>
    <s v="Complete Access"/>
    <x v="842"/>
    <x v="8"/>
    <x v="29"/>
    <d v="1900-01-13T00:00:00"/>
    <n v="33"/>
    <x v="6"/>
    <x v="7"/>
  </r>
  <r>
    <x v="1900"/>
    <n v="79"/>
    <x v="4020"/>
    <n v="5263.95"/>
    <s v="Complete Access"/>
    <x v="347"/>
    <x v="3"/>
    <x v="62"/>
    <d v="1900-01-13T00:00:00"/>
    <n v="33"/>
    <x v="6"/>
    <x v="7"/>
  </r>
  <r>
    <x v="1900"/>
    <n v="-7.5"/>
    <x v="4021"/>
    <n v="5241.8100000000004"/>
    <s v="Complete Access"/>
    <x v="827"/>
    <x v="1"/>
    <x v="1"/>
    <d v="1900-01-13T00:00:00"/>
    <n v="33"/>
    <x v="6"/>
    <x v="7"/>
  </r>
  <r>
    <x v="1900"/>
    <n v="-79"/>
    <x v="4022"/>
    <n v="5141.91"/>
    <s v="Complete Access"/>
    <x v="347"/>
    <x v="3"/>
    <x v="62"/>
    <d v="1900-01-13T00:00:00"/>
    <n v="33"/>
    <x v="6"/>
    <x v="7"/>
  </r>
  <r>
    <x v="1900"/>
    <n v="-0.12"/>
    <x v="4023"/>
    <n v="5259.71"/>
    <s v="Complete Access"/>
    <x v="10"/>
    <x v="0"/>
    <x v="0"/>
    <d v="1900-01-13T00:00:00"/>
    <n v="33"/>
    <x v="6"/>
    <x v="7"/>
  </r>
  <r>
    <x v="1900"/>
    <n v="-10.4"/>
    <x v="4024"/>
    <n v="5249.31"/>
    <s v="Complete Access"/>
    <x v="1"/>
    <x v="1"/>
    <x v="1"/>
    <d v="1900-01-13T00:00:00"/>
    <n v="33"/>
    <x v="6"/>
    <x v="7"/>
  </r>
  <r>
    <x v="1900"/>
    <n v="-13.5"/>
    <x v="4025"/>
    <n v="5184.95"/>
    <s v="Complete Access"/>
    <x v="687"/>
    <x v="1"/>
    <x v="5"/>
    <d v="1900-01-13T00:00:00"/>
    <n v="33"/>
    <x v="6"/>
    <x v="7"/>
  </r>
  <r>
    <x v="1900"/>
    <n v="-4.12"/>
    <x v="4026"/>
    <n v="5259.83"/>
    <s v="Complete Access"/>
    <x v="327"/>
    <x v="4"/>
    <x v="27"/>
    <d v="1900-01-13T00:00:00"/>
    <n v="33"/>
    <x v="6"/>
    <x v="7"/>
  </r>
  <r>
    <x v="1901"/>
    <n v="-515"/>
    <x v="3404"/>
    <n v="5344.45"/>
    <s v="Complete Access"/>
    <x v="783"/>
    <x v="19"/>
    <x v="61"/>
    <d v="1900-01-10T00:00:00"/>
    <n v="32"/>
    <x v="6"/>
    <x v="7"/>
  </r>
  <r>
    <x v="1901"/>
    <n v="-41"/>
    <x v="4027"/>
    <n v="5303.45"/>
    <s v="Complete Access"/>
    <x v="343"/>
    <x v="1"/>
    <x v="5"/>
    <d v="1900-01-10T00:00:00"/>
    <n v="32"/>
    <x v="6"/>
    <x v="7"/>
  </r>
  <r>
    <x v="1901"/>
    <n v="-9"/>
    <x v="4028"/>
    <n v="5215.45"/>
    <s v="Complete Access"/>
    <x v="269"/>
    <x v="1"/>
    <x v="1"/>
    <d v="1900-01-10T00:00:00"/>
    <n v="32"/>
    <x v="6"/>
    <x v="7"/>
  </r>
  <r>
    <x v="1901"/>
    <n v="-100"/>
    <x v="2274"/>
    <n v="5859.45"/>
    <s v="Complete Access"/>
    <x v="552"/>
    <x v="0"/>
    <x v="74"/>
    <d v="1900-01-10T00:00:00"/>
    <n v="32"/>
    <x v="6"/>
    <x v="7"/>
  </r>
  <r>
    <x v="1901"/>
    <n v="-17"/>
    <x v="3061"/>
    <n v="5198.45"/>
    <s v="Complete Access"/>
    <x v="27"/>
    <x v="1"/>
    <x v="5"/>
    <d v="1900-01-10T00:00:00"/>
    <n v="32"/>
    <x v="6"/>
    <x v="7"/>
  </r>
  <r>
    <x v="1901"/>
    <n v="-79"/>
    <x v="4029"/>
    <n v="5224.45"/>
    <s v="Complete Access"/>
    <x v="892"/>
    <x v="3"/>
    <x v="62"/>
    <d v="1900-01-10T00:00:00"/>
    <n v="32"/>
    <x v="6"/>
    <x v="7"/>
  </r>
  <r>
    <x v="1902"/>
    <n v="-50"/>
    <x v="4030"/>
    <n v="6076.45"/>
    <s v="Complete Access"/>
    <x v="819"/>
    <x v="5"/>
    <x v="83"/>
    <d v="1900-01-09T00:00:00"/>
    <n v="32"/>
    <x v="6"/>
    <x v="7"/>
  </r>
  <r>
    <x v="1902"/>
    <n v="-12.5"/>
    <x v="4031"/>
    <n v="6126.45"/>
    <s v="Complete Access"/>
    <x v="843"/>
    <x v="1"/>
    <x v="5"/>
    <d v="1900-01-09T00:00:00"/>
    <n v="32"/>
    <x v="6"/>
    <x v="7"/>
  </r>
  <r>
    <x v="1902"/>
    <n v="-14"/>
    <x v="4032"/>
    <n v="6062.45"/>
    <s v="Complete Access"/>
    <x v="254"/>
    <x v="16"/>
    <x v="35"/>
    <d v="1900-01-09T00:00:00"/>
    <n v="32"/>
    <x v="6"/>
    <x v="7"/>
  </r>
  <r>
    <x v="1902"/>
    <n v="-103"/>
    <x v="2543"/>
    <n v="5959.45"/>
    <s v="Complete Access"/>
    <x v="17"/>
    <x v="7"/>
    <x v="11"/>
    <d v="1900-01-09T00:00:00"/>
    <n v="32"/>
    <x v="6"/>
    <x v="7"/>
  </r>
  <r>
    <x v="1903"/>
    <n v="-17"/>
    <x v="4033"/>
    <n v="6138.95"/>
    <s v="Complete Access"/>
    <x v="842"/>
    <x v="8"/>
    <x v="29"/>
    <d v="1900-01-08T00:00:00"/>
    <n v="32"/>
    <x v="6"/>
    <x v="7"/>
  </r>
  <r>
    <x v="1903"/>
    <n v="-12.5"/>
    <x v="4034"/>
    <n v="6233.81"/>
    <s v="Complete Access"/>
    <x v="843"/>
    <x v="1"/>
    <x v="5"/>
    <d v="1900-01-08T00:00:00"/>
    <n v="32"/>
    <x v="6"/>
    <x v="7"/>
  </r>
  <r>
    <x v="1903"/>
    <n v="-77.86"/>
    <x v="4035"/>
    <n v="6155.95"/>
    <s v="Complete Access"/>
    <x v="1"/>
    <x v="1"/>
    <x v="1"/>
    <d v="1900-01-08T00:00:00"/>
    <n v="32"/>
    <x v="6"/>
    <x v="7"/>
  </r>
  <r>
    <x v="1904"/>
    <n v="1080.25"/>
    <x v="3188"/>
    <n v="6226.31"/>
    <s v="Complete Access"/>
    <x v="14"/>
    <x v="6"/>
    <x v="9"/>
    <d v="1900-01-07T00:00:00"/>
    <n v="32"/>
    <x v="6"/>
    <x v="7"/>
  </r>
  <r>
    <x v="1904"/>
    <n v="-25.5"/>
    <x v="4036"/>
    <n v="5146.0600000000004"/>
    <s v="Complete Access"/>
    <x v="849"/>
    <x v="8"/>
    <x v="29"/>
    <d v="1900-01-07T00:00:00"/>
    <n v="32"/>
    <x v="6"/>
    <x v="7"/>
  </r>
  <r>
    <x v="1904"/>
    <n v="-14"/>
    <x v="4037"/>
    <n v="5171.5600000000004"/>
    <s v="Complete Access"/>
    <x v="715"/>
    <x v="8"/>
    <x v="29"/>
    <d v="1900-01-07T00:00:00"/>
    <n v="32"/>
    <x v="6"/>
    <x v="7"/>
  </r>
  <r>
    <x v="1904"/>
    <n v="20"/>
    <x v="3024"/>
    <n v="6246.31"/>
    <s v="Complete Access"/>
    <x v="27"/>
    <x v="1"/>
    <x v="5"/>
    <d v="1900-01-07T00:00:00"/>
    <n v="32"/>
    <x v="6"/>
    <x v="7"/>
  </r>
  <r>
    <x v="1905"/>
    <n v="-50"/>
    <x v="3764"/>
    <n v="5185.5600000000004"/>
    <s v="Complete Access"/>
    <x v="601"/>
    <x v="0"/>
    <x v="0"/>
    <d v="1900-01-06T00:00:00"/>
    <n v="32"/>
    <x v="6"/>
    <x v="7"/>
  </r>
  <r>
    <x v="1905"/>
    <n v="-68.09"/>
    <x v="4038"/>
    <n v="5246.56"/>
    <s v="Complete Access"/>
    <x v="90"/>
    <x v="8"/>
    <x v="29"/>
    <d v="1900-01-06T00:00:00"/>
    <n v="32"/>
    <x v="6"/>
    <x v="7"/>
  </r>
  <r>
    <x v="1905"/>
    <n v="-13.65"/>
    <x v="4039"/>
    <n v="5360.71"/>
    <s v="Complete Access"/>
    <x v="893"/>
    <x v="9"/>
    <x v="31"/>
    <d v="1900-01-06T00:00:00"/>
    <n v="32"/>
    <x v="6"/>
    <x v="7"/>
  </r>
  <r>
    <x v="1905"/>
    <n v="-1.9"/>
    <x v="4040"/>
    <n v="5314.65"/>
    <s v="Complete Access"/>
    <x v="1"/>
    <x v="1"/>
    <x v="1"/>
    <d v="1900-01-06T00:00:00"/>
    <n v="32"/>
    <x v="6"/>
    <x v="7"/>
  </r>
  <r>
    <x v="1905"/>
    <n v="-4.8600000000000003"/>
    <x v="4040"/>
    <n v="5316.55"/>
    <s v="Complete Access"/>
    <x v="1"/>
    <x v="1"/>
    <x v="1"/>
    <d v="1900-01-06T00:00:00"/>
    <n v="32"/>
    <x v="6"/>
    <x v="7"/>
  </r>
  <r>
    <x v="1905"/>
    <n v="-25.8"/>
    <x v="4040"/>
    <n v="5321.41"/>
    <s v="Complete Access"/>
    <x v="1"/>
    <x v="1"/>
    <x v="1"/>
    <d v="1900-01-06T00:00:00"/>
    <n v="32"/>
    <x v="6"/>
    <x v="7"/>
  </r>
  <r>
    <x v="1905"/>
    <n v="-11"/>
    <x v="4041"/>
    <n v="5235.5600000000004"/>
    <s v="Complete Access"/>
    <x v="213"/>
    <x v="1"/>
    <x v="23"/>
    <d v="1900-01-06T00:00:00"/>
    <n v="32"/>
    <x v="6"/>
    <x v="7"/>
  </r>
  <r>
    <x v="1905"/>
    <n v="-13.5"/>
    <x v="4042"/>
    <n v="5347.21"/>
    <s v="Complete Access"/>
    <x v="687"/>
    <x v="1"/>
    <x v="5"/>
    <d v="1900-01-06T00:00:00"/>
    <n v="32"/>
    <x v="6"/>
    <x v="7"/>
  </r>
  <r>
    <x v="1906"/>
    <n v="400"/>
    <x v="3910"/>
    <n v="5374.36"/>
    <s v="Complete Access"/>
    <x v="67"/>
    <x v="0"/>
    <x v="0"/>
    <d v="1900-01-05T00:00:00"/>
    <n v="32"/>
    <x v="6"/>
    <x v="7"/>
  </r>
  <r>
    <x v="1907"/>
    <n v="18"/>
    <x v="3024"/>
    <n v="4974.3599999999997"/>
    <s v="Complete Access"/>
    <x v="27"/>
    <x v="1"/>
    <x v="5"/>
    <d v="1900-01-04T00:00:00"/>
    <n v="32"/>
    <x v="6"/>
    <x v="7"/>
  </r>
  <r>
    <x v="1908"/>
    <n v="-5.2"/>
    <x v="4043"/>
    <n v="5608.06"/>
    <s v="Complete Access"/>
    <x v="447"/>
    <x v="3"/>
    <x v="26"/>
    <d v="1900-01-03T00:00:00"/>
    <n v="31"/>
    <x v="6"/>
    <x v="7"/>
  </r>
  <r>
    <x v="1908"/>
    <n v="-515"/>
    <x v="3404"/>
    <n v="4956.3599999999997"/>
    <s v="Complete Access"/>
    <x v="783"/>
    <x v="19"/>
    <x v="61"/>
    <d v="1900-01-03T00:00:00"/>
    <n v="31"/>
    <x v="6"/>
    <x v="7"/>
  </r>
  <r>
    <x v="1908"/>
    <n v="-36.700000000000003"/>
    <x v="4044"/>
    <n v="5571.36"/>
    <s v="Complete Access"/>
    <x v="343"/>
    <x v="1"/>
    <x v="5"/>
    <d v="1900-01-03T00:00:00"/>
    <n v="31"/>
    <x v="6"/>
    <x v="7"/>
  </r>
  <r>
    <x v="1908"/>
    <n v="-14.96"/>
    <x v="4045"/>
    <n v="5613.26"/>
    <s v="Complete Access"/>
    <x v="893"/>
    <x v="9"/>
    <x v="31"/>
    <d v="1900-01-03T00:00:00"/>
    <n v="31"/>
    <x v="6"/>
    <x v="7"/>
  </r>
  <r>
    <x v="1908"/>
    <n v="-100"/>
    <x v="2274"/>
    <n v="5471.36"/>
    <s v="Complete Access"/>
    <x v="552"/>
    <x v="0"/>
    <x v="74"/>
    <d v="1900-01-03T00:00:00"/>
    <n v="31"/>
    <x v="6"/>
    <x v="7"/>
  </r>
  <r>
    <x v="1909"/>
    <n v="-17"/>
    <x v="4046"/>
    <n v="5688.22"/>
    <s v="Complete Access"/>
    <x v="842"/>
    <x v="8"/>
    <x v="29"/>
    <d v="1900-01-02T00:00:00"/>
    <n v="31"/>
    <x v="6"/>
    <x v="7"/>
  </r>
  <r>
    <x v="1909"/>
    <n v="-10.7"/>
    <x v="4047"/>
    <n v="5705.22"/>
    <s v="Complete Access"/>
    <x v="609"/>
    <x v="1"/>
    <x v="1"/>
    <d v="1900-01-02T00:00:00"/>
    <n v="31"/>
    <x v="6"/>
    <x v="7"/>
  </r>
  <r>
    <x v="1909"/>
    <n v="-13.5"/>
    <x v="4048"/>
    <n v="5715.92"/>
    <s v="Complete Access"/>
    <x v="687"/>
    <x v="1"/>
    <x v="5"/>
    <d v="1900-01-02T00:00:00"/>
    <n v="31"/>
    <x v="6"/>
    <x v="7"/>
  </r>
  <r>
    <x v="1909"/>
    <n v="-60"/>
    <x v="4049"/>
    <n v="5628.22"/>
    <s v="Complete Access"/>
    <x v="219"/>
    <x v="7"/>
    <x v="53"/>
    <d v="1900-01-02T00:00:00"/>
    <n v="31"/>
    <x v="6"/>
    <x v="7"/>
  </r>
  <r>
    <x v="1910"/>
    <n v="-10.199999999999999"/>
    <x v="4050"/>
    <n v="5730.42"/>
    <s v="Complete Access"/>
    <x v="27"/>
    <x v="1"/>
    <x v="5"/>
    <d v="1900-01-01T00:00:00"/>
    <n v="31"/>
    <x v="6"/>
    <x v="7"/>
  </r>
  <r>
    <x v="1910"/>
    <n v="-11.1"/>
    <x v="4051"/>
    <n v="5750.61"/>
    <s v="Complete Access"/>
    <x v="61"/>
    <x v="1"/>
    <x v="1"/>
    <d v="1900-01-01T00:00:00"/>
    <n v="31"/>
    <x v="6"/>
    <x v="7"/>
  </r>
  <r>
    <x v="1910"/>
    <n v="-9.99"/>
    <x v="4052"/>
    <n v="5740.62"/>
    <s v="Complete Access"/>
    <x v="373"/>
    <x v="8"/>
    <x v="7"/>
    <d v="1900-01-01T00:00:00"/>
    <n v="31"/>
    <x v="6"/>
    <x v="7"/>
  </r>
  <r>
    <x v="1910"/>
    <n v="-1"/>
    <x v="4053"/>
    <n v="5729.42"/>
    <s v="Complete Access"/>
    <x v="98"/>
    <x v="9"/>
    <x v="32"/>
    <d v="1900-01-01T00:00:00"/>
    <n v="31"/>
    <x v="6"/>
    <x v="7"/>
  </r>
  <r>
    <x v="1911"/>
    <n v="-12.3"/>
    <x v="4054"/>
    <n v="4888.3599999999997"/>
    <s v="Complete Access"/>
    <x v="61"/>
    <x v="1"/>
    <x v="1"/>
    <d v="1899-12-31T00:00:00"/>
    <n v="31"/>
    <x v="6"/>
    <x v="7"/>
  </r>
  <r>
    <x v="1911"/>
    <n v="-20.16"/>
    <x v="4055"/>
    <n v="4868.2"/>
    <s v="Complete Access"/>
    <x v="882"/>
    <x v="9"/>
    <x v="32"/>
    <d v="1899-12-31T00:00:00"/>
    <n v="31"/>
    <x v="6"/>
    <x v="7"/>
  </r>
  <r>
    <x v="1911"/>
    <n v="-144"/>
    <x v="4056"/>
    <m/>
    <s v="Complete Access"/>
    <x v="739"/>
    <x v="4"/>
    <x v="20"/>
    <d v="1899-12-31T00:00:00"/>
    <n v="31"/>
    <x v="6"/>
    <x v="7"/>
  </r>
  <r>
    <x v="1911"/>
    <n v="1080.25"/>
    <x v="3188"/>
    <n v="5761.71"/>
    <s v="Complete Access"/>
    <x v="14"/>
    <x v="6"/>
    <x v="9"/>
    <d v="1899-12-31T00:00:00"/>
    <n v="31"/>
    <x v="6"/>
    <x v="7"/>
  </r>
  <r>
    <x v="1911"/>
    <n v="-166.4"/>
    <x v="4057"/>
    <n v="4681.46"/>
    <s v="Complete Access"/>
    <x v="76"/>
    <x v="2"/>
    <x v="2"/>
    <d v="1899-12-31T00:00:00"/>
    <n v="31"/>
    <x v="6"/>
    <x v="7"/>
  </r>
  <r>
    <x v="1911"/>
    <n v="-16.34"/>
    <x v="4058"/>
    <n v="4847.8599999999997"/>
    <s v="Complete Access"/>
    <x v="1"/>
    <x v="1"/>
    <x v="1"/>
    <d v="1899-12-31T00:00:00"/>
    <n v="31"/>
    <x v="6"/>
    <x v="7"/>
  </r>
  <r>
    <x v="1911"/>
    <n v="-4"/>
    <x v="4059"/>
    <n v="4864.2"/>
    <s v="Complete Access"/>
    <x v="91"/>
    <x v="9"/>
    <x v="12"/>
    <d v="1899-12-31T00:00:00"/>
    <n v="31"/>
    <x v="6"/>
    <x v="7"/>
  </r>
  <r>
    <x v="1912"/>
    <n v="-14.2"/>
    <x v="4060"/>
    <n v="4937.6499999999996"/>
    <s v="Complete Access"/>
    <x v="61"/>
    <x v="1"/>
    <x v="1"/>
    <d v="1900-01-30T00:00:00"/>
    <n v="31"/>
    <x v="7"/>
    <x v="7"/>
  </r>
  <r>
    <x v="1912"/>
    <n v="-8.5500000000000007"/>
    <x v="4060"/>
    <n v="4951.8500000000004"/>
    <s v="Complete Access"/>
    <x v="61"/>
    <x v="1"/>
    <x v="1"/>
    <d v="1900-01-30T00:00:00"/>
    <n v="31"/>
    <x v="7"/>
    <x v="7"/>
  </r>
  <r>
    <x v="1912"/>
    <n v="-17"/>
    <x v="4061"/>
    <n v="4900.66"/>
    <s v="Complete Access"/>
    <x v="842"/>
    <x v="8"/>
    <x v="29"/>
    <d v="1900-01-30T00:00:00"/>
    <n v="31"/>
    <x v="7"/>
    <x v="7"/>
  </r>
  <r>
    <x v="1912"/>
    <n v="-15"/>
    <x v="4062"/>
    <n v="4917.66"/>
    <s v="Complete Access"/>
    <x v="213"/>
    <x v="1"/>
    <x v="23"/>
    <d v="1900-01-30T00:00:00"/>
    <n v="31"/>
    <x v="7"/>
    <x v="7"/>
  </r>
  <r>
    <x v="1912"/>
    <n v="-4.99"/>
    <x v="4063"/>
    <n v="4932.66"/>
    <s v="Complete Access"/>
    <x v="587"/>
    <x v="8"/>
    <x v="22"/>
    <d v="1900-01-30T00:00:00"/>
    <n v="31"/>
    <x v="7"/>
    <x v="7"/>
  </r>
  <r>
    <x v="1913"/>
    <n v="-515"/>
    <x v="3404"/>
    <n v="4960.3999999999996"/>
    <s v="Complete Access"/>
    <x v="783"/>
    <x v="19"/>
    <x v="61"/>
    <d v="1900-01-27T00:00:00"/>
    <n v="30"/>
    <x v="7"/>
    <x v="7"/>
  </r>
  <r>
    <x v="1913"/>
    <n v="-100"/>
    <x v="2274"/>
    <n v="5475.4"/>
    <s v="Complete Access"/>
    <x v="552"/>
    <x v="0"/>
    <x v="74"/>
    <d v="1900-01-27T00:00:00"/>
    <n v="30"/>
    <x v="7"/>
    <x v="7"/>
  </r>
  <r>
    <x v="1914"/>
    <n v="-12.5"/>
    <x v="4064"/>
    <n v="5575.4"/>
    <s v="Complete Access"/>
    <x v="780"/>
    <x v="9"/>
    <x v="31"/>
    <d v="1900-01-26T00:00:00"/>
    <n v="30"/>
    <x v="7"/>
    <x v="7"/>
  </r>
  <r>
    <x v="1914"/>
    <n v="-12.47"/>
    <x v="4065"/>
    <n v="5587.9"/>
    <s v="Complete Access"/>
    <x v="609"/>
    <x v="1"/>
    <x v="1"/>
    <d v="1900-01-26T00:00:00"/>
    <n v="30"/>
    <x v="7"/>
    <x v="7"/>
  </r>
  <r>
    <x v="1914"/>
    <n v="-13.5"/>
    <x v="4066"/>
    <n v="5600.37"/>
    <s v="Complete Access"/>
    <x v="687"/>
    <x v="1"/>
    <x v="5"/>
    <d v="1900-01-26T00:00:00"/>
    <n v="30"/>
    <x v="7"/>
    <x v="7"/>
  </r>
  <r>
    <x v="1915"/>
    <n v="-13"/>
    <x v="4067"/>
    <n v="5822.57"/>
    <s v="Complete Access"/>
    <x v="27"/>
    <x v="1"/>
    <x v="5"/>
    <d v="1900-01-25T00:00:00"/>
    <n v="30"/>
    <x v="7"/>
    <x v="7"/>
  </r>
  <r>
    <x v="1915"/>
    <n v="-14.8"/>
    <x v="4068"/>
    <n v="5835.57"/>
    <s v="Complete Access"/>
    <x v="61"/>
    <x v="1"/>
    <x v="1"/>
    <d v="1900-01-25T00:00:00"/>
    <n v="30"/>
    <x v="7"/>
    <x v="7"/>
  </r>
  <r>
    <x v="1915"/>
    <n v="-50"/>
    <x v="3591"/>
    <n v="5613.87"/>
    <s v="Complete Access"/>
    <x v="776"/>
    <x v="5"/>
    <x v="83"/>
    <d v="1900-01-25T00:00:00"/>
    <n v="30"/>
    <x v="7"/>
    <x v="7"/>
  </r>
  <r>
    <x v="1915"/>
    <n v="-14.7"/>
    <x v="4069"/>
    <n v="5663.87"/>
    <s v="Complete Access"/>
    <x v="47"/>
    <x v="1"/>
    <x v="5"/>
    <d v="1900-01-25T00:00:00"/>
    <n v="30"/>
    <x v="7"/>
    <x v="7"/>
  </r>
  <r>
    <x v="1915"/>
    <n v="-144"/>
    <x v="4070"/>
    <n v="5678.57"/>
    <s v="Complete Access"/>
    <x v="50"/>
    <x v="4"/>
    <x v="25"/>
    <d v="1900-01-25T00:00:00"/>
    <n v="30"/>
    <x v="7"/>
    <x v="7"/>
  </r>
  <r>
    <x v="1916"/>
    <n v="-20.16"/>
    <x v="4071"/>
    <n v="4727.6400000000003"/>
    <s v="Complete Access"/>
    <x v="882"/>
    <x v="9"/>
    <x v="32"/>
    <d v="1900-01-24T00:00:00"/>
    <n v="30"/>
    <x v="7"/>
    <x v="7"/>
  </r>
  <r>
    <x v="1916"/>
    <n v="-15.75"/>
    <x v="4072"/>
    <n v="4827.2299999999996"/>
    <s v="Complete Access"/>
    <x v="556"/>
    <x v="15"/>
    <x v="34"/>
    <d v="1900-01-24T00:00:00"/>
    <n v="30"/>
    <x v="7"/>
    <x v="7"/>
  </r>
  <r>
    <x v="1916"/>
    <n v="-17"/>
    <x v="4073"/>
    <n v="4854.53"/>
    <s v="Complete Access"/>
    <x v="842"/>
    <x v="8"/>
    <x v="29"/>
    <d v="1900-01-24T00:00:00"/>
    <n v="30"/>
    <x v="7"/>
    <x v="7"/>
  </r>
  <r>
    <x v="1916"/>
    <n v="1137.78"/>
    <x v="3188"/>
    <n v="5850.37"/>
    <s v="Complete Access"/>
    <x v="14"/>
    <x v="6"/>
    <x v="9"/>
    <d v="1900-01-24T00:00:00"/>
    <n v="30"/>
    <x v="7"/>
    <x v="7"/>
  </r>
  <r>
    <x v="1916"/>
    <n v="-27"/>
    <x v="4074"/>
    <n v="4871.53"/>
    <s v="Complete Access"/>
    <x v="343"/>
    <x v="1"/>
    <x v="5"/>
    <d v="1900-01-24T00:00:00"/>
    <n v="30"/>
    <x v="7"/>
    <x v="7"/>
  </r>
  <r>
    <x v="1916"/>
    <n v="-11.55"/>
    <x v="4075"/>
    <n v="4842.9799999999996"/>
    <s v="Complete Access"/>
    <x v="599"/>
    <x v="15"/>
    <x v="34"/>
    <d v="1900-01-24T00:00:00"/>
    <n v="30"/>
    <x v="7"/>
    <x v="7"/>
  </r>
  <r>
    <x v="1916"/>
    <n v="-54.63"/>
    <x v="4076"/>
    <n v="4749.4399999999996"/>
    <s v="Complete Access"/>
    <x v="894"/>
    <x v="4"/>
    <x v="47"/>
    <d v="1900-01-24T00:00:00"/>
    <n v="30"/>
    <x v="7"/>
    <x v="7"/>
  </r>
  <r>
    <x v="1916"/>
    <n v="-1.64"/>
    <x v="4077"/>
    <n v="4747.8"/>
    <s v="Complete Access"/>
    <x v="10"/>
    <x v="0"/>
    <x v="0"/>
    <d v="1900-01-24T00:00:00"/>
    <n v="30"/>
    <x v="7"/>
    <x v="7"/>
  </r>
  <r>
    <x v="1916"/>
    <n v="-15.05"/>
    <x v="4078"/>
    <n v="4712.59"/>
    <s v="Complete Access"/>
    <x v="1"/>
    <x v="1"/>
    <x v="1"/>
    <d v="1900-01-24T00:00:00"/>
    <n v="30"/>
    <x v="7"/>
    <x v="7"/>
  </r>
  <r>
    <x v="1916"/>
    <n v="-14.1"/>
    <x v="4079"/>
    <n v="4804.07"/>
    <s v="Complete Access"/>
    <x v="895"/>
    <x v="8"/>
    <x v="29"/>
    <d v="1900-01-24T00:00:00"/>
    <n v="30"/>
    <x v="7"/>
    <x v="7"/>
  </r>
  <r>
    <x v="1916"/>
    <n v="-9.06"/>
    <x v="4079"/>
    <n v="4818.17"/>
    <s v="Complete Access"/>
    <x v="895"/>
    <x v="8"/>
    <x v="29"/>
    <d v="1900-01-24T00:00:00"/>
    <n v="30"/>
    <x v="7"/>
    <x v="7"/>
  </r>
  <r>
    <x v="1916"/>
    <n v="-13.5"/>
    <x v="4080"/>
    <n v="4898.53"/>
    <s v="Complete Access"/>
    <x v="687"/>
    <x v="1"/>
    <x v="5"/>
    <d v="1900-01-24T00:00:00"/>
    <n v="30"/>
    <x v="7"/>
    <x v="7"/>
  </r>
  <r>
    <x v="1917"/>
    <n v="-9.0500000000000007"/>
    <x v="4081"/>
    <n v="4912.03"/>
    <s v="Complete Access"/>
    <x v="896"/>
    <x v="8"/>
    <x v="29"/>
    <d v="1900-01-23T00:00:00"/>
    <n v="30"/>
    <x v="7"/>
    <x v="7"/>
  </r>
  <r>
    <x v="1917"/>
    <n v="-9.8000000000000007"/>
    <x v="4082"/>
    <n v="4921.08"/>
    <s v="Complete Access"/>
    <x v="896"/>
    <x v="8"/>
    <x v="29"/>
    <d v="1900-01-23T00:00:00"/>
    <n v="30"/>
    <x v="7"/>
    <x v="7"/>
  </r>
  <r>
    <x v="1917"/>
    <n v="-7"/>
    <x v="4083"/>
    <n v="4930.88"/>
    <s v="Complete Access"/>
    <x v="767"/>
    <x v="8"/>
    <x v="29"/>
    <d v="1900-01-23T00:00:00"/>
    <n v="30"/>
    <x v="7"/>
    <x v="7"/>
  </r>
  <r>
    <x v="1917"/>
    <n v="-24"/>
    <x v="4083"/>
    <n v="4937.88"/>
    <s v="Complete Access"/>
    <x v="767"/>
    <x v="8"/>
    <x v="29"/>
    <d v="1900-01-23T00:00:00"/>
    <n v="30"/>
    <x v="7"/>
    <x v="7"/>
  </r>
  <r>
    <x v="1917"/>
    <n v="-25"/>
    <x v="4084"/>
    <n v="4961.88"/>
    <s v="Complete Access"/>
    <x v="796"/>
    <x v="20"/>
    <x v="63"/>
    <d v="1900-01-23T00:00:00"/>
    <n v="30"/>
    <x v="7"/>
    <x v="7"/>
  </r>
  <r>
    <x v="1917"/>
    <n v="-5.49"/>
    <x v="4085"/>
    <n v="5016.88"/>
    <s v="Complete Access"/>
    <x v="177"/>
    <x v="1"/>
    <x v="1"/>
    <d v="1900-01-23T00:00:00"/>
    <n v="30"/>
    <x v="7"/>
    <x v="7"/>
  </r>
  <r>
    <x v="1917"/>
    <n v="-30"/>
    <x v="4086"/>
    <n v="4986.88"/>
    <s v="Complete Access"/>
    <x v="785"/>
    <x v="9"/>
    <x v="12"/>
    <d v="1900-01-23T00:00:00"/>
    <n v="30"/>
    <x v="7"/>
    <x v="7"/>
  </r>
  <r>
    <x v="1918"/>
    <n v="-50"/>
    <x v="4087"/>
    <n v="5045.37"/>
    <s v="Complete Access"/>
    <x v="819"/>
    <x v="5"/>
    <x v="83"/>
    <d v="1900-01-20T00:00:00"/>
    <n v="29"/>
    <x v="7"/>
    <x v="7"/>
  </r>
  <r>
    <x v="1918"/>
    <n v="-515"/>
    <x v="3404"/>
    <n v="5095.37"/>
    <s v="Complete Access"/>
    <x v="783"/>
    <x v="19"/>
    <x v="61"/>
    <d v="1900-01-20T00:00:00"/>
    <n v="29"/>
    <x v="7"/>
    <x v="7"/>
  </r>
  <r>
    <x v="1918"/>
    <n v="-100"/>
    <x v="2274"/>
    <n v="5610.37"/>
    <s v="Complete Access"/>
    <x v="552"/>
    <x v="0"/>
    <x v="74"/>
    <d v="1900-01-20T00:00:00"/>
    <n v="29"/>
    <x v="7"/>
    <x v="7"/>
  </r>
  <r>
    <x v="1918"/>
    <n v="-9.5"/>
    <x v="4088"/>
    <n v="5022.37"/>
    <s v="Complete Access"/>
    <x v="897"/>
    <x v="1"/>
    <x v="1"/>
    <d v="1900-01-20T00:00:00"/>
    <n v="29"/>
    <x v="7"/>
    <x v="7"/>
  </r>
  <r>
    <x v="1918"/>
    <n v="-13.5"/>
    <x v="4089"/>
    <n v="5031.87"/>
    <s v="Complete Access"/>
    <x v="687"/>
    <x v="1"/>
    <x v="5"/>
    <d v="1900-01-20T00:00:00"/>
    <n v="29"/>
    <x v="7"/>
    <x v="7"/>
  </r>
  <r>
    <x v="1919"/>
    <n v="-20"/>
    <x v="4090"/>
    <n v="5712.87"/>
    <s v="Complete Access"/>
    <x v="601"/>
    <x v="0"/>
    <x v="0"/>
    <d v="1900-01-19T00:00:00"/>
    <n v="29"/>
    <x v="7"/>
    <x v="7"/>
  </r>
  <r>
    <x v="1919"/>
    <n v="-14.44"/>
    <x v="4091"/>
    <n v="5732.87"/>
    <s v="Complete Access"/>
    <x v="609"/>
    <x v="1"/>
    <x v="1"/>
    <d v="1900-01-19T00:00:00"/>
    <n v="29"/>
    <x v="7"/>
    <x v="7"/>
  </r>
  <r>
    <x v="1919"/>
    <n v="-2.5"/>
    <x v="4092"/>
    <n v="5710.37"/>
    <s v="Complete Access"/>
    <x v="37"/>
    <x v="0"/>
    <x v="0"/>
    <d v="1900-01-19T00:00:00"/>
    <n v="29"/>
    <x v="7"/>
    <x v="7"/>
  </r>
  <r>
    <x v="1920"/>
    <n v="-11.55"/>
    <x v="4093"/>
    <n v="5786.81"/>
    <s v="Complete Access"/>
    <x v="27"/>
    <x v="1"/>
    <x v="5"/>
    <d v="1900-01-18T00:00:00"/>
    <n v="29"/>
    <x v="7"/>
    <x v="7"/>
  </r>
  <r>
    <x v="1920"/>
    <n v="-16.36"/>
    <x v="4094"/>
    <n v="5798.36"/>
    <s v="Complete Access"/>
    <x v="61"/>
    <x v="1"/>
    <x v="1"/>
    <d v="1900-01-18T00:00:00"/>
    <n v="29"/>
    <x v="7"/>
    <x v="7"/>
  </r>
  <r>
    <x v="1920"/>
    <n v="-20"/>
    <x v="4095"/>
    <n v="5749.81"/>
    <s v="Complete Access"/>
    <x v="601"/>
    <x v="0"/>
    <x v="0"/>
    <d v="1900-01-18T00:00:00"/>
    <n v="29"/>
    <x v="7"/>
    <x v="7"/>
  </r>
  <r>
    <x v="1920"/>
    <n v="-17"/>
    <x v="4096"/>
    <n v="5769.81"/>
    <s v="Complete Access"/>
    <x v="842"/>
    <x v="8"/>
    <x v="29"/>
    <d v="1900-01-18T00:00:00"/>
    <n v="29"/>
    <x v="7"/>
    <x v="7"/>
  </r>
  <r>
    <x v="1920"/>
    <n v="-2.5"/>
    <x v="72"/>
    <n v="5747.31"/>
    <s v="Complete Access"/>
    <x v="37"/>
    <x v="0"/>
    <x v="0"/>
    <d v="1900-01-18T00:00:00"/>
    <n v="29"/>
    <x v="7"/>
    <x v="7"/>
  </r>
  <r>
    <x v="1920"/>
    <n v="-12.5"/>
    <x v="4097"/>
    <n v="5814.72"/>
    <s v="Complete Access"/>
    <x v="843"/>
    <x v="1"/>
    <x v="5"/>
    <d v="1900-01-18T00:00:00"/>
    <n v="29"/>
    <x v="7"/>
    <x v="7"/>
  </r>
  <r>
    <x v="1921"/>
    <n v="1124.71"/>
    <x v="3188"/>
    <n v="5827.22"/>
    <s v="Complete Access"/>
    <x v="14"/>
    <x v="6"/>
    <x v="9"/>
    <d v="1900-01-17T00:00:00"/>
    <n v="29"/>
    <x v="7"/>
    <x v="7"/>
  </r>
  <r>
    <x v="1921"/>
    <n v="-37"/>
    <x v="4098"/>
    <n v="4725.71"/>
    <s v="Complete Access"/>
    <x v="343"/>
    <x v="1"/>
    <x v="5"/>
    <d v="1900-01-17T00:00:00"/>
    <n v="29"/>
    <x v="7"/>
    <x v="7"/>
  </r>
  <r>
    <x v="1921"/>
    <n v="-26.46"/>
    <x v="4098"/>
    <n v="4762.71"/>
    <s v="Complete Access"/>
    <x v="343"/>
    <x v="1"/>
    <x v="5"/>
    <d v="1900-01-17T00:00:00"/>
    <n v="29"/>
    <x v="7"/>
    <x v="7"/>
  </r>
  <r>
    <x v="1921"/>
    <n v="-29.9"/>
    <x v="4099"/>
    <n v="4789.17"/>
    <s v="Complete Access"/>
    <x v="343"/>
    <x v="1"/>
    <x v="5"/>
    <d v="1900-01-17T00:00:00"/>
    <n v="29"/>
    <x v="7"/>
    <x v="7"/>
  </r>
  <r>
    <x v="1921"/>
    <n v="-23.2"/>
    <x v="4100"/>
    <n v="4702.51"/>
    <s v="Complete Access"/>
    <x v="1"/>
    <x v="1"/>
    <x v="1"/>
    <d v="1900-01-17T00:00:00"/>
    <n v="29"/>
    <x v="7"/>
    <x v="7"/>
  </r>
  <r>
    <x v="1922"/>
    <n v="-37.64"/>
    <x v="4101"/>
    <n v="4854.97"/>
    <s v="Complete Access"/>
    <x v="841"/>
    <x v="2"/>
    <x v="86"/>
    <d v="1900-01-16T00:00:00"/>
    <n v="29"/>
    <x v="7"/>
    <x v="7"/>
  </r>
  <r>
    <x v="1922"/>
    <n v="-13.9"/>
    <x v="4102"/>
    <n v="4841.07"/>
    <s v="Complete Access"/>
    <x v="687"/>
    <x v="1"/>
    <x v="5"/>
    <d v="1900-01-16T00:00:00"/>
    <n v="29"/>
    <x v="7"/>
    <x v="7"/>
  </r>
  <r>
    <x v="1923"/>
    <n v="-515"/>
    <x v="3404"/>
    <n v="4923.1099999999997"/>
    <s v="Complete Access"/>
    <x v="783"/>
    <x v="19"/>
    <x v="61"/>
    <d v="1900-01-13T00:00:00"/>
    <n v="28"/>
    <x v="7"/>
    <x v="7"/>
  </r>
  <r>
    <x v="1923"/>
    <n v="-100"/>
    <x v="2274"/>
    <n v="5438.11"/>
    <s v="Complete Access"/>
    <x v="552"/>
    <x v="0"/>
    <x v="74"/>
    <d v="1900-01-13T00:00:00"/>
    <n v="28"/>
    <x v="7"/>
    <x v="7"/>
  </r>
  <r>
    <x v="1923"/>
    <n v="-17"/>
    <x v="4103"/>
    <n v="4892.6099999999997"/>
    <s v="Complete Access"/>
    <x v="1"/>
    <x v="1"/>
    <x v="1"/>
    <d v="1900-01-13T00:00:00"/>
    <n v="28"/>
    <x v="7"/>
    <x v="7"/>
  </r>
  <r>
    <x v="1923"/>
    <n v="-13.5"/>
    <x v="4104"/>
    <n v="4909.6099999999997"/>
    <s v="Complete Access"/>
    <x v="687"/>
    <x v="1"/>
    <x v="5"/>
    <d v="1900-01-13T00:00:00"/>
    <n v="28"/>
    <x v="7"/>
    <x v="7"/>
  </r>
  <r>
    <x v="1924"/>
    <n v="-2.69"/>
    <x v="4105"/>
    <n v="5699.05"/>
    <s v="Complete Access"/>
    <x v="61"/>
    <x v="1"/>
    <x v="1"/>
    <d v="1900-01-12T00:00:00"/>
    <n v="28"/>
    <x v="7"/>
    <x v="7"/>
  </r>
  <r>
    <x v="1924"/>
    <n v="-17"/>
    <x v="4106"/>
    <n v="5656.79"/>
    <s v="Complete Access"/>
    <x v="842"/>
    <x v="8"/>
    <x v="29"/>
    <d v="1900-01-12T00:00:00"/>
    <n v="28"/>
    <x v="7"/>
    <x v="7"/>
  </r>
  <r>
    <x v="1924"/>
    <n v="-25.26"/>
    <x v="4107"/>
    <n v="5673.79"/>
    <s v="Complete Access"/>
    <x v="609"/>
    <x v="1"/>
    <x v="1"/>
    <d v="1900-01-12T00:00:00"/>
    <n v="28"/>
    <x v="7"/>
    <x v="7"/>
  </r>
  <r>
    <x v="1924"/>
    <n v="-100.68"/>
    <x v="2543"/>
    <n v="5538.11"/>
    <s v="Complete Access"/>
    <x v="17"/>
    <x v="7"/>
    <x v="11"/>
    <d v="1900-01-12T00:00:00"/>
    <n v="28"/>
    <x v="7"/>
    <x v="7"/>
  </r>
  <r>
    <x v="1924"/>
    <n v="-18"/>
    <x v="4108"/>
    <n v="5638.79"/>
    <s v="Complete Access"/>
    <x v="1"/>
    <x v="1"/>
    <x v="1"/>
    <d v="1900-01-12T00:00:00"/>
    <n v="28"/>
    <x v="7"/>
    <x v="7"/>
  </r>
  <r>
    <x v="1925"/>
    <n v="-14.5"/>
    <x v="4109"/>
    <n v="5715.74"/>
    <s v="Complete Access"/>
    <x v="27"/>
    <x v="1"/>
    <x v="5"/>
    <d v="1900-01-11T00:00:00"/>
    <n v="28"/>
    <x v="7"/>
    <x v="7"/>
  </r>
  <r>
    <x v="1925"/>
    <n v="-22"/>
    <x v="4110"/>
    <n v="4819.07"/>
    <s v="Complete Access"/>
    <x v="739"/>
    <x v="4"/>
    <x v="20"/>
    <d v="1900-01-11T00:00:00"/>
    <n v="28"/>
    <x v="7"/>
    <x v="7"/>
  </r>
  <r>
    <x v="1925"/>
    <n v="-150"/>
    <x v="4111"/>
    <m/>
    <s v="Complete Access"/>
    <x v="739"/>
    <x v="4"/>
    <x v="20"/>
    <d v="1900-01-11T00:00:00"/>
    <n v="28"/>
    <x v="7"/>
    <x v="7"/>
  </r>
  <r>
    <x v="1925"/>
    <n v="-14"/>
    <x v="4112"/>
    <n v="5701.74"/>
    <s v="Complete Access"/>
    <x v="842"/>
    <x v="8"/>
    <x v="29"/>
    <d v="1900-01-11T00:00:00"/>
    <n v="28"/>
    <x v="7"/>
    <x v="7"/>
  </r>
  <r>
    <x v="1926"/>
    <n v="-29.82"/>
    <x v="4113"/>
    <n v="4583.29"/>
    <s v="Complete Access"/>
    <x v="761"/>
    <x v="15"/>
    <x v="34"/>
    <d v="1900-01-10T00:00:00"/>
    <n v="28"/>
    <x v="7"/>
    <x v="7"/>
  </r>
  <r>
    <x v="1926"/>
    <n v="1182.25"/>
    <x v="3188"/>
    <n v="5730.24"/>
    <s v="Complete Access"/>
    <x v="14"/>
    <x v="6"/>
    <x v="9"/>
    <d v="1900-01-10T00:00:00"/>
    <n v="28"/>
    <x v="7"/>
    <x v="7"/>
  </r>
  <r>
    <x v="1926"/>
    <n v="-25.25"/>
    <x v="4114"/>
    <n v="4631.41"/>
    <s v="Complete Access"/>
    <x v="768"/>
    <x v="8"/>
    <x v="29"/>
    <d v="1900-01-10T00:00:00"/>
    <n v="28"/>
    <x v="7"/>
    <x v="7"/>
  </r>
  <r>
    <x v="1926"/>
    <n v="-10.1"/>
    <x v="4115"/>
    <n v="4656.66"/>
    <s v="Complete Access"/>
    <x v="768"/>
    <x v="8"/>
    <x v="29"/>
    <d v="1900-01-10T00:00:00"/>
    <n v="28"/>
    <x v="7"/>
    <x v="7"/>
  </r>
  <r>
    <x v="1926"/>
    <n v="-31.3"/>
    <x v="4116"/>
    <n v="4547.99"/>
    <s v="Complete Access"/>
    <x v="1"/>
    <x v="1"/>
    <x v="1"/>
    <d v="1900-01-10T00:00:00"/>
    <n v="28"/>
    <x v="7"/>
    <x v="7"/>
  </r>
  <r>
    <x v="1926"/>
    <n v="-18.3"/>
    <x v="4117"/>
    <n v="4613.1099999999997"/>
    <s v="Complete Access"/>
    <x v="213"/>
    <x v="1"/>
    <x v="23"/>
    <d v="1900-01-10T00:00:00"/>
    <n v="28"/>
    <x v="7"/>
    <x v="7"/>
  </r>
  <r>
    <x v="1926"/>
    <n v="-4"/>
    <x v="4118"/>
    <n v="4579.29"/>
    <s v="Complete Access"/>
    <x v="34"/>
    <x v="9"/>
    <x v="12"/>
    <d v="1900-01-10T00:00:00"/>
    <n v="28"/>
    <x v="7"/>
    <x v="7"/>
  </r>
  <r>
    <x v="1927"/>
    <n v="-256"/>
    <x v="4119"/>
    <n v="4495.71"/>
    <s v="Complete Access"/>
    <x v="0"/>
    <x v="0"/>
    <x v="0"/>
    <d v="1900-01-09T00:00:00"/>
    <n v="28"/>
    <x v="7"/>
    <x v="7"/>
  </r>
  <r>
    <x v="1927"/>
    <n v="-3.83"/>
    <x v="4120"/>
    <n v="4991.24"/>
    <s v="Complete Access"/>
    <x v="61"/>
    <x v="1"/>
    <x v="1"/>
    <d v="1900-01-09T00:00:00"/>
    <n v="28"/>
    <x v="7"/>
    <x v="7"/>
  </r>
  <r>
    <x v="1927"/>
    <n v="-50"/>
    <x v="4121"/>
    <n v="4864.1400000000003"/>
    <s v="Complete Access"/>
    <x v="819"/>
    <x v="5"/>
    <x v="83"/>
    <d v="1900-01-09T00:00:00"/>
    <n v="28"/>
    <x v="7"/>
    <x v="7"/>
  </r>
  <r>
    <x v="1927"/>
    <n v="-5.7"/>
    <x v="4122"/>
    <n v="4761.6899999999996"/>
    <s v="Complete Access"/>
    <x v="733"/>
    <x v="8"/>
    <x v="29"/>
    <d v="1900-01-09T00:00:00"/>
    <n v="28"/>
    <x v="7"/>
    <x v="7"/>
  </r>
  <r>
    <x v="1927"/>
    <n v="-19.600000000000001"/>
    <x v="4123"/>
    <n v="4921.28"/>
    <s v="Complete Access"/>
    <x v="898"/>
    <x v="8"/>
    <x v="29"/>
    <d v="1900-01-09T00:00:00"/>
    <n v="28"/>
    <x v="7"/>
    <x v="7"/>
  </r>
  <r>
    <x v="1927"/>
    <n v="-7.5"/>
    <x v="4123"/>
    <n v="4940.88"/>
    <s v="Complete Access"/>
    <x v="898"/>
    <x v="8"/>
    <x v="29"/>
    <d v="1900-01-09T00:00:00"/>
    <n v="28"/>
    <x v="7"/>
    <x v="7"/>
  </r>
  <r>
    <x v="1927"/>
    <n v="-14.7"/>
    <x v="4123"/>
    <n v="4948.38"/>
    <s v="Complete Access"/>
    <x v="898"/>
    <x v="8"/>
    <x v="29"/>
    <d v="1900-01-09T00:00:00"/>
    <n v="28"/>
    <x v="7"/>
    <x v="7"/>
  </r>
  <r>
    <x v="1927"/>
    <n v="-9.98"/>
    <x v="4124"/>
    <n v="4751.71"/>
    <s v="Complete Access"/>
    <x v="210"/>
    <x v="3"/>
    <x v="15"/>
    <d v="1900-01-09T00:00:00"/>
    <n v="28"/>
    <x v="7"/>
    <x v="7"/>
  </r>
  <r>
    <x v="1927"/>
    <n v="-14.66"/>
    <x v="4125"/>
    <n v="4963.08"/>
    <s v="Complete Access"/>
    <x v="792"/>
    <x v="1"/>
    <x v="5"/>
    <d v="1900-01-09T00:00:00"/>
    <n v="28"/>
    <x v="7"/>
    <x v="7"/>
  </r>
  <r>
    <x v="1927"/>
    <n v="-19.190000000000001"/>
    <x v="4115"/>
    <n v="4767.3900000000003"/>
    <s v="Complete Access"/>
    <x v="768"/>
    <x v="8"/>
    <x v="29"/>
    <d v="1900-01-09T00:00:00"/>
    <n v="28"/>
    <x v="7"/>
    <x v="7"/>
  </r>
  <r>
    <x v="1927"/>
    <n v="141.05000000000001"/>
    <x v="4126"/>
    <n v="4636.76"/>
    <s v="Complete Access"/>
    <x v="67"/>
    <x v="0"/>
    <x v="0"/>
    <d v="1900-01-09T00:00:00"/>
    <n v="28"/>
    <x v="7"/>
    <x v="7"/>
  </r>
  <r>
    <x v="1927"/>
    <n v="30"/>
    <x v="4127"/>
    <n v="4666.76"/>
    <s v="Complete Access"/>
    <x v="67"/>
    <x v="0"/>
    <x v="0"/>
    <d v="1900-01-09T00:00:00"/>
    <n v="28"/>
    <x v="7"/>
    <x v="7"/>
  </r>
  <r>
    <x v="1927"/>
    <n v="-6"/>
    <x v="4128"/>
    <n v="4858.1400000000003"/>
    <s v="Complete Access"/>
    <x v="587"/>
    <x v="8"/>
    <x v="22"/>
    <d v="1900-01-09T00:00:00"/>
    <n v="28"/>
    <x v="7"/>
    <x v="7"/>
  </r>
  <r>
    <x v="1927"/>
    <n v="-7.14"/>
    <x v="4129"/>
    <n v="4914.1400000000003"/>
    <s v="Complete Access"/>
    <x v="21"/>
    <x v="10"/>
    <x v="13"/>
    <d v="1900-01-09T00:00:00"/>
    <n v="28"/>
    <x v="7"/>
    <x v="7"/>
  </r>
  <r>
    <x v="1927"/>
    <n v="-13.5"/>
    <x v="4130"/>
    <n v="4977.74"/>
    <s v="Complete Access"/>
    <x v="687"/>
    <x v="1"/>
    <x v="5"/>
    <d v="1900-01-09T00:00:00"/>
    <n v="28"/>
    <x v="7"/>
    <x v="7"/>
  </r>
  <r>
    <x v="1927"/>
    <n v="-21.32"/>
    <x v="4131"/>
    <n v="4786.58"/>
    <s v="Complete Access"/>
    <x v="899"/>
    <x v="8"/>
    <x v="29"/>
    <d v="1900-01-09T00:00:00"/>
    <n v="28"/>
    <x v="7"/>
    <x v="7"/>
  </r>
  <r>
    <x v="1927"/>
    <n v="-21.32"/>
    <x v="4131"/>
    <n v="4807.8999999999996"/>
    <s v="Complete Access"/>
    <x v="899"/>
    <x v="8"/>
    <x v="29"/>
    <d v="1900-01-09T00:00:00"/>
    <n v="28"/>
    <x v="7"/>
    <x v="7"/>
  </r>
  <r>
    <x v="1927"/>
    <n v="-9.64"/>
    <x v="4131"/>
    <n v="4829.22"/>
    <s v="Complete Access"/>
    <x v="899"/>
    <x v="8"/>
    <x v="29"/>
    <d v="1900-01-09T00:00:00"/>
    <n v="28"/>
    <x v="7"/>
    <x v="7"/>
  </r>
  <r>
    <x v="1927"/>
    <n v="-19.28"/>
    <x v="4132"/>
    <n v="4838.8599999999997"/>
    <s v="Complete Access"/>
    <x v="899"/>
    <x v="8"/>
    <x v="29"/>
    <d v="1900-01-09T00:00:00"/>
    <n v="28"/>
    <x v="7"/>
    <x v="7"/>
  </r>
  <r>
    <x v="1928"/>
    <n v="900"/>
    <x v="3910"/>
    <n v="4995.07"/>
    <s v="Complete Access"/>
    <x v="67"/>
    <x v="0"/>
    <x v="0"/>
    <d v="1900-01-08T00:00:00"/>
    <n v="28"/>
    <x v="7"/>
    <x v="7"/>
  </r>
  <r>
    <x v="1929"/>
    <n v="-45.8"/>
    <x v="4133"/>
    <n v="4095.07"/>
    <s v="Complete Access"/>
    <x v="900"/>
    <x v="1"/>
    <x v="5"/>
    <d v="1900-01-06T00:00:00"/>
    <n v="27"/>
    <x v="7"/>
    <x v="7"/>
  </r>
  <r>
    <x v="1929"/>
    <n v="-4.9000000000000004"/>
    <x v="4123"/>
    <n v="4172.37"/>
    <s v="Complete Access"/>
    <x v="898"/>
    <x v="8"/>
    <x v="29"/>
    <d v="1900-01-06T00:00:00"/>
    <n v="27"/>
    <x v="7"/>
    <x v="7"/>
  </r>
  <r>
    <x v="1929"/>
    <n v="-14"/>
    <x v="4134"/>
    <n v="4140.87"/>
    <s v="Complete Access"/>
    <x v="842"/>
    <x v="8"/>
    <x v="29"/>
    <d v="1900-01-06T00:00:00"/>
    <n v="27"/>
    <x v="7"/>
    <x v="7"/>
  </r>
  <r>
    <x v="1929"/>
    <n v="-515"/>
    <x v="3404"/>
    <n v="4177.2700000000004"/>
    <s v="Complete Access"/>
    <x v="783"/>
    <x v="19"/>
    <x v="61"/>
    <d v="1900-01-06T00:00:00"/>
    <n v="27"/>
    <x v="7"/>
    <x v="7"/>
  </r>
  <r>
    <x v="1929"/>
    <n v="-100"/>
    <x v="2274"/>
    <n v="4692.2700000000004"/>
    <s v="Complete Access"/>
    <x v="552"/>
    <x v="0"/>
    <x v="74"/>
    <d v="1900-01-06T00:00:00"/>
    <n v="27"/>
    <x v="7"/>
    <x v="7"/>
  </r>
  <r>
    <x v="1929"/>
    <n v="-4"/>
    <x v="4135"/>
    <n v="4154.87"/>
    <s v="Complete Access"/>
    <x v="587"/>
    <x v="8"/>
    <x v="22"/>
    <d v="1900-01-06T00:00:00"/>
    <n v="27"/>
    <x v="7"/>
    <x v="7"/>
  </r>
  <r>
    <x v="1929"/>
    <n v="-13.5"/>
    <x v="4136"/>
    <n v="4158.87"/>
    <s v="Complete Access"/>
    <x v="687"/>
    <x v="1"/>
    <x v="5"/>
    <d v="1900-01-06T00:00:00"/>
    <n v="27"/>
    <x v="7"/>
    <x v="7"/>
  </r>
  <r>
    <x v="1930"/>
    <n v="-50"/>
    <x v="4137"/>
    <n v="4795.07"/>
    <s v="Complete Access"/>
    <x v="601"/>
    <x v="0"/>
    <x v="0"/>
    <d v="1900-01-05T00:00:00"/>
    <n v="27"/>
    <x v="7"/>
    <x v="7"/>
  </r>
  <r>
    <x v="1930"/>
    <n v="-20.2"/>
    <x v="4138"/>
    <n v="5176.01"/>
    <s v="Complete Access"/>
    <x v="901"/>
    <x v="9"/>
    <x v="32"/>
    <d v="1900-01-05T00:00:00"/>
    <n v="27"/>
    <x v="7"/>
    <x v="7"/>
  </r>
  <r>
    <x v="1930"/>
    <n v="-279.95"/>
    <x v="4139"/>
    <n v="4884.54"/>
    <s v="Complete Access"/>
    <x v="210"/>
    <x v="3"/>
    <x v="15"/>
    <d v="1900-01-05T00:00:00"/>
    <n v="27"/>
    <x v="7"/>
    <x v="7"/>
  </r>
  <r>
    <x v="1930"/>
    <n v="-11.52"/>
    <x v="4140"/>
    <n v="5164.49"/>
    <s v="Complete Access"/>
    <x v="609"/>
    <x v="1"/>
    <x v="1"/>
    <d v="1900-01-05T00:00:00"/>
    <n v="27"/>
    <x v="7"/>
    <x v="7"/>
  </r>
  <r>
    <x v="1930"/>
    <n v="-2.8"/>
    <x v="72"/>
    <n v="4792.2700000000004"/>
    <s v="Complete Access"/>
    <x v="37"/>
    <x v="0"/>
    <x v="0"/>
    <d v="1900-01-05T00:00:00"/>
    <n v="27"/>
    <x v="7"/>
    <x v="7"/>
  </r>
  <r>
    <x v="1930"/>
    <n v="-0.9"/>
    <x v="4141"/>
    <n v="4853.57"/>
    <s v="Complete Access"/>
    <x v="10"/>
    <x v="0"/>
    <x v="0"/>
    <d v="1900-01-05T00:00:00"/>
    <n v="27"/>
    <x v="7"/>
    <x v="7"/>
  </r>
  <r>
    <x v="1930"/>
    <n v="-151.27000000000001"/>
    <x v="4142"/>
    <n v="4541"/>
    <s v="Complete Access"/>
    <x v="552"/>
    <x v="0"/>
    <x v="74"/>
    <d v="1900-01-05T00:00:00"/>
    <n v="27"/>
    <x v="7"/>
    <x v="7"/>
  </r>
  <r>
    <x v="1930"/>
    <n v="-30.07"/>
    <x v="4143"/>
    <n v="4854.47"/>
    <s v="Complete Access"/>
    <x v="740"/>
    <x v="18"/>
    <x v="59"/>
    <d v="1900-01-05T00:00:00"/>
    <n v="27"/>
    <x v="7"/>
    <x v="7"/>
  </r>
  <r>
    <x v="1930"/>
    <n v="-8.5"/>
    <x v="4144"/>
    <n v="4845.07"/>
    <s v="Complete Access"/>
    <x v="897"/>
    <x v="1"/>
    <x v="1"/>
    <d v="1900-01-05T00:00:00"/>
    <n v="27"/>
    <x v="7"/>
    <x v="7"/>
  </r>
  <r>
    <x v="1931"/>
    <n v="-11.55"/>
    <x v="4145"/>
    <n v="5605.96"/>
    <s v="Complete Access"/>
    <x v="27"/>
    <x v="1"/>
    <x v="5"/>
    <d v="1900-01-04T00:00:00"/>
    <n v="27"/>
    <x v="7"/>
    <x v="7"/>
  </r>
  <r>
    <x v="1931"/>
    <n v="-15.75"/>
    <x v="4146"/>
    <n v="5590.21"/>
    <s v="Complete Access"/>
    <x v="47"/>
    <x v="1"/>
    <x v="5"/>
    <d v="1900-01-04T00:00:00"/>
    <n v="27"/>
    <x v="7"/>
    <x v="7"/>
  </r>
  <r>
    <x v="1931"/>
    <n v="-390"/>
    <x v="4147"/>
    <n v="5196.21"/>
    <s v="Complete Access"/>
    <x v="741"/>
    <x v="16"/>
    <x v="81"/>
    <d v="1900-01-04T00:00:00"/>
    <n v="27"/>
    <x v="7"/>
    <x v="7"/>
  </r>
  <r>
    <x v="1931"/>
    <n v="-4"/>
    <x v="4148"/>
    <n v="5586.21"/>
    <s v="Complete Access"/>
    <x v="587"/>
    <x v="8"/>
    <x v="22"/>
    <d v="1900-01-04T00:00:00"/>
    <n v="27"/>
    <x v="7"/>
    <x v="7"/>
  </r>
  <r>
    <x v="1932"/>
    <n v="-20.16"/>
    <x v="4149"/>
    <n v="4532.96"/>
    <s v="Complete Access"/>
    <x v="882"/>
    <x v="9"/>
    <x v="32"/>
    <d v="1900-01-03T00:00:00"/>
    <n v="27"/>
    <x v="7"/>
    <x v="7"/>
  </r>
  <r>
    <x v="1932"/>
    <n v="-500.16"/>
    <x v="4150"/>
    <n v="4894.5200000000004"/>
    <s v="Complete Access"/>
    <x v="256"/>
    <x v="4"/>
    <x v="47"/>
    <d v="1900-01-03T00:00:00"/>
    <n v="27"/>
    <x v="7"/>
    <x v="7"/>
  </r>
  <r>
    <x v="1932"/>
    <n v="1230.06"/>
    <x v="3188"/>
    <n v="5617.51"/>
    <s v="Complete Access"/>
    <x v="14"/>
    <x v="6"/>
    <x v="9"/>
    <d v="1900-01-03T00:00:00"/>
    <n v="27"/>
    <x v="7"/>
    <x v="7"/>
  </r>
  <r>
    <x v="1932"/>
    <n v="-12.5"/>
    <x v="4151"/>
    <n v="5394.68"/>
    <s v="Complete Access"/>
    <x v="843"/>
    <x v="1"/>
    <x v="5"/>
    <d v="1900-01-03T00:00:00"/>
    <n v="27"/>
    <x v="7"/>
    <x v="7"/>
  </r>
  <r>
    <x v="1932"/>
    <n v="-26.4"/>
    <x v="4152"/>
    <n v="4853.12"/>
    <s v="Complete Access"/>
    <x v="343"/>
    <x v="1"/>
    <x v="5"/>
    <d v="1900-01-03T00:00:00"/>
    <n v="27"/>
    <x v="7"/>
    <x v="7"/>
  </r>
  <r>
    <x v="1932"/>
    <n v="-46"/>
    <x v="4153"/>
    <n v="4387.45"/>
    <s v="Complete Access"/>
    <x v="27"/>
    <x v="1"/>
    <x v="5"/>
    <d v="1900-01-03T00:00:00"/>
    <n v="27"/>
    <x v="7"/>
    <x v="7"/>
  </r>
  <r>
    <x v="1932"/>
    <n v="-15"/>
    <x v="4154"/>
    <n v="4879.5200000000004"/>
    <s v="Complete Access"/>
    <x v="10"/>
    <x v="0"/>
    <x v="0"/>
    <d v="1900-01-03T00:00:00"/>
    <n v="27"/>
    <x v="7"/>
    <x v="7"/>
  </r>
  <r>
    <x v="1932"/>
    <n v="-300"/>
    <x v="4155"/>
    <n v="4553.12"/>
    <s v="Complete Access"/>
    <x v="741"/>
    <x v="16"/>
    <x v="81"/>
    <d v="1900-01-03T00:00:00"/>
    <n v="27"/>
    <x v="7"/>
    <x v="7"/>
  </r>
  <r>
    <x v="1932"/>
    <n v="-30.45"/>
    <x v="4156"/>
    <n v="4433.45"/>
    <s v="Complete Access"/>
    <x v="1"/>
    <x v="1"/>
    <x v="1"/>
    <d v="1900-01-03T00:00:00"/>
    <n v="27"/>
    <x v="7"/>
    <x v="7"/>
  </r>
  <r>
    <x v="1932"/>
    <n v="-9.06"/>
    <x v="4157"/>
    <n v="4463.8999999999996"/>
    <s v="Complete Access"/>
    <x v="895"/>
    <x v="8"/>
    <x v="29"/>
    <d v="1900-01-03T00:00:00"/>
    <n v="27"/>
    <x v="7"/>
    <x v="7"/>
  </r>
  <r>
    <x v="1932"/>
    <n v="-60"/>
    <x v="4158"/>
    <n v="4472.96"/>
    <s v="Complete Access"/>
    <x v="219"/>
    <x v="7"/>
    <x v="53"/>
    <d v="1900-01-03T00:00:00"/>
    <n v="27"/>
    <x v="7"/>
    <x v="7"/>
  </r>
  <r>
    <x v="1933"/>
    <n v="-50"/>
    <x v="4159"/>
    <n v="5417.17"/>
    <s v="Complete Access"/>
    <x v="819"/>
    <x v="5"/>
    <x v="83"/>
    <d v="1900-01-02T00:00:00"/>
    <n v="27"/>
    <x v="7"/>
    <x v="7"/>
  </r>
  <r>
    <x v="1933"/>
    <n v="-9.99"/>
    <x v="4160"/>
    <n v="5407.18"/>
    <s v="Complete Access"/>
    <x v="373"/>
    <x v="8"/>
    <x v="7"/>
    <d v="1900-01-02T00:00:00"/>
    <n v="27"/>
    <x v="7"/>
    <x v="7"/>
  </r>
  <r>
    <x v="1933"/>
    <n v="-13.9"/>
    <x v="4161"/>
    <n v="5467.17"/>
    <s v="Complete Access"/>
    <x v="687"/>
    <x v="1"/>
    <x v="5"/>
    <d v="1900-01-02T00:00:00"/>
    <n v="27"/>
    <x v="7"/>
    <x v="7"/>
  </r>
  <r>
    <x v="1934"/>
    <n v="-166.4"/>
    <x v="4162"/>
    <n v="5481.07"/>
    <s v="Complete Access"/>
    <x v="76"/>
    <x v="2"/>
    <x v="2"/>
    <d v="1900-01-01T00:00:00"/>
    <n v="27"/>
    <x v="7"/>
    <x v="7"/>
  </r>
  <r>
    <x v="1935"/>
    <n v="-6"/>
    <x v="4163"/>
    <n v="5647.47"/>
    <s v="Complete Access"/>
    <x v="902"/>
    <x v="0"/>
    <x v="0"/>
    <d v="1899-12-31T00:00:00"/>
    <n v="27"/>
    <x v="7"/>
    <x v="7"/>
  </r>
  <r>
    <x v="1936"/>
    <n v="1171.25"/>
    <x v="3188"/>
    <n v="6436.54"/>
    <s v="Complete Access"/>
    <x v="14"/>
    <x v="6"/>
    <x v="9"/>
    <d v="1900-01-26T00:00:00"/>
    <n v="26"/>
    <x v="8"/>
    <x v="7"/>
  </r>
  <r>
    <x v="1937"/>
    <n v="999.2"/>
    <x v="3188"/>
    <n v="6169.99"/>
    <s v="Complete Access"/>
    <x v="14"/>
    <x v="6"/>
    <x v="9"/>
    <d v="1900-01-19T00:00:00"/>
    <n v="25"/>
    <x v="8"/>
    <x v="7"/>
  </r>
  <r>
    <x v="1938"/>
    <n v="1211.25"/>
    <x v="3188"/>
    <n v="6299.3"/>
    <s v="Complete Access"/>
    <x v="14"/>
    <x v="6"/>
    <x v="9"/>
    <d v="1900-01-14T00:00:00"/>
    <n v="24"/>
    <x v="8"/>
    <x v="7"/>
  </r>
  <r>
    <x v="1939"/>
    <n v="-130"/>
    <x v="4164"/>
    <n v="1"/>
    <s v="Complete Access"/>
    <x v="739"/>
    <x v="4"/>
    <x v="20"/>
    <d v="1900-01-25T00:00:00"/>
    <n v="21"/>
    <x v="9"/>
    <x v="7"/>
  </r>
  <r>
    <x v="1940"/>
    <n v="-185"/>
    <x v="4165"/>
    <n v="1"/>
    <s v="Complete Access"/>
    <x v="739"/>
    <x v="4"/>
    <x v="20"/>
    <d v="1900-01-17T00:00:00"/>
    <n v="20"/>
    <x v="9"/>
    <x v="7"/>
  </r>
  <r>
    <x v="1940"/>
    <n v="-2990"/>
    <x v="4166"/>
    <n v="1"/>
    <s v="Complete Access"/>
    <x v="739"/>
    <x v="4"/>
    <x v="20"/>
    <d v="1900-01-17T00:00:00"/>
    <n v="20"/>
    <x v="9"/>
    <x v="7"/>
  </r>
  <r>
    <x v="1941"/>
    <n v="-20"/>
    <x v="4167"/>
    <n v="1"/>
    <s v="Complete Access"/>
    <x v="739"/>
    <x v="4"/>
    <x v="20"/>
    <d v="1900-01-23T00:00:00"/>
    <n v="17"/>
    <x v="10"/>
    <x v="7"/>
  </r>
  <r>
    <x v="1942"/>
    <n v="-600"/>
    <x v="4168"/>
    <n v="2865.68"/>
    <s v="Complete Access"/>
    <x v="504"/>
    <x v="0"/>
    <x v="72"/>
    <d v="1900-01-19T00:00:00"/>
    <n v="16"/>
    <x v="10"/>
    <x v="7"/>
  </r>
  <r>
    <x v="1943"/>
    <n v="-500"/>
    <x v="4169"/>
    <n v="3163.43"/>
    <s v="Complete Access"/>
    <x v="504"/>
    <x v="0"/>
    <x v="72"/>
    <d v="1900-01-08T00:00:00"/>
    <n v="10"/>
    <x v="11"/>
    <x v="7"/>
  </r>
  <r>
    <x v="1944"/>
    <n v="-500"/>
    <x v="4170"/>
    <n v="3685.03"/>
    <s v="Complete Access"/>
    <x v="504"/>
    <x v="0"/>
    <x v="72"/>
    <d v="1900-01-07T00:00:00"/>
    <n v="10"/>
    <x v="11"/>
    <x v="7"/>
  </r>
  <r>
    <x v="1945"/>
    <n v="-32"/>
    <x v="4171"/>
    <n v="1"/>
    <s v="Complete Access"/>
    <x v="739"/>
    <x v="4"/>
    <x v="20"/>
    <d v="1900-01-20T00:00:00"/>
    <n v="38"/>
    <x v="5"/>
    <x v="8"/>
  </r>
  <r>
    <x v="1946"/>
    <n v="-469"/>
    <x v="4172"/>
    <n v="1"/>
    <s v="Complete Access"/>
    <x v="739"/>
    <x v="4"/>
    <x v="20"/>
    <d v="1900-01-17T00:00:00"/>
    <n v="38"/>
    <x v="5"/>
    <x v="8"/>
  </r>
  <r>
    <x v="1947"/>
    <n v="-40"/>
    <x v="4173"/>
    <n v="1"/>
    <s v="Complete Access"/>
    <x v="739"/>
    <x v="4"/>
    <x v="20"/>
    <d v="1900-01-10T00:00:00"/>
    <n v="37"/>
    <x v="5"/>
    <x v="8"/>
  </r>
  <r>
    <x v="1947"/>
    <n v="-32"/>
    <x v="4174"/>
    <n v="1"/>
    <s v="Complete Access"/>
    <x v="739"/>
    <x v="4"/>
    <x v="20"/>
    <d v="1900-01-10T00:00:00"/>
    <n v="37"/>
    <x v="5"/>
    <x v="8"/>
  </r>
  <r>
    <x v="1948"/>
    <n v="-50"/>
    <x v="4175"/>
    <n v="1"/>
    <s v="Complete Access"/>
    <x v="739"/>
    <x v="4"/>
    <x v="20"/>
    <d v="1900-01-08T00:00:00"/>
    <n v="36"/>
    <x v="5"/>
    <x v="8"/>
  </r>
  <r>
    <x v="1949"/>
    <n v="-1170"/>
    <x v="4176"/>
    <n v="1"/>
    <s v="Complete Access"/>
    <x v="739"/>
    <x v="4"/>
    <x v="20"/>
    <d v="1900-01-04T00:00:00"/>
    <n v="31"/>
    <x v="6"/>
    <x v="8"/>
  </r>
  <r>
    <x v="1950"/>
    <n v="-4155"/>
    <x v="4177"/>
    <n v="1"/>
    <s v="Complete Access"/>
    <x v="739"/>
    <x v="4"/>
    <x v="20"/>
    <d v="1900-01-03T00:00:00"/>
    <n v="31"/>
    <x v="6"/>
    <x v="8"/>
  </r>
  <r>
    <x v="1951"/>
    <n v="-245"/>
    <x v="4178"/>
    <n v="1"/>
    <s v="Complete Access"/>
    <x v="739"/>
    <x v="4"/>
    <x v="20"/>
    <d v="1900-01-30T00:00:00"/>
    <n v="31"/>
    <x v="7"/>
    <x v="8"/>
  </r>
  <r>
    <x v="1952"/>
    <n v="-788.3"/>
    <x v="4179"/>
    <n v="1"/>
    <s v="Complete Access"/>
    <x v="903"/>
    <x v="4"/>
    <x v="20"/>
    <d v="1900-01-27T00:00:00"/>
    <n v="26"/>
    <x v="8"/>
    <x v="8"/>
  </r>
  <r>
    <x v="1953"/>
    <n v="-2588"/>
    <x v="4180"/>
    <n v="1"/>
    <s v="Complete Access"/>
    <x v="739"/>
    <x v="4"/>
    <x v="20"/>
    <d v="1900-01-08T00:00:00"/>
    <n v="23"/>
    <x v="8"/>
    <x v="8"/>
  </r>
  <r>
    <x v="1954"/>
    <n v="-212.5"/>
    <x v="4181"/>
    <n v="1"/>
    <s v="Complete Access"/>
    <x v="739"/>
    <x v="4"/>
    <x v="20"/>
    <d v="1900-01-08T00:00:00"/>
    <n v="19"/>
    <x v="9"/>
    <x v="8"/>
  </r>
  <r>
    <x v="1955"/>
    <n v="-38"/>
    <x v="4182"/>
    <n v="1"/>
    <s v="Complete Access"/>
    <x v="739"/>
    <x v="4"/>
    <x v="20"/>
    <d v="1900-01-21T00:00:00"/>
    <n v="4"/>
    <x v="1"/>
    <x v="9"/>
  </r>
  <r>
    <x v="1956"/>
    <n v="-78.62"/>
    <x v="4183"/>
    <n v="1"/>
    <s v="Complete Access"/>
    <x v="739"/>
    <x v="4"/>
    <x v="20"/>
    <d v="1900-01-18T00:00:00"/>
    <n v="47"/>
    <x v="3"/>
    <x v="10"/>
  </r>
  <r>
    <x v="1957"/>
    <n v="-232.22"/>
    <x v="4184"/>
    <n v="1"/>
    <s v="Complete Access"/>
    <x v="904"/>
    <x v="4"/>
    <x v="20"/>
    <d v="1900-01-28T00:00:00"/>
    <n v="18"/>
    <x v="1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5F618-7B3D-4E4D-80D3-7910E4E2D2F1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outline="1" outlineData="1" multipleFieldFilters="0">
  <location ref="A3:CO27" firstHeaderRow="1" firstDataRow="3" firstDataCol="1"/>
  <pivotFields count="12">
    <pivotField numFmtId="170" subtotalTop="0" showAll="0" defaultSubtotal="0"/>
    <pivotField dataField="1"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axis="axisRow" subtotalTop="0" showAll="0" defaultSubtotal="0">
      <items count="27">
        <item x="20"/>
        <item x="17"/>
        <item x="4"/>
        <item x="8"/>
        <item x="0"/>
        <item x="1"/>
        <item x="11"/>
        <item x="13"/>
        <item x="10"/>
        <item x="2"/>
        <item x="18"/>
        <item m="1" x="25"/>
        <item m="1" x="26"/>
        <item x="19"/>
        <item x="6"/>
        <item m="1" x="24"/>
        <item m="1" x="23"/>
        <item x="14"/>
        <item x="21"/>
        <item x="3"/>
        <item m="1" x="22"/>
        <item x="15"/>
        <item x="9"/>
        <item x="5"/>
        <item x="12"/>
        <item x="16"/>
        <item x="7"/>
      </items>
    </pivotField>
    <pivotField subtotalTop="0" showAll="0" defaultSubtotal="0"/>
    <pivotField subtotalTop="0" showAll="0" defaultSubtotal="0"/>
    <pivotField numFmtId="167" subtotalTop="0" showAll="0" defaultSubtotal="0"/>
    <pivotField axis="axisCol" numFmtId="167" subtotalTop="0" showAll="0" defaultSubtotal="0">
      <items count="12">
        <item x="1"/>
        <item x="0"/>
        <item x="11"/>
        <item x="10"/>
        <item x="9"/>
        <item x="8"/>
        <item x="7"/>
        <item x="6"/>
        <item x="5"/>
        <item x="4"/>
        <item x="3"/>
        <item x="2"/>
      </items>
    </pivotField>
    <pivotField axis="axisCol" numFmtId="167" subtotalTop="0" showAll="0" defaultSubtotal="0">
      <items count="12">
        <item sd="0" x="11"/>
        <item sd="0" x="10"/>
        <item x="9"/>
        <item x="8"/>
        <item x="7"/>
        <item x="6"/>
        <item x="5"/>
        <item x="4"/>
        <item x="3"/>
        <item x="2"/>
        <item x="1"/>
        <item x="0"/>
      </items>
    </pivotField>
  </pivotFields>
  <rowFields count="1">
    <field x="6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</rowItems>
  <colFields count="2">
    <field x="11"/>
    <field x="10"/>
  </colFields>
  <colItems count="92">
    <i>
      <x/>
    </i>
    <i>
      <x v="1"/>
    </i>
    <i>
      <x v="2"/>
      <x/>
    </i>
    <i>
      <x v="3"/>
      <x v="4"/>
    </i>
    <i r="1">
      <x v="5"/>
    </i>
    <i r="1">
      <x v="6"/>
    </i>
    <i r="1">
      <x v="7"/>
    </i>
    <i r="1">
      <x v="8"/>
    </i>
    <i>
      <x v="4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  <x/>
    </i>
    <i r="1">
      <x v="1"/>
    </i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6652B7-419E-4898-B1BA-EDD7FFFC6085}" name="RRDataset" displayName="RRDataset" ref="A1:E6871" totalsRowShown="0" headerRowDxfId="16" dataDxfId="15">
  <autoFilter ref="A1:E6871" xr:uid="{7B785D31-7054-4FFB-8BD7-E791E6228C84}"/>
  <sortState xmlns:xlrd2="http://schemas.microsoft.com/office/spreadsheetml/2017/richdata2" ref="A3:E1017">
    <sortCondition descending="1" ref="A1:A4842"/>
  </sortState>
  <tableColumns count="5">
    <tableColumn id="1" xr3:uid="{61F97C7A-637D-4AF4-A794-6F44887DB09C}" name="Date" dataDxfId="14"/>
    <tableColumn id="2" xr3:uid="{36DDDF5A-34DC-4DBC-943F-13C536868263}" name="Amount" dataDxfId="13"/>
    <tableColumn id="3" xr3:uid="{5FC9E075-D297-423A-8E3D-3AC330B47EA7}" name="Transaction" dataDxfId="12"/>
    <tableColumn id="4" xr3:uid="{8B86F234-110B-4A6D-9B77-1FC16D057833}" name="Account Balance" dataDxfId="11"/>
    <tableColumn id="6" xr3:uid="{5F64C73A-0055-4261-91F6-142909ADEFB2}" name="Account Type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53DEED-249C-4A12-99D5-821187581F59}" name="Table1" displayName="Table1" ref="B1:F19" totalsRowShown="0" headerRowDxfId="9" dataDxfId="8">
  <autoFilter ref="B1:F19" xr:uid="{AE53DEED-249C-4A12-99D5-821187581F59}"/>
  <tableColumns count="5">
    <tableColumn id="1" xr3:uid="{A64CED05-0BA1-435C-8574-1D3B6B20C685}" name="Criteria" dataDxfId="7"/>
    <tableColumn id="2" xr3:uid="{7F0EA63F-DA38-4DC0-A9AD-C8A9293BEB39}" name="NAB Qantas Business Signature Card" dataDxfId="6"/>
    <tableColumn id="3" xr3:uid="{4BBF9363-EBA3-4290-BBDC-7040505A2EAC}" name="ANZ Frequent Flyer Black credit card" dataDxfId="5"/>
    <tableColumn id="4" xr3:uid="{8615D33C-FD53-4D57-B3DA-68BA1EF8EA88}" name="NAB Qantas Rewards Signature Card" dataDxfId="4"/>
    <tableColumn id="5" xr3:uid="{19A9ACA2-9611-4EAB-AA79-D94C3F2FB3E8}" name="Westpac Altitude Qantas Black credit card" dataDxfId="3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926340-9B94-A245-B41D-65788E58B4A9}" name="Crypto_Dataset" displayName="Crypto_Dataset" ref="A1:M150" totalsRowShown="0">
  <autoFilter ref="A1:M150" xr:uid="{218A518A-89BE-3147-AA26-961F11FC1F6E}"/>
  <tableColumns count="13">
    <tableColumn id="1" xr3:uid="{2DBB614C-D195-8E49-9B83-0735628F0CEE}" name="Transaction Date" dataDxfId="2"/>
    <tableColumn id="2" xr3:uid="{0D2BECA8-2E02-104B-B9CE-109F77C8373D}" name="Type"/>
    <tableColumn id="3" xr3:uid="{697BA16D-222E-C34B-B954-DDDEB4CFD332}" name="Market"/>
    <tableColumn id="4" xr3:uid="{3584C07E-0E72-F643-A4F0-684F1CCDF3DE}" name="Amount"/>
    <tableColumn id="5" xr3:uid="{A4C9D894-6EBB-1042-A8C4-F2AD93074F39}" name="Rate inc. fee"/>
    <tableColumn id="6" xr3:uid="{150BC194-E784-2C4F-94E1-759616534EF2}" name="Rate ex. fee"/>
    <tableColumn id="7" xr3:uid="{092D4AD6-A8AC-AC4E-AF53-4869E8244272}" name="Fee"/>
    <tableColumn id="8" xr3:uid="{3DFC6E65-CA9C-4542-9621-6284D97FF7B8}" name="Fee AUD (inc GST)"/>
    <tableColumn id="9" xr3:uid="{514214F9-63D9-D24E-A7F7-45073F08F5DF}" name="GST AUD"/>
    <tableColumn id="10" xr3:uid="{A4449BF2-BF9B-7947-ABFD-144BE4C3BE0D}" name="Total AUD"/>
    <tableColumn id="11" xr3:uid="{F6E67D3D-07A2-F74D-B476-D7E9A5705321}" name="Total (inc GST)"/>
    <tableColumn id="12" xr3:uid="{704A644C-15AB-1A44-99E4-E40E7EADA4C1}" name="Total AUD Final" dataDxfId="1">
      <calculatedColumnFormula>VALUE(IF(Crypto_Dataset[[#This Row],[Type]]="Sell", _xlfn.CONCAT("-", Crypto_Dataset[[#This Row],[Total AUD]]), Crypto_Dataset[[#This Row],[Total AUD]]))</calculatedColumnFormula>
    </tableColumn>
    <tableColumn id="13" xr3:uid="{13ECD782-5F71-1842-B586-76BFE6B30CD0}" name="Total Amount Final" dataDxfId="0">
      <calculatedColumnFormula>VALUE(IF(Crypto_Dataset[[#This Row],[Type]]="Sell", _xlfn.CONCAT("-", Crypto_Dataset[[#This Row],[Amount]]), Crypto_Dataset[[#This Row],[Amount]]))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9AD6-DEE8-4CB1-B790-029EB622BA0B}">
  <sheetPr>
    <tabColor theme="7" tint="0.79998168889431442"/>
  </sheetPr>
  <dimension ref="A3:CO27"/>
  <sheetViews>
    <sheetView zoomScaleNormal="100" workbookViewId="0">
      <selection activeCell="Q12" sqref="Q12"/>
    </sheetView>
  </sheetViews>
  <sheetFormatPr defaultRowHeight="14.5" x14ac:dyDescent="0.35"/>
  <cols>
    <col min="1" max="1" width="28.6328125" bestFit="1" customWidth="1"/>
    <col min="2" max="2" width="15.26953125" bestFit="1" customWidth="1"/>
    <col min="3" max="3" width="6.453125" bestFit="1" customWidth="1"/>
    <col min="4" max="4" width="4.81640625" bestFit="1" customWidth="1"/>
    <col min="5" max="5" width="6.453125" bestFit="1" customWidth="1"/>
    <col min="6" max="6" width="7.453125" bestFit="1" customWidth="1"/>
    <col min="7" max="7" width="4.453125" bestFit="1" customWidth="1"/>
    <col min="8" max="8" width="5.453125" bestFit="1" customWidth="1"/>
    <col min="9" max="9" width="4.453125" bestFit="1" customWidth="1"/>
    <col min="10" max="10" width="5.453125" bestFit="1" customWidth="1"/>
    <col min="11" max="11" width="4.453125" bestFit="1" customWidth="1"/>
    <col min="12" max="12" width="5.453125" bestFit="1" customWidth="1"/>
    <col min="13" max="13" width="6.81640625" bestFit="1" customWidth="1"/>
    <col min="14" max="14" width="7.453125" bestFit="1" customWidth="1"/>
    <col min="15" max="16" width="7.81640625" bestFit="1" customWidth="1"/>
    <col min="17" max="17" width="7.453125" bestFit="1" customWidth="1"/>
    <col min="18" max="19" width="7.81640625" bestFit="1" customWidth="1"/>
    <col min="20" max="20" width="8.453125" bestFit="1" customWidth="1"/>
    <col min="21" max="23" width="7.81640625" bestFit="1" customWidth="1"/>
    <col min="24" max="24" width="8.453125" bestFit="1" customWidth="1"/>
    <col min="25" max="26" width="7.81640625" bestFit="1" customWidth="1"/>
    <col min="27" max="27" width="8.453125" bestFit="1" customWidth="1"/>
    <col min="28" max="28" width="7.81640625" bestFit="1" customWidth="1"/>
    <col min="29" max="29" width="8.453125" bestFit="1" customWidth="1"/>
    <col min="30" max="30" width="7.81640625" bestFit="1" customWidth="1"/>
    <col min="31" max="35" width="8.453125" bestFit="1" customWidth="1"/>
    <col min="36" max="36" width="7.81640625" bestFit="1" customWidth="1"/>
    <col min="37" max="37" width="8.453125" bestFit="1" customWidth="1"/>
    <col min="38" max="41" width="7.81640625" bestFit="1" customWidth="1"/>
    <col min="42" max="44" width="8.453125" bestFit="1" customWidth="1"/>
    <col min="45" max="45" width="7.81640625" bestFit="1" customWidth="1"/>
    <col min="46" max="49" width="8.453125" bestFit="1" customWidth="1"/>
    <col min="50" max="50" width="7.81640625" bestFit="1" customWidth="1"/>
    <col min="51" max="51" width="8.453125" bestFit="1" customWidth="1"/>
    <col min="52" max="53" width="7.81640625" bestFit="1" customWidth="1"/>
    <col min="54" max="59" width="8.453125" bestFit="1" customWidth="1"/>
    <col min="60" max="60" width="7.81640625" bestFit="1" customWidth="1"/>
    <col min="61" max="61" width="8.453125" bestFit="1" customWidth="1"/>
    <col min="62" max="62" width="7.81640625" bestFit="1" customWidth="1"/>
    <col min="63" max="67" width="8.453125" bestFit="1" customWidth="1"/>
    <col min="68" max="68" width="7.81640625" bestFit="1" customWidth="1"/>
    <col min="69" max="73" width="8.453125" bestFit="1" customWidth="1"/>
    <col min="74" max="74" width="7.81640625" bestFit="1" customWidth="1"/>
    <col min="75" max="75" width="8.453125" bestFit="1" customWidth="1"/>
    <col min="76" max="76" width="7.81640625" bestFit="1" customWidth="1"/>
    <col min="77" max="78" width="8.453125" bestFit="1" customWidth="1"/>
    <col min="79" max="79" width="7.81640625" bestFit="1" customWidth="1"/>
    <col min="80" max="82" width="8.453125" bestFit="1" customWidth="1"/>
    <col min="83" max="83" width="8.81640625" bestFit="1" customWidth="1"/>
    <col min="84" max="87" width="8.453125" bestFit="1" customWidth="1"/>
    <col min="88" max="88" width="7.81640625" bestFit="1" customWidth="1"/>
    <col min="89" max="90" width="8.453125" bestFit="1" customWidth="1"/>
    <col min="91" max="91" width="7.81640625" bestFit="1" customWidth="1"/>
    <col min="92" max="98" width="8.453125" bestFit="1" customWidth="1"/>
    <col min="99" max="99" width="7.453125" bestFit="1" customWidth="1"/>
  </cols>
  <sheetData>
    <row r="3" spans="1:93" x14ac:dyDescent="0.35">
      <c r="A3" s="2" t="s">
        <v>318</v>
      </c>
      <c r="B3" s="2" t="s">
        <v>317</v>
      </c>
    </row>
    <row r="4" spans="1:93" x14ac:dyDescent="0.35">
      <c r="B4" s="1">
        <v>2010</v>
      </c>
      <c r="C4" s="1">
        <v>2015</v>
      </c>
      <c r="D4" s="1">
        <v>2016</v>
      </c>
      <c r="E4" s="1">
        <v>2017</v>
      </c>
      <c r="J4" s="1">
        <v>2018</v>
      </c>
      <c r="T4" s="1">
        <v>2019</v>
      </c>
      <c r="AF4" s="1">
        <v>2020</v>
      </c>
      <c r="AR4" s="1">
        <v>2021</v>
      </c>
      <c r="BD4" s="1">
        <v>2022</v>
      </c>
      <c r="BP4" s="1">
        <v>2023</v>
      </c>
      <c r="CB4" s="1">
        <v>2024</v>
      </c>
      <c r="CN4" s="1">
        <v>2025</v>
      </c>
    </row>
    <row r="5" spans="1:93" x14ac:dyDescent="0.35">
      <c r="A5" s="2" t="s">
        <v>315</v>
      </c>
      <c r="D5" s="1">
        <v>1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3</v>
      </c>
      <c r="K5" s="1">
        <v>4</v>
      </c>
      <c r="L5" s="1">
        <v>5</v>
      </c>
      <c r="M5" s="1">
        <v>6</v>
      </c>
      <c r="N5" s="1">
        <v>7</v>
      </c>
      <c r="O5" s="1">
        <v>8</v>
      </c>
      <c r="P5" s="1">
        <v>9</v>
      </c>
      <c r="Q5" s="1">
        <v>10</v>
      </c>
      <c r="R5" s="1">
        <v>11</v>
      </c>
      <c r="S5" s="1">
        <v>12</v>
      </c>
      <c r="T5" s="1">
        <v>1</v>
      </c>
      <c r="U5" s="1">
        <v>2</v>
      </c>
      <c r="V5" s="1">
        <v>3</v>
      </c>
      <c r="W5" s="1">
        <v>4</v>
      </c>
      <c r="X5" s="1">
        <v>5</v>
      </c>
      <c r="Y5" s="1">
        <v>6</v>
      </c>
      <c r="Z5" s="1">
        <v>7</v>
      </c>
      <c r="AA5" s="1">
        <v>8</v>
      </c>
      <c r="AB5" s="1">
        <v>9</v>
      </c>
      <c r="AC5" s="1">
        <v>10</v>
      </c>
      <c r="AD5" s="1">
        <v>11</v>
      </c>
      <c r="AE5" s="1">
        <v>12</v>
      </c>
      <c r="AF5" s="1">
        <v>1</v>
      </c>
      <c r="AG5" s="1">
        <v>2</v>
      </c>
      <c r="AH5" s="1">
        <v>3</v>
      </c>
      <c r="AI5" s="1">
        <v>4</v>
      </c>
      <c r="AJ5" s="1">
        <v>5</v>
      </c>
      <c r="AK5" s="1">
        <v>6</v>
      </c>
      <c r="AL5" s="1">
        <v>7</v>
      </c>
      <c r="AM5" s="1">
        <v>8</v>
      </c>
      <c r="AN5" s="1">
        <v>9</v>
      </c>
      <c r="AO5" s="1">
        <v>10</v>
      </c>
      <c r="AP5" s="1">
        <v>11</v>
      </c>
      <c r="AQ5" s="1">
        <v>12</v>
      </c>
      <c r="AR5" s="1">
        <v>1</v>
      </c>
      <c r="AS5" s="1">
        <v>2</v>
      </c>
      <c r="AT5" s="1">
        <v>3</v>
      </c>
      <c r="AU5" s="1">
        <v>4</v>
      </c>
      <c r="AV5" s="1">
        <v>5</v>
      </c>
      <c r="AW5" s="1">
        <v>6</v>
      </c>
      <c r="AX5" s="1">
        <v>7</v>
      </c>
      <c r="AY5" s="1">
        <v>8</v>
      </c>
      <c r="AZ5" s="1">
        <v>9</v>
      </c>
      <c r="BA5" s="1">
        <v>10</v>
      </c>
      <c r="BB5" s="1">
        <v>11</v>
      </c>
      <c r="BC5" s="1">
        <v>12</v>
      </c>
      <c r="BD5" s="1">
        <v>1</v>
      </c>
      <c r="BE5" s="1">
        <v>2</v>
      </c>
      <c r="BF5" s="1">
        <v>3</v>
      </c>
      <c r="BG5" s="1">
        <v>4</v>
      </c>
      <c r="BH5" s="1">
        <v>5</v>
      </c>
      <c r="BI5" s="1">
        <v>6</v>
      </c>
      <c r="BJ5" s="1">
        <v>7</v>
      </c>
      <c r="BK5" s="1">
        <v>8</v>
      </c>
      <c r="BL5" s="1">
        <v>9</v>
      </c>
      <c r="BM5" s="1">
        <v>10</v>
      </c>
      <c r="BN5" s="1">
        <v>11</v>
      </c>
      <c r="BO5" s="1">
        <v>12</v>
      </c>
      <c r="BP5" s="1">
        <v>1</v>
      </c>
      <c r="BQ5" s="1">
        <v>2</v>
      </c>
      <c r="BR5" s="1">
        <v>3</v>
      </c>
      <c r="BS5" s="1">
        <v>4</v>
      </c>
      <c r="BT5" s="1">
        <v>5</v>
      </c>
      <c r="BU5" s="1">
        <v>6</v>
      </c>
      <c r="BV5" s="1">
        <v>7</v>
      </c>
      <c r="BW5" s="1">
        <v>8</v>
      </c>
      <c r="BX5" s="1">
        <v>9</v>
      </c>
      <c r="BY5" s="1">
        <v>10</v>
      </c>
      <c r="BZ5" s="1">
        <v>11</v>
      </c>
      <c r="CA5" s="1">
        <v>12</v>
      </c>
      <c r="CB5" s="1">
        <v>1</v>
      </c>
      <c r="CC5" s="1">
        <v>2</v>
      </c>
      <c r="CD5" s="1">
        <v>3</v>
      </c>
      <c r="CE5" s="1">
        <v>4</v>
      </c>
      <c r="CF5" s="1">
        <v>5</v>
      </c>
      <c r="CG5" s="1">
        <v>6</v>
      </c>
      <c r="CH5" s="1">
        <v>7</v>
      </c>
      <c r="CI5" s="1">
        <v>8</v>
      </c>
      <c r="CJ5" s="1">
        <v>9</v>
      </c>
      <c r="CK5" s="1">
        <v>10</v>
      </c>
      <c r="CL5" s="1">
        <v>11</v>
      </c>
      <c r="CM5" s="1">
        <v>12</v>
      </c>
      <c r="CN5" s="1">
        <v>1</v>
      </c>
      <c r="CO5" s="1">
        <v>2</v>
      </c>
    </row>
    <row r="6" spans="1:93" x14ac:dyDescent="0.35">
      <c r="A6" s="3" t="s">
        <v>314</v>
      </c>
      <c r="N6">
        <v>-25</v>
      </c>
      <c r="O6">
        <v>-41.59</v>
      </c>
      <c r="P6">
        <v>-47</v>
      </c>
      <c r="Q6">
        <v>-20.5</v>
      </c>
      <c r="R6">
        <v>-5.95</v>
      </c>
      <c r="S6">
        <v>-26.95</v>
      </c>
      <c r="T6">
        <v>-38.5</v>
      </c>
      <c r="W6">
        <v>-22.67</v>
      </c>
      <c r="X6">
        <v>-90.95</v>
      </c>
      <c r="Y6">
        <v>-45.849999999999994</v>
      </c>
      <c r="AA6">
        <v>-35.83</v>
      </c>
      <c r="AC6">
        <v>-39.369999999999997</v>
      </c>
      <c r="AE6">
        <v>-34</v>
      </c>
      <c r="AF6">
        <v>-103.56</v>
      </c>
      <c r="AG6">
        <v>-10.5</v>
      </c>
      <c r="AH6">
        <v>-31.5</v>
      </c>
      <c r="AQ6">
        <v>-33.9</v>
      </c>
      <c r="AR6">
        <v>-15.23</v>
      </c>
      <c r="AT6">
        <v>-41.400000000000006</v>
      </c>
      <c r="AU6">
        <v>-11.5</v>
      </c>
      <c r="AV6">
        <v>-9.98</v>
      </c>
      <c r="AX6">
        <v>-3.8</v>
      </c>
      <c r="BA6">
        <v>-36</v>
      </c>
      <c r="BE6">
        <v>-24</v>
      </c>
      <c r="BF6">
        <v>-124.15</v>
      </c>
      <c r="BG6">
        <v>-206.87</v>
      </c>
      <c r="BH6">
        <v>-47.709999999999994</v>
      </c>
      <c r="BI6">
        <v>-24</v>
      </c>
      <c r="BJ6">
        <v>-40.29</v>
      </c>
      <c r="BK6">
        <v>-13.8</v>
      </c>
      <c r="BM6">
        <v>-20.059999999999999</v>
      </c>
      <c r="BN6">
        <v>-102.35</v>
      </c>
      <c r="BP6">
        <v>-104</v>
      </c>
      <c r="BT6">
        <v>-46</v>
      </c>
      <c r="BW6">
        <v>-93.08</v>
      </c>
      <c r="BX6">
        <v>-34.61</v>
      </c>
      <c r="BZ6">
        <v>-84.96</v>
      </c>
    </row>
    <row r="7" spans="1:93" x14ac:dyDescent="0.35">
      <c r="A7" s="3" t="s">
        <v>3588</v>
      </c>
      <c r="AG7">
        <v>-110</v>
      </c>
      <c r="AN7">
        <v>-560</v>
      </c>
      <c r="AT7">
        <v>0</v>
      </c>
      <c r="AU7">
        <v>-245</v>
      </c>
      <c r="BA7">
        <v>-350</v>
      </c>
      <c r="BG7">
        <v>-1005.1</v>
      </c>
      <c r="BH7">
        <v>15</v>
      </c>
      <c r="CH7">
        <v>-1929.62</v>
      </c>
    </row>
    <row r="8" spans="1:93" x14ac:dyDescent="0.35">
      <c r="A8" s="3" t="s">
        <v>3591</v>
      </c>
      <c r="B8">
        <v>-232.22</v>
      </c>
      <c r="C8">
        <v>-78.62</v>
      </c>
      <c r="D8">
        <v>-38</v>
      </c>
      <c r="E8">
        <v>-212.5</v>
      </c>
      <c r="F8">
        <v>-3376.3</v>
      </c>
      <c r="G8">
        <v>-245</v>
      </c>
      <c r="H8">
        <v>-5325</v>
      </c>
      <c r="I8">
        <v>-623</v>
      </c>
      <c r="K8">
        <v>-20</v>
      </c>
      <c r="L8">
        <v>-3305</v>
      </c>
      <c r="N8">
        <v>-870.79</v>
      </c>
      <c r="O8">
        <v>-406.75</v>
      </c>
      <c r="Q8">
        <v>-153.12</v>
      </c>
      <c r="R8">
        <v>-58.5</v>
      </c>
      <c r="S8">
        <v>-133.21</v>
      </c>
      <c r="T8">
        <v>-1213.75</v>
      </c>
      <c r="U8">
        <v>-34.85</v>
      </c>
      <c r="V8">
        <v>-31.88</v>
      </c>
      <c r="W8">
        <v>-66.73</v>
      </c>
      <c r="X8">
        <v>-673</v>
      </c>
      <c r="Z8">
        <v>-55.07</v>
      </c>
      <c r="AA8">
        <v>-5.8500000000000005</v>
      </c>
      <c r="AB8">
        <v>1815.39</v>
      </c>
      <c r="AC8">
        <v>-26.09</v>
      </c>
      <c r="AD8">
        <v>-421.26</v>
      </c>
      <c r="AE8">
        <v>-456.61</v>
      </c>
      <c r="AG8">
        <v>-21.099999999999998</v>
      </c>
      <c r="AH8">
        <v>-386.98</v>
      </c>
      <c r="AI8">
        <v>-2685.44</v>
      </c>
      <c r="AJ8">
        <v>-537.19000000000005</v>
      </c>
      <c r="AK8">
        <v>-2056</v>
      </c>
      <c r="AL8">
        <v>-20</v>
      </c>
      <c r="AM8">
        <v>-611.65</v>
      </c>
      <c r="AN8">
        <v>-21.95</v>
      </c>
      <c r="AO8">
        <v>20.12</v>
      </c>
      <c r="AP8">
        <v>-139.91000000000003</v>
      </c>
      <c r="AQ8">
        <v>-530.1</v>
      </c>
      <c r="AT8">
        <v>-242.35</v>
      </c>
      <c r="AU8">
        <v>2345.94</v>
      </c>
      <c r="AX8">
        <v>-559.76</v>
      </c>
      <c r="AY8">
        <v>-436.99</v>
      </c>
      <c r="BA8">
        <v>-1.86</v>
      </c>
      <c r="BC8">
        <v>-1433.9599999999998</v>
      </c>
      <c r="BD8">
        <v>-976.0200000000001</v>
      </c>
      <c r="BE8">
        <v>-823.20999999999992</v>
      </c>
      <c r="BF8">
        <v>-988.55000000000007</v>
      </c>
      <c r="BG8">
        <v>-383.58</v>
      </c>
      <c r="BH8">
        <v>-21.98</v>
      </c>
      <c r="BI8">
        <v>-60.07</v>
      </c>
      <c r="BJ8">
        <v>-30.33</v>
      </c>
      <c r="BK8">
        <v>-22.439999999999998</v>
      </c>
      <c r="BL8">
        <v>-3974.44</v>
      </c>
      <c r="BM8">
        <v>-178.96</v>
      </c>
      <c r="BN8">
        <v>-90.429999999999836</v>
      </c>
      <c r="BO8">
        <v>-1108.72</v>
      </c>
      <c r="BP8">
        <v>-258.95</v>
      </c>
      <c r="BQ8">
        <v>-171.12999999999997</v>
      </c>
      <c r="BR8">
        <v>-46.510000000000034</v>
      </c>
      <c r="BS8">
        <v>-298.5</v>
      </c>
      <c r="BT8">
        <v>-1883.49</v>
      </c>
      <c r="BU8">
        <v>-35.21</v>
      </c>
      <c r="BV8">
        <v>1761.68</v>
      </c>
      <c r="BW8">
        <v>-1627.58</v>
      </c>
      <c r="BX8">
        <v>-519.88</v>
      </c>
      <c r="BY8">
        <v>-2086.75</v>
      </c>
      <c r="BZ8">
        <v>-97.44</v>
      </c>
      <c r="CA8">
        <v>-332.85</v>
      </c>
      <c r="CB8">
        <v>-712.5</v>
      </c>
      <c r="CC8">
        <v>-127.95999999999998</v>
      </c>
      <c r="CD8">
        <v>-42.06</v>
      </c>
      <c r="CE8">
        <v>-206.91</v>
      </c>
      <c r="CF8">
        <v>-4710.62</v>
      </c>
      <c r="CG8">
        <v>-56.17</v>
      </c>
      <c r="CH8">
        <v>-101.71999999999998</v>
      </c>
      <c r="CI8">
        <v>-81.910000000000011</v>
      </c>
      <c r="CJ8">
        <v>83.26</v>
      </c>
      <c r="CK8">
        <v>-6668.3799999999992</v>
      </c>
      <c r="CL8">
        <v>-2276.1999999999998</v>
      </c>
      <c r="CM8">
        <v>-127.42</v>
      </c>
      <c r="CN8">
        <v>-22.82</v>
      </c>
      <c r="CO8">
        <v>-78.339999999999989</v>
      </c>
    </row>
    <row r="9" spans="1:93" x14ac:dyDescent="0.35">
      <c r="A9" s="3" t="s">
        <v>3586</v>
      </c>
      <c r="N9">
        <v>-385.5499999999999</v>
      </c>
      <c r="O9">
        <v>-403.78000000000009</v>
      </c>
      <c r="P9">
        <v>-456.24000000000007</v>
      </c>
      <c r="Q9">
        <v>-352.47</v>
      </c>
      <c r="R9">
        <v>-149.85</v>
      </c>
      <c r="S9">
        <v>-62.99</v>
      </c>
      <c r="T9">
        <v>-167.87</v>
      </c>
      <c r="U9">
        <v>-13.1</v>
      </c>
      <c r="V9">
        <v>-173.4</v>
      </c>
      <c r="W9">
        <v>-710.49</v>
      </c>
      <c r="X9">
        <v>-363.04</v>
      </c>
      <c r="Y9">
        <v>-263.32</v>
      </c>
      <c r="Z9">
        <v>-317.27999999999997</v>
      </c>
      <c r="AA9">
        <v>-118.58</v>
      </c>
      <c r="AB9">
        <v>-105.4</v>
      </c>
      <c r="AC9">
        <v>-1392.3300000000002</v>
      </c>
      <c r="AD9">
        <v>-195.35</v>
      </c>
      <c r="AE9">
        <v>-227.64000000000001</v>
      </c>
      <c r="AF9">
        <v>-105.04000000000002</v>
      </c>
      <c r="AG9">
        <v>-284.08</v>
      </c>
      <c r="AH9">
        <v>-366.56</v>
      </c>
      <c r="AJ9">
        <v>-9.99</v>
      </c>
      <c r="AK9">
        <v>-16.89</v>
      </c>
      <c r="AL9">
        <v>-49.580000000000005</v>
      </c>
      <c r="AM9">
        <v>-141.67000000000002</v>
      </c>
      <c r="AN9">
        <v>-9.99</v>
      </c>
      <c r="AO9">
        <v>-366.78000000000003</v>
      </c>
      <c r="AP9">
        <v>-34.99</v>
      </c>
      <c r="AR9">
        <v>-296.90000000000009</v>
      </c>
      <c r="AS9">
        <v>-107.2</v>
      </c>
      <c r="AT9">
        <v>-38.090000000000003</v>
      </c>
      <c r="AU9">
        <v>-225.64000000000001</v>
      </c>
      <c r="AV9">
        <v>-166</v>
      </c>
      <c r="AW9">
        <v>-283.25</v>
      </c>
      <c r="AZ9">
        <v>-4</v>
      </c>
      <c r="BA9">
        <v>-72.06</v>
      </c>
      <c r="BB9">
        <v>-158.47</v>
      </c>
      <c r="BC9">
        <v>-74.31</v>
      </c>
      <c r="BD9">
        <v>-36.36</v>
      </c>
      <c r="BF9">
        <v>-7</v>
      </c>
      <c r="BG9">
        <v>-609.59</v>
      </c>
      <c r="BH9">
        <v>-131.05000000000001</v>
      </c>
      <c r="BI9">
        <v>-109.4</v>
      </c>
      <c r="BJ9">
        <v>-23.1</v>
      </c>
      <c r="BK9">
        <v>-213.89</v>
      </c>
      <c r="BL9">
        <v>-709.5</v>
      </c>
      <c r="BN9">
        <v>-98.5</v>
      </c>
      <c r="BO9">
        <v>-76.039999999999992</v>
      </c>
      <c r="BP9">
        <v>-221.01</v>
      </c>
      <c r="BQ9">
        <v>-79.42</v>
      </c>
      <c r="BR9">
        <v>-18.399999999999999</v>
      </c>
      <c r="BS9">
        <v>-27.599999999999998</v>
      </c>
      <c r="BT9">
        <v>-91.8</v>
      </c>
      <c r="BU9">
        <v>-13.7</v>
      </c>
      <c r="BW9">
        <v>-39.799999999999997</v>
      </c>
      <c r="BX9">
        <v>-784.53000000000031</v>
      </c>
      <c r="BY9">
        <v>-228.37</v>
      </c>
      <c r="BZ9">
        <v>-127.99000000000001</v>
      </c>
      <c r="CA9">
        <v>-196.51</v>
      </c>
      <c r="CB9">
        <v>-290.02999999999997</v>
      </c>
      <c r="CC9">
        <v>-33.85</v>
      </c>
      <c r="CD9">
        <v>-114.84</v>
      </c>
      <c r="CE9">
        <v>-93.3</v>
      </c>
      <c r="CF9">
        <v>-132.07</v>
      </c>
      <c r="CG9">
        <v>-136.84</v>
      </c>
      <c r="CH9">
        <v>-1933.7499999999998</v>
      </c>
      <c r="CI9">
        <v>-4464.9500000000016</v>
      </c>
      <c r="CJ9">
        <v>-358.71000000000004</v>
      </c>
      <c r="CK9">
        <v>-76.900000000000006</v>
      </c>
      <c r="CL9">
        <v>-114.07999999999998</v>
      </c>
      <c r="CM9">
        <v>-146.62</v>
      </c>
      <c r="CN9">
        <v>-38.260000000000005</v>
      </c>
      <c r="CO9">
        <v>0.43999999999999773</v>
      </c>
    </row>
    <row r="10" spans="1:93" x14ac:dyDescent="0.35">
      <c r="A10" s="3" t="s">
        <v>3517</v>
      </c>
      <c r="J10">
        <v>-1000</v>
      </c>
      <c r="K10">
        <v>-600</v>
      </c>
      <c r="N10">
        <v>142.44000000000003</v>
      </c>
      <c r="O10">
        <v>-94.860000000000014</v>
      </c>
      <c r="P10">
        <v>-688.78</v>
      </c>
      <c r="Q10">
        <v>-237.09000000000003</v>
      </c>
      <c r="R10">
        <v>-590</v>
      </c>
      <c r="S10">
        <v>-30.430000000000007</v>
      </c>
      <c r="T10">
        <v>230</v>
      </c>
      <c r="U10">
        <v>-235</v>
      </c>
      <c r="V10">
        <v>-92.009999999999991</v>
      </c>
      <c r="W10">
        <v>-172</v>
      </c>
      <c r="X10">
        <v>745</v>
      </c>
      <c r="Y10">
        <v>2438.15</v>
      </c>
      <c r="Z10">
        <v>-3256</v>
      </c>
      <c r="AA10">
        <v>-667</v>
      </c>
      <c r="AB10">
        <v>-817.48</v>
      </c>
      <c r="AC10">
        <v>1521.32</v>
      </c>
      <c r="AD10">
        <v>-925.87</v>
      </c>
      <c r="AE10">
        <v>-476.91999999999996</v>
      </c>
      <c r="AF10">
        <v>-874.81999999999994</v>
      </c>
      <c r="AG10">
        <v>-5150</v>
      </c>
      <c r="AH10">
        <v>-1240.72</v>
      </c>
      <c r="AI10">
        <v>855.52</v>
      </c>
      <c r="AJ10">
        <v>-529.35</v>
      </c>
      <c r="AK10">
        <v>-1027.1300000000001</v>
      </c>
      <c r="AL10">
        <v>-756.52</v>
      </c>
      <c r="AM10">
        <v>-506.94</v>
      </c>
      <c r="AN10">
        <v>-471.5</v>
      </c>
      <c r="AO10">
        <v>-818</v>
      </c>
      <c r="AP10">
        <v>-8038.64</v>
      </c>
      <c r="AQ10">
        <v>1295.8300000000002</v>
      </c>
      <c r="AR10">
        <v>-1861.88</v>
      </c>
      <c r="AS10">
        <v>-3100</v>
      </c>
      <c r="AT10">
        <v>-5161.4400000000005</v>
      </c>
      <c r="AU10">
        <v>-3206.96</v>
      </c>
      <c r="AV10">
        <v>-2022.04</v>
      </c>
      <c r="AW10">
        <v>-1320.1599999999999</v>
      </c>
      <c r="AX10">
        <v>-555.6</v>
      </c>
      <c r="AY10">
        <v>-3625.94</v>
      </c>
      <c r="AZ10">
        <v>-4000.4</v>
      </c>
      <c r="BA10">
        <v>-1479</v>
      </c>
      <c r="BB10">
        <v>-2061.5</v>
      </c>
      <c r="BC10">
        <v>-3879</v>
      </c>
      <c r="BD10">
        <v>-1481.65</v>
      </c>
      <c r="BE10">
        <v>-4348.04</v>
      </c>
      <c r="BF10">
        <v>-1456.6599999999999</v>
      </c>
      <c r="BG10">
        <v>-684.7</v>
      </c>
      <c r="BH10">
        <v>-1956</v>
      </c>
      <c r="BI10">
        <v>2030.61</v>
      </c>
      <c r="BJ10">
        <v>-1140.5999999999999</v>
      </c>
      <c r="BK10">
        <v>-114.29999999999995</v>
      </c>
      <c r="BL10">
        <v>-1682</v>
      </c>
      <c r="BM10">
        <v>-1222.8399999999999</v>
      </c>
      <c r="BN10">
        <v>-1200.17</v>
      </c>
      <c r="BO10">
        <v>-1164.6500000000001</v>
      </c>
      <c r="BP10">
        <v>-323.33999999999997</v>
      </c>
      <c r="BQ10">
        <v>-1316.51</v>
      </c>
      <c r="BR10">
        <v>-1536.08</v>
      </c>
      <c r="BS10">
        <v>-1391.3600000000001</v>
      </c>
      <c r="BT10">
        <v>-310.67</v>
      </c>
      <c r="BU10">
        <v>-1155.6600000000001</v>
      </c>
      <c r="BV10">
        <v>-833.1400000000001</v>
      </c>
      <c r="BW10">
        <v>-1873.2900000000041</v>
      </c>
      <c r="BX10">
        <v>-934.89000000000033</v>
      </c>
      <c r="BY10">
        <v>84.369999999999933</v>
      </c>
      <c r="BZ10">
        <v>-1127.54</v>
      </c>
      <c r="CA10">
        <v>-448.93000000000006</v>
      </c>
      <c r="CB10">
        <v>-118.08000000000006</v>
      </c>
      <c r="CC10">
        <v>-1910.69</v>
      </c>
      <c r="CD10">
        <v>4993.7400000000016</v>
      </c>
      <c r="CE10">
        <v>12343.119999999995</v>
      </c>
      <c r="CF10">
        <v>-3148.24</v>
      </c>
      <c r="CG10">
        <v>-2891.41</v>
      </c>
      <c r="CH10">
        <v>-1845.9699999999998</v>
      </c>
      <c r="CI10">
        <v>-2405.1699999999996</v>
      </c>
      <c r="CJ10">
        <v>-1888.3999999999996</v>
      </c>
      <c r="CK10">
        <v>793.34000000000071</v>
      </c>
      <c r="CL10">
        <v>-916.74999999999955</v>
      </c>
      <c r="CM10">
        <v>-2936.0999999999995</v>
      </c>
      <c r="CN10">
        <v>-4568.4599999999991</v>
      </c>
      <c r="CO10">
        <v>-1929.0299999999997</v>
      </c>
    </row>
    <row r="11" spans="1:93" x14ac:dyDescent="0.35">
      <c r="A11" s="3" t="s">
        <v>3583</v>
      </c>
      <c r="N11">
        <v>-783.97999999999979</v>
      </c>
      <c r="O11">
        <v>-984.39000000000021</v>
      </c>
      <c r="P11">
        <v>-701.46999999999991</v>
      </c>
      <c r="Q11">
        <v>-796.1</v>
      </c>
      <c r="R11">
        <v>-982.9799999999999</v>
      </c>
      <c r="S11">
        <v>-851.11</v>
      </c>
      <c r="T11">
        <v>-874.99</v>
      </c>
      <c r="U11">
        <v>-712.61000000000013</v>
      </c>
      <c r="V11">
        <v>-696.92</v>
      </c>
      <c r="W11">
        <v>-994.13999999999976</v>
      </c>
      <c r="X11">
        <v>-1164.1399999999994</v>
      </c>
      <c r="Y11">
        <v>-808.37999999999988</v>
      </c>
      <c r="Z11">
        <v>-689.13999999999987</v>
      </c>
      <c r="AA11">
        <v>-1133.3500000000001</v>
      </c>
      <c r="AB11">
        <v>-888.80999999999983</v>
      </c>
      <c r="AC11">
        <v>-1220.56</v>
      </c>
      <c r="AD11">
        <v>-908.40999999999974</v>
      </c>
      <c r="AE11">
        <v>-1208.8800000000003</v>
      </c>
      <c r="AF11">
        <v>-1359.7099999999998</v>
      </c>
      <c r="AG11">
        <v>-1047.3699999999999</v>
      </c>
      <c r="AH11">
        <v>-1043.9199999999996</v>
      </c>
      <c r="AI11">
        <v>-718.96</v>
      </c>
      <c r="AJ11">
        <v>-587.79</v>
      </c>
      <c r="AK11">
        <v>-587.92999999999995</v>
      </c>
      <c r="AL11">
        <v>-714.69000000000017</v>
      </c>
      <c r="AM11">
        <v>-865.89999999999986</v>
      </c>
      <c r="AN11">
        <v>-849.63000000000011</v>
      </c>
      <c r="AO11">
        <v>-987.87999999999988</v>
      </c>
      <c r="AP11">
        <v>-715.97</v>
      </c>
      <c r="AQ11">
        <v>-1089.7200000000003</v>
      </c>
      <c r="AR11">
        <v>-810.1099999999999</v>
      </c>
      <c r="AS11">
        <v>-738.24</v>
      </c>
      <c r="AT11">
        <v>-639.63</v>
      </c>
      <c r="AU11">
        <v>-921.93000000000006</v>
      </c>
      <c r="AV11">
        <v>-490.20000000000005</v>
      </c>
      <c r="AW11">
        <v>-887.17</v>
      </c>
      <c r="AX11">
        <v>-468.96000000000004</v>
      </c>
      <c r="AY11">
        <v>-509.02</v>
      </c>
      <c r="AZ11">
        <v>-609.89</v>
      </c>
      <c r="BA11">
        <v>-700.32</v>
      </c>
      <c r="BB11">
        <v>-1246.8699999999999</v>
      </c>
      <c r="BC11">
        <v>-760.4</v>
      </c>
      <c r="BD11">
        <v>-859.03999999999985</v>
      </c>
      <c r="BE11">
        <v>-1243.9100000000001</v>
      </c>
      <c r="BF11">
        <v>-1157.2400000000002</v>
      </c>
      <c r="BG11">
        <v>-1189.2100000000003</v>
      </c>
      <c r="BH11">
        <v>-934.19000000000017</v>
      </c>
      <c r="BI11">
        <v>-1482.9199999999998</v>
      </c>
      <c r="BJ11">
        <v>-544.44999999999993</v>
      </c>
      <c r="BK11">
        <v>-941.77999999999986</v>
      </c>
      <c r="BL11">
        <v>-663.06000000000006</v>
      </c>
      <c r="BM11">
        <v>-1100.3799999999999</v>
      </c>
      <c r="BN11">
        <v>-920.32999999999993</v>
      </c>
      <c r="BO11">
        <v>-757.54</v>
      </c>
      <c r="BP11">
        <v>-908.8499999999998</v>
      </c>
      <c r="BQ11">
        <v>-1245.1499999999996</v>
      </c>
      <c r="BR11">
        <v>-900.82999999999993</v>
      </c>
      <c r="BS11">
        <v>-933.02000000000021</v>
      </c>
      <c r="BT11">
        <v>-1253.5400000000002</v>
      </c>
      <c r="BU11">
        <v>-745.12999999999988</v>
      </c>
      <c r="BV11">
        <v>-790.48000000000013</v>
      </c>
      <c r="BW11">
        <v>-989.01</v>
      </c>
      <c r="BX11">
        <v>-823.12999999999988</v>
      </c>
      <c r="BY11">
        <v>-859.7</v>
      </c>
      <c r="BZ11">
        <v>-891.84999999999991</v>
      </c>
      <c r="CA11">
        <v>-817.67000000000007</v>
      </c>
      <c r="CB11">
        <v>-1087.1300000000001</v>
      </c>
      <c r="CC11">
        <v>-781.83</v>
      </c>
      <c r="CD11">
        <v>-662.56999999999994</v>
      </c>
      <c r="CE11">
        <v>-613.47</v>
      </c>
      <c r="CF11">
        <v>-561.4799999999999</v>
      </c>
      <c r="CG11">
        <v>-544.24</v>
      </c>
      <c r="CH11">
        <v>-803.88</v>
      </c>
      <c r="CI11">
        <v>-578.89</v>
      </c>
      <c r="CJ11">
        <v>-785.04</v>
      </c>
      <c r="CK11">
        <v>-1073.6500000000001</v>
      </c>
      <c r="CL11">
        <v>-1168.5900000000001</v>
      </c>
      <c r="CM11">
        <v>-842.65999999999985</v>
      </c>
      <c r="CN11">
        <v>-361.88999999999993</v>
      </c>
      <c r="CO11">
        <v>-270.02999999999997</v>
      </c>
    </row>
    <row r="12" spans="1:93" x14ac:dyDescent="0.35">
      <c r="A12" s="3" t="s">
        <v>3584</v>
      </c>
      <c r="R12">
        <v>-70</v>
      </c>
      <c r="S12">
        <v>-54.1</v>
      </c>
      <c r="V12">
        <v>-12.95</v>
      </c>
      <c r="W12">
        <v>-5</v>
      </c>
      <c r="X12">
        <v>-95.56</v>
      </c>
      <c r="Y12">
        <v>-6.9</v>
      </c>
      <c r="Z12">
        <v>-23</v>
      </c>
      <c r="AD12">
        <v>-80</v>
      </c>
      <c r="AE12">
        <v>-29.99</v>
      </c>
      <c r="AG12">
        <v>-55.99</v>
      </c>
      <c r="AN12">
        <v>-84.38</v>
      </c>
      <c r="AP12">
        <v>-14.99</v>
      </c>
      <c r="AR12">
        <v>-5.98</v>
      </c>
      <c r="AY12">
        <v>-12.99</v>
      </c>
      <c r="BC12">
        <v>-102.63</v>
      </c>
      <c r="BD12">
        <v>-9.99</v>
      </c>
      <c r="BE12">
        <v>-35.86</v>
      </c>
      <c r="BG12">
        <v>-18.48</v>
      </c>
      <c r="BJ12">
        <v>-90.929999999999993</v>
      </c>
      <c r="BM12">
        <v>-6.99</v>
      </c>
      <c r="BN12">
        <v>-95.789999999999992</v>
      </c>
      <c r="BO12">
        <v>-60.99</v>
      </c>
      <c r="BP12">
        <v>-16.98</v>
      </c>
      <c r="BQ12">
        <v>-40.25</v>
      </c>
      <c r="BW12">
        <v>-12.98</v>
      </c>
      <c r="CA12">
        <v>-56.2</v>
      </c>
      <c r="CD12">
        <v>-42.97</v>
      </c>
      <c r="CE12">
        <v>-60.18</v>
      </c>
      <c r="CF12">
        <v>-50.98</v>
      </c>
      <c r="CH12">
        <v>-28.29</v>
      </c>
      <c r="CK12">
        <v>-119.85000000000001</v>
      </c>
      <c r="CL12">
        <v>-25</v>
      </c>
      <c r="CN12">
        <v>-57.12</v>
      </c>
    </row>
    <row r="13" spans="1:93" x14ac:dyDescent="0.35">
      <c r="A13" s="3" t="s">
        <v>3593</v>
      </c>
      <c r="CA13">
        <v>-49</v>
      </c>
      <c r="CB13">
        <v>-328</v>
      </c>
      <c r="CC13">
        <v>-1755.5</v>
      </c>
      <c r="CD13">
        <v>-34323.5</v>
      </c>
      <c r="CE13">
        <v>-3787.9</v>
      </c>
      <c r="CF13">
        <v>-1514.59</v>
      </c>
      <c r="CH13">
        <v>-447.26</v>
      </c>
      <c r="CM13">
        <v>-391.65</v>
      </c>
    </row>
    <row r="14" spans="1:93" x14ac:dyDescent="0.35">
      <c r="A14" s="3" t="s">
        <v>3590</v>
      </c>
      <c r="N14">
        <v>-7.14</v>
      </c>
      <c r="X14">
        <v>-118.8</v>
      </c>
      <c r="Y14">
        <v>-589.34</v>
      </c>
      <c r="AF14">
        <v>-57</v>
      </c>
      <c r="AH14">
        <v>-269</v>
      </c>
      <c r="AQ14">
        <v>707.40000000000009</v>
      </c>
      <c r="AV14">
        <v>-425.75</v>
      </c>
      <c r="AW14">
        <v>-1526.08</v>
      </c>
      <c r="AX14">
        <v>-3.1</v>
      </c>
      <c r="BC14">
        <v>-35.950000000000003</v>
      </c>
      <c r="BH14">
        <v>-50</v>
      </c>
      <c r="BL14">
        <v>-35</v>
      </c>
      <c r="BZ14">
        <v>-341.09</v>
      </c>
      <c r="CA14">
        <v>-3.8600000000000003</v>
      </c>
      <c r="CB14">
        <v>-27.88</v>
      </c>
      <c r="CE14">
        <v>-311.52</v>
      </c>
      <c r="CF14">
        <v>-950.81000000000006</v>
      </c>
      <c r="CG14">
        <v>-44.37</v>
      </c>
      <c r="CH14">
        <v>-12.94</v>
      </c>
      <c r="CJ14">
        <v>-35.880000000000003</v>
      </c>
      <c r="CL14">
        <v>-9.57</v>
      </c>
      <c r="CM14">
        <v>-65.14</v>
      </c>
      <c r="CN14">
        <v>-93.559999999999988</v>
      </c>
    </row>
    <row r="15" spans="1:93" x14ac:dyDescent="0.35">
      <c r="A15" s="3" t="s">
        <v>3519</v>
      </c>
      <c r="N15">
        <v>-204.04000000000002</v>
      </c>
      <c r="O15">
        <v>-204.04000000000002</v>
      </c>
      <c r="P15">
        <v>-204.04000000000002</v>
      </c>
      <c r="Q15">
        <v>-204.04000000000002</v>
      </c>
      <c r="R15">
        <v>-174.04000000000002</v>
      </c>
      <c r="S15">
        <v>-204.04000000000002</v>
      </c>
      <c r="T15">
        <v>-204.04000000000002</v>
      </c>
      <c r="U15">
        <v>-166.4</v>
      </c>
      <c r="V15">
        <v>-166.4</v>
      </c>
      <c r="W15">
        <v>-172.3</v>
      </c>
      <c r="X15">
        <v>-172.3</v>
      </c>
      <c r="Y15">
        <v>-172.3</v>
      </c>
      <c r="Z15">
        <v>-172.3</v>
      </c>
      <c r="AA15">
        <v>-172.3</v>
      </c>
      <c r="AB15">
        <v>-172.3</v>
      </c>
      <c r="AC15">
        <v>-172.3</v>
      </c>
      <c r="AD15">
        <v>-155.30000000000001</v>
      </c>
      <c r="AE15">
        <v>-172.3</v>
      </c>
      <c r="AF15">
        <v>-172.3</v>
      </c>
      <c r="AG15">
        <v>-172.3</v>
      </c>
      <c r="AH15">
        <v>-172.3</v>
      </c>
      <c r="AI15">
        <v>-172.3</v>
      </c>
      <c r="AJ15">
        <v>-172.3</v>
      </c>
      <c r="AK15">
        <v>-172.3</v>
      </c>
      <c r="AL15">
        <v>-172.3</v>
      </c>
      <c r="AM15">
        <v>-172.3</v>
      </c>
      <c r="AN15">
        <v>-172.3</v>
      </c>
      <c r="AO15">
        <v>-172.3</v>
      </c>
      <c r="AP15">
        <v>-172.99</v>
      </c>
      <c r="AQ15">
        <v>-176.6</v>
      </c>
      <c r="AR15">
        <v>-176.6</v>
      </c>
      <c r="AS15">
        <v>-176.6</v>
      </c>
      <c r="AT15">
        <v>-176.6</v>
      </c>
      <c r="AU15">
        <v>-179.45</v>
      </c>
      <c r="AV15">
        <v>-179.45</v>
      </c>
      <c r="AW15">
        <v>-179.45</v>
      </c>
      <c r="AX15">
        <v>-179.45</v>
      </c>
      <c r="AY15">
        <v>-179.45</v>
      </c>
      <c r="AZ15">
        <v>-180.55</v>
      </c>
      <c r="BA15">
        <v>-180.55</v>
      </c>
      <c r="BB15">
        <v>-180.55</v>
      </c>
      <c r="BC15">
        <v>-180.55</v>
      </c>
      <c r="BD15">
        <v>-180.55</v>
      </c>
      <c r="BE15">
        <v>-180.55</v>
      </c>
      <c r="BF15">
        <v>-180.55</v>
      </c>
      <c r="BG15">
        <v>-180.55</v>
      </c>
      <c r="BH15">
        <v>-180.55</v>
      </c>
      <c r="BI15">
        <v>-180.55</v>
      </c>
      <c r="BJ15">
        <v>-180.55</v>
      </c>
      <c r="BK15">
        <v>-180.55</v>
      </c>
      <c r="BL15">
        <v>-180.55</v>
      </c>
      <c r="BM15">
        <v>-180.55</v>
      </c>
      <c r="BN15">
        <v>-186.7</v>
      </c>
      <c r="BO15">
        <v>-186.7</v>
      </c>
      <c r="BP15">
        <v>-186.7</v>
      </c>
      <c r="BQ15">
        <v>-186.7</v>
      </c>
      <c r="BR15">
        <v>-186.7</v>
      </c>
      <c r="BS15">
        <v>-186.7</v>
      </c>
      <c r="BT15">
        <v>-186.7</v>
      </c>
      <c r="BU15">
        <v>-186.7</v>
      </c>
      <c r="BV15">
        <v>-186.7</v>
      </c>
      <c r="BW15">
        <v>-186.7</v>
      </c>
      <c r="BX15">
        <v>-195.05</v>
      </c>
      <c r="BY15">
        <v>-30.050000000000011</v>
      </c>
      <c r="BZ15">
        <v>-195.05</v>
      </c>
      <c r="CA15">
        <v>-195.05</v>
      </c>
      <c r="CB15">
        <v>-195.05</v>
      </c>
      <c r="CC15">
        <v>-195.05</v>
      </c>
      <c r="CD15">
        <v>-329.78</v>
      </c>
      <c r="CE15">
        <v>-331.49</v>
      </c>
      <c r="CF15">
        <v>270.98</v>
      </c>
      <c r="CG15">
        <v>-144.27000000000001</v>
      </c>
      <c r="CH15">
        <v>-616.87</v>
      </c>
      <c r="CI15">
        <v>-144.27000000000001</v>
      </c>
      <c r="CJ15">
        <v>-144.27000000000001</v>
      </c>
      <c r="CK15">
        <v>-144.27000000000001</v>
      </c>
      <c r="CL15">
        <v>-138.87</v>
      </c>
      <c r="CM15">
        <v>-138.87</v>
      </c>
      <c r="CN15">
        <v>-138.87</v>
      </c>
      <c r="CO15">
        <v>-138.87</v>
      </c>
    </row>
    <row r="16" spans="1:93" x14ac:dyDescent="0.35">
      <c r="A16" s="3" t="s">
        <v>3587</v>
      </c>
      <c r="N16">
        <v>-30.07</v>
      </c>
      <c r="O16">
        <v>-10</v>
      </c>
      <c r="Q16">
        <v>-35</v>
      </c>
      <c r="S16">
        <v>-50</v>
      </c>
      <c r="W16">
        <v>250</v>
      </c>
      <c r="AA16">
        <v>-483.32</v>
      </c>
      <c r="AB16">
        <v>-28.75</v>
      </c>
      <c r="AE16">
        <v>-130</v>
      </c>
      <c r="AQ16">
        <v>-67</v>
      </c>
      <c r="BK16">
        <v>-250</v>
      </c>
      <c r="CB16">
        <v>-105.75</v>
      </c>
    </row>
    <row r="17" spans="1:93" x14ac:dyDescent="0.35">
      <c r="A17" s="3" t="s">
        <v>3518</v>
      </c>
      <c r="N17">
        <v>-2060</v>
      </c>
      <c r="O17">
        <v>-2060</v>
      </c>
      <c r="P17">
        <v>-2575</v>
      </c>
      <c r="Q17">
        <v>-2060</v>
      </c>
      <c r="R17">
        <v>-2060</v>
      </c>
      <c r="S17">
        <v>-2575</v>
      </c>
      <c r="T17">
        <v>-2060</v>
      </c>
      <c r="U17">
        <v>-2060</v>
      </c>
      <c r="V17">
        <v>-2575</v>
      </c>
      <c r="W17">
        <v>-2060</v>
      </c>
      <c r="X17">
        <v>-2560</v>
      </c>
      <c r="Y17">
        <v>-1515</v>
      </c>
      <c r="Z17">
        <v>-1000</v>
      </c>
      <c r="AA17">
        <v>-1000</v>
      </c>
      <c r="AB17">
        <v>-1000</v>
      </c>
      <c r="AC17">
        <v>-1500</v>
      </c>
      <c r="AD17">
        <v>-1000</v>
      </c>
      <c r="AE17">
        <v>-1000</v>
      </c>
      <c r="AF17">
        <v>-1000</v>
      </c>
      <c r="AG17">
        <v>-1000</v>
      </c>
      <c r="AH17">
        <v>-1000</v>
      </c>
      <c r="AI17">
        <v>-1500</v>
      </c>
      <c r="AJ17">
        <v>-1000</v>
      </c>
      <c r="AK17">
        <v>-1000</v>
      </c>
      <c r="AL17">
        <v>-1000</v>
      </c>
      <c r="AM17">
        <v>-1000</v>
      </c>
      <c r="AN17">
        <v>-1000</v>
      </c>
      <c r="AO17">
        <v>-1500</v>
      </c>
      <c r="AP17">
        <v>-1000</v>
      </c>
      <c r="AQ17">
        <v>-1000</v>
      </c>
      <c r="AR17">
        <v>-1000</v>
      </c>
      <c r="AS17">
        <v>-1000</v>
      </c>
      <c r="AT17">
        <v>-1000</v>
      </c>
      <c r="AU17">
        <v>-1500</v>
      </c>
      <c r="BH17">
        <v>-500</v>
      </c>
      <c r="BZ17">
        <v>-250</v>
      </c>
      <c r="CB17">
        <v>-500</v>
      </c>
    </row>
    <row r="18" spans="1:93" x14ac:dyDescent="0.35">
      <c r="A18" s="3" t="s">
        <v>311</v>
      </c>
      <c r="M18">
        <v>3381.7</v>
      </c>
      <c r="N18">
        <v>4674.7999999999993</v>
      </c>
      <c r="O18">
        <v>5525.24</v>
      </c>
      <c r="P18">
        <v>4311.7700000000004</v>
      </c>
      <c r="Q18">
        <v>5211.2</v>
      </c>
      <c r="R18">
        <v>4292.8599999999997</v>
      </c>
      <c r="S18">
        <v>4130.95</v>
      </c>
      <c r="T18">
        <v>3546.75</v>
      </c>
      <c r="U18">
        <v>4555.17</v>
      </c>
      <c r="V18">
        <v>4795.42</v>
      </c>
      <c r="W18">
        <v>3546.75</v>
      </c>
      <c r="X18">
        <v>6509.67</v>
      </c>
      <c r="Y18">
        <v>4611.99</v>
      </c>
      <c r="Z18">
        <v>6031.17</v>
      </c>
      <c r="AA18">
        <v>4729.16</v>
      </c>
      <c r="AB18">
        <v>4597.99</v>
      </c>
      <c r="AC18">
        <v>5719.02</v>
      </c>
      <c r="AD18">
        <v>4106.9799999999996</v>
      </c>
      <c r="AE18">
        <v>4106.9799999999996</v>
      </c>
      <c r="AF18">
        <v>3805.8900000000003</v>
      </c>
      <c r="AG18">
        <v>4106.9799999999996</v>
      </c>
      <c r="AH18">
        <v>4106.9799999999996</v>
      </c>
      <c r="AI18">
        <v>6160.4699999999993</v>
      </c>
      <c r="AJ18">
        <v>4106.9799999999996</v>
      </c>
      <c r="AK18">
        <v>4106.9799999999996</v>
      </c>
      <c r="AL18">
        <v>4106.9799999999996</v>
      </c>
      <c r="AM18">
        <v>4106.9799999999996</v>
      </c>
      <c r="AN18">
        <v>4164.5599999999995</v>
      </c>
      <c r="AO18">
        <v>6304.41</v>
      </c>
      <c r="AP18">
        <v>4370.9399999999996</v>
      </c>
      <c r="AQ18">
        <v>4486.5200000000004</v>
      </c>
      <c r="AR18">
        <v>4497.6000000000004</v>
      </c>
      <c r="AS18">
        <v>4366.66</v>
      </c>
      <c r="AT18">
        <v>4286.9399999999996</v>
      </c>
      <c r="AU18">
        <v>6430.41</v>
      </c>
      <c r="AV18">
        <v>4319.82</v>
      </c>
      <c r="AW18">
        <v>4327.4799999999996</v>
      </c>
      <c r="AX18">
        <v>4490.26</v>
      </c>
      <c r="AY18">
        <v>4953.4400000000005</v>
      </c>
      <c r="AZ18">
        <v>6675.77</v>
      </c>
      <c r="BA18">
        <v>4426.96</v>
      </c>
      <c r="BB18">
        <v>4713.96</v>
      </c>
      <c r="BC18">
        <v>4497.13</v>
      </c>
      <c r="BD18">
        <v>4497.1100000000006</v>
      </c>
      <c r="BE18">
        <v>5693.92</v>
      </c>
      <c r="BF18">
        <v>7612.8099999999995</v>
      </c>
      <c r="BG18">
        <v>4508.2299999999996</v>
      </c>
      <c r="BH18">
        <v>4794.3799999999992</v>
      </c>
      <c r="BI18">
        <v>4651.3</v>
      </c>
      <c r="BJ18">
        <v>4567.1100000000006</v>
      </c>
      <c r="BK18">
        <v>4651.29</v>
      </c>
      <c r="BL18">
        <v>7432.23</v>
      </c>
      <c r="BM18">
        <v>4922.51</v>
      </c>
      <c r="BN18">
        <v>4832</v>
      </c>
      <c r="BO18">
        <v>4844.32</v>
      </c>
      <c r="BP18">
        <v>4844.32</v>
      </c>
      <c r="BQ18">
        <v>5443.27</v>
      </c>
      <c r="BR18">
        <v>9798.52</v>
      </c>
      <c r="BS18">
        <v>6565.68</v>
      </c>
      <c r="BT18">
        <v>5265.68</v>
      </c>
      <c r="BU18">
        <v>5465.68</v>
      </c>
      <c r="BV18">
        <v>4697.67</v>
      </c>
      <c r="BW18">
        <v>8046.51</v>
      </c>
      <c r="BX18">
        <v>4697.68</v>
      </c>
      <c r="BY18">
        <v>4697.67</v>
      </c>
      <c r="BZ18">
        <v>6679.09</v>
      </c>
      <c r="CA18">
        <v>4697.68</v>
      </c>
      <c r="CB18">
        <v>4697.67</v>
      </c>
      <c r="CC18">
        <v>7046.52</v>
      </c>
      <c r="CD18">
        <v>5803.83</v>
      </c>
      <c r="CE18">
        <v>5199.9699999999993</v>
      </c>
      <c r="CF18">
        <v>5199.9799999999996</v>
      </c>
      <c r="CG18">
        <v>5199.9799999999996</v>
      </c>
      <c r="CH18">
        <v>5343.98</v>
      </c>
      <c r="CI18">
        <v>8016</v>
      </c>
      <c r="CJ18">
        <v>5688.04</v>
      </c>
      <c r="CK18">
        <v>5730.54</v>
      </c>
      <c r="CL18">
        <v>5730.5400000000009</v>
      </c>
      <c r="CM18">
        <v>5730.54</v>
      </c>
      <c r="CN18">
        <v>8595.81</v>
      </c>
      <c r="CO18">
        <v>2865.27</v>
      </c>
    </row>
    <row r="19" spans="1:93" x14ac:dyDescent="0.35">
      <c r="A19" s="3" t="s">
        <v>3592</v>
      </c>
      <c r="Q19">
        <v>-4.3</v>
      </c>
      <c r="W19">
        <v>-919.79</v>
      </c>
      <c r="AE19">
        <v>-2.99</v>
      </c>
      <c r="AJ19">
        <v>-514.17000000000007</v>
      </c>
      <c r="AP19">
        <v>859.54000000000019</v>
      </c>
      <c r="AQ19">
        <v>-195.78</v>
      </c>
      <c r="AR19">
        <v>-188.83</v>
      </c>
      <c r="AS19">
        <v>3412.26</v>
      </c>
      <c r="AX19">
        <v>326.43</v>
      </c>
      <c r="BI19">
        <v>-745.86</v>
      </c>
      <c r="BJ19">
        <v>-4</v>
      </c>
      <c r="BK19">
        <v>-1573.64</v>
      </c>
      <c r="BL19">
        <v>-770.92</v>
      </c>
      <c r="BN19">
        <v>2635.41</v>
      </c>
      <c r="BS19">
        <v>-567.41999999999996</v>
      </c>
      <c r="BT19">
        <v>-13</v>
      </c>
      <c r="BU19">
        <v>-362.91</v>
      </c>
      <c r="BW19">
        <v>-342.5</v>
      </c>
      <c r="BY19">
        <v>-129.32</v>
      </c>
      <c r="BZ19">
        <v>-325</v>
      </c>
      <c r="CE19">
        <v>-8</v>
      </c>
      <c r="CF19">
        <v>-53.4</v>
      </c>
      <c r="CH19">
        <v>-1.5</v>
      </c>
      <c r="CI19">
        <v>-375.65</v>
      </c>
      <c r="CK19">
        <v>-8.5</v>
      </c>
      <c r="CL19">
        <v>-4.5</v>
      </c>
    </row>
    <row r="20" spans="1:93" x14ac:dyDescent="0.35">
      <c r="A20" s="3" t="s">
        <v>3736</v>
      </c>
      <c r="AU20">
        <v>-23.25</v>
      </c>
    </row>
    <row r="21" spans="1:93" x14ac:dyDescent="0.35">
      <c r="A21" s="3" t="s">
        <v>3585</v>
      </c>
      <c r="N21">
        <v>-289.93</v>
      </c>
      <c r="O21">
        <v>-123.3</v>
      </c>
      <c r="P21">
        <v>-31.2</v>
      </c>
      <c r="Q21">
        <v>-76.650000000000006</v>
      </c>
      <c r="R21">
        <v>-65.25</v>
      </c>
      <c r="S21">
        <v>-296.45</v>
      </c>
      <c r="T21">
        <v>-45.36</v>
      </c>
      <c r="U21">
        <v>-178.98000000000002</v>
      </c>
      <c r="W21">
        <v>-43.9</v>
      </c>
      <c r="X21">
        <v>-44.99</v>
      </c>
      <c r="Z21">
        <v>-76.95</v>
      </c>
      <c r="AA21">
        <v>-282.94</v>
      </c>
      <c r="AB21">
        <v>269.99</v>
      </c>
      <c r="AC21">
        <v>-635.36</v>
      </c>
      <c r="AE21">
        <v>-510.98</v>
      </c>
      <c r="AF21">
        <v>-274.95</v>
      </c>
      <c r="AG21">
        <v>-51.989999999999995</v>
      </c>
      <c r="AI21">
        <v>-67</v>
      </c>
      <c r="AJ21">
        <v>-13.12</v>
      </c>
      <c r="AK21">
        <v>-15</v>
      </c>
      <c r="AO21">
        <v>-139</v>
      </c>
      <c r="AQ21">
        <v>-1687.1000000000001</v>
      </c>
      <c r="AR21">
        <v>-902.49</v>
      </c>
      <c r="AT21">
        <v>-3.2</v>
      </c>
      <c r="AU21">
        <v>-815.94</v>
      </c>
      <c r="AW21">
        <v>-5.95</v>
      </c>
      <c r="AY21">
        <v>-113.93</v>
      </c>
      <c r="AZ21">
        <v>-45.7</v>
      </c>
      <c r="BB21">
        <v>-111.80000000000001</v>
      </c>
      <c r="BC21">
        <v>-307.96999999999997</v>
      </c>
      <c r="BE21">
        <v>-60.1</v>
      </c>
      <c r="BF21">
        <v>-526.48</v>
      </c>
      <c r="BG21">
        <v>-35</v>
      </c>
      <c r="BH21">
        <v>-119.6</v>
      </c>
      <c r="BI21">
        <v>-63.39</v>
      </c>
      <c r="BK21">
        <v>-417</v>
      </c>
      <c r="BL21">
        <v>-169</v>
      </c>
      <c r="BN21">
        <v>-66.38</v>
      </c>
      <c r="BO21">
        <v>-7.82</v>
      </c>
      <c r="BP21">
        <v>-492.07000000000005</v>
      </c>
      <c r="BQ21">
        <v>-26.02</v>
      </c>
      <c r="BS21">
        <v>-134.97999999999999</v>
      </c>
      <c r="BY21">
        <v>-290.04000000000002</v>
      </c>
      <c r="BZ21">
        <v>-418</v>
      </c>
      <c r="CA21">
        <v>-410.92999999999995</v>
      </c>
      <c r="CB21">
        <v>-60.160000000000004</v>
      </c>
      <c r="CC21">
        <v>-14.99</v>
      </c>
      <c r="CD21">
        <v>-78.5</v>
      </c>
      <c r="CE21">
        <v>-216.78000000000003</v>
      </c>
      <c r="CF21">
        <v>-199.92</v>
      </c>
      <c r="CH21">
        <v>-212.2</v>
      </c>
      <c r="CJ21">
        <v>-756.64</v>
      </c>
      <c r="CL21">
        <v>-202.74</v>
      </c>
      <c r="CM21">
        <v>-398.03</v>
      </c>
      <c r="CN21">
        <v>-1073.92</v>
      </c>
      <c r="CO21">
        <v>735.3</v>
      </c>
    </row>
    <row r="22" spans="1:93" x14ac:dyDescent="0.35">
      <c r="A22" s="3" t="s">
        <v>1687</v>
      </c>
      <c r="N22">
        <v>-57.120000000000005</v>
      </c>
      <c r="O22">
        <v>-174.41</v>
      </c>
      <c r="P22">
        <v>-77.080000000000013</v>
      </c>
      <c r="Q22">
        <v>-40.32</v>
      </c>
      <c r="R22">
        <v>-15.54</v>
      </c>
      <c r="S22">
        <v>-48.620000000000005</v>
      </c>
      <c r="T22">
        <v>-30.979999999999997</v>
      </c>
      <c r="V22">
        <v>-29.3</v>
      </c>
      <c r="W22">
        <v>-72.45</v>
      </c>
      <c r="X22">
        <v>-36.65</v>
      </c>
      <c r="Y22">
        <v>-103.33000000000001</v>
      </c>
      <c r="Z22">
        <v>-73.5</v>
      </c>
      <c r="AA22">
        <v>-178.19</v>
      </c>
      <c r="AB22">
        <v>-44</v>
      </c>
      <c r="AD22">
        <v>-91.67</v>
      </c>
      <c r="AE22">
        <v>-26.560000000000002</v>
      </c>
      <c r="AF22">
        <v>-87.110000000000014</v>
      </c>
      <c r="AG22">
        <v>-61.64</v>
      </c>
      <c r="AH22">
        <v>-77.91</v>
      </c>
      <c r="AK22">
        <v>-35.39</v>
      </c>
      <c r="AL22">
        <v>-141.65</v>
      </c>
      <c r="AO22">
        <v>-39.69</v>
      </c>
      <c r="AP22">
        <v>-50.4</v>
      </c>
      <c r="AR22">
        <v>-46.519999999999996</v>
      </c>
      <c r="AU22">
        <v>-32.24</v>
      </c>
      <c r="AW22">
        <v>-14.39</v>
      </c>
      <c r="BB22">
        <v>-60.8</v>
      </c>
      <c r="BE22">
        <v>-49.56</v>
      </c>
      <c r="BF22">
        <v>-1074.97</v>
      </c>
      <c r="BG22">
        <v>-128.75</v>
      </c>
      <c r="BH22">
        <v>-26.25</v>
      </c>
      <c r="BI22">
        <v>-11.65</v>
      </c>
      <c r="BK22">
        <v>-12.18</v>
      </c>
      <c r="BL22">
        <v>-68.680000000000007</v>
      </c>
      <c r="BO22">
        <v>-9.4499999999999993</v>
      </c>
      <c r="BR22">
        <v>-37.49</v>
      </c>
      <c r="BX22">
        <v>-53.17</v>
      </c>
      <c r="BY22">
        <v>-105.83</v>
      </c>
      <c r="CA22">
        <v>-30.58</v>
      </c>
      <c r="CB22">
        <v>-25.64</v>
      </c>
      <c r="CC22">
        <v>-1329.87</v>
      </c>
      <c r="CD22">
        <v>-88.39</v>
      </c>
      <c r="CH22">
        <v>-38.14</v>
      </c>
      <c r="CJ22">
        <v>-94.5</v>
      </c>
    </row>
    <row r="23" spans="1:93" x14ac:dyDescent="0.35">
      <c r="A23" s="3" t="s">
        <v>3595</v>
      </c>
      <c r="N23">
        <v>-107.02</v>
      </c>
      <c r="O23">
        <v>-134.1</v>
      </c>
      <c r="P23">
        <v>-50.99</v>
      </c>
      <c r="S23">
        <v>-82.84</v>
      </c>
      <c r="T23">
        <v>-109.53999999999999</v>
      </c>
      <c r="U23">
        <v>-41.489999999999995</v>
      </c>
      <c r="V23">
        <v>-129.26</v>
      </c>
      <c r="W23">
        <v>-607.11</v>
      </c>
      <c r="X23">
        <v>-154.12</v>
      </c>
      <c r="Y23">
        <v>-260.22000000000003</v>
      </c>
      <c r="Z23">
        <v>-52.92</v>
      </c>
      <c r="AA23">
        <v>-32</v>
      </c>
      <c r="AB23">
        <v>-47</v>
      </c>
      <c r="AC23">
        <v>-36.870000000000005</v>
      </c>
      <c r="AE23">
        <v>-32.9</v>
      </c>
      <c r="AF23">
        <v>-39.69</v>
      </c>
      <c r="AG23">
        <v>-71.319999999999993</v>
      </c>
      <c r="AH23">
        <v>-17.399999999999999</v>
      </c>
      <c r="AI23">
        <v>-707.13000000000011</v>
      </c>
      <c r="AK23">
        <v>-58.04</v>
      </c>
      <c r="AM23">
        <v>-18.41</v>
      </c>
      <c r="AN23">
        <v>-29.14</v>
      </c>
      <c r="AO23">
        <v>-95.87</v>
      </c>
      <c r="AP23">
        <v>-20.68</v>
      </c>
      <c r="AQ23">
        <v>-191.87</v>
      </c>
      <c r="AR23">
        <v>-24</v>
      </c>
      <c r="AS23">
        <v>-39.989999999999995</v>
      </c>
      <c r="AT23">
        <v>-3</v>
      </c>
      <c r="AU23">
        <v>-56.09</v>
      </c>
      <c r="AV23">
        <v>-82.31</v>
      </c>
      <c r="AW23">
        <v>-616.42999999999995</v>
      </c>
      <c r="AX23">
        <v>-649.44999999999993</v>
      </c>
      <c r="AY23">
        <v>-4.5999999999999996</v>
      </c>
      <c r="BA23">
        <v>-75.7</v>
      </c>
      <c r="BB23">
        <v>-162.5</v>
      </c>
      <c r="BC23">
        <v>-41.089999999999996</v>
      </c>
      <c r="BE23">
        <v>-20.170000000000002</v>
      </c>
      <c r="BF23">
        <v>-111.05</v>
      </c>
      <c r="BG23">
        <v>-3.5</v>
      </c>
      <c r="BH23">
        <v>-140.85</v>
      </c>
      <c r="BI23">
        <v>-102.08</v>
      </c>
      <c r="BJ23">
        <v>-8.5</v>
      </c>
      <c r="BK23">
        <v>-1661.28</v>
      </c>
      <c r="BM23">
        <v>-60.05</v>
      </c>
      <c r="BN23">
        <v>-99.39</v>
      </c>
      <c r="BO23">
        <v>-57.2</v>
      </c>
      <c r="BP23">
        <v>-42.63</v>
      </c>
      <c r="BQ23">
        <v>-380.11</v>
      </c>
      <c r="BR23">
        <v>-38.07</v>
      </c>
      <c r="BS23">
        <v>-41.56</v>
      </c>
      <c r="BT23">
        <v>-51.62</v>
      </c>
      <c r="BU23">
        <v>-50.19</v>
      </c>
      <c r="BV23">
        <v>-22.759999999999998</v>
      </c>
      <c r="BW23">
        <v>-803.73</v>
      </c>
      <c r="BX23">
        <v>-100</v>
      </c>
      <c r="BY23">
        <v>-105.99000000000001</v>
      </c>
      <c r="CA23">
        <v>-84.740000000000009</v>
      </c>
      <c r="CB23">
        <v>-109.38</v>
      </c>
      <c r="CC23">
        <v>-70.039999999999992</v>
      </c>
      <c r="CD23">
        <v>-75.990000000000009</v>
      </c>
      <c r="CE23">
        <v>-1216.3400000000001</v>
      </c>
      <c r="CF23">
        <v>-120.57</v>
      </c>
      <c r="CG23">
        <v>-67.81</v>
      </c>
      <c r="CI23">
        <v>-952.57999999999993</v>
      </c>
      <c r="CJ23">
        <v>-902.41000000000008</v>
      </c>
      <c r="CK23">
        <v>-32.17</v>
      </c>
      <c r="CL23">
        <v>-50.19</v>
      </c>
      <c r="CM23">
        <v>-97.75</v>
      </c>
      <c r="CN23">
        <v>-10</v>
      </c>
      <c r="CO23">
        <v>-57.02</v>
      </c>
    </row>
    <row r="24" spans="1:93" x14ac:dyDescent="0.35">
      <c r="A24" s="3" t="s">
        <v>3594</v>
      </c>
      <c r="N24">
        <v>-200</v>
      </c>
      <c r="O24">
        <v>-100</v>
      </c>
      <c r="P24">
        <v>-150</v>
      </c>
      <c r="Q24">
        <v>-100</v>
      </c>
      <c r="R24">
        <v>-158.80000000000001</v>
      </c>
      <c r="S24">
        <v>-120</v>
      </c>
      <c r="T24">
        <v>-158.80000000000001</v>
      </c>
      <c r="U24">
        <v>-100</v>
      </c>
      <c r="V24">
        <v>-150</v>
      </c>
      <c r="W24">
        <v>-150</v>
      </c>
      <c r="X24">
        <v>-100</v>
      </c>
      <c r="Y24">
        <v>-229.5</v>
      </c>
      <c r="Z24">
        <v>-245.35000000000002</v>
      </c>
      <c r="AA24">
        <v>-200</v>
      </c>
      <c r="AB24">
        <v>-160</v>
      </c>
      <c r="AC24">
        <v>-213.87</v>
      </c>
      <c r="AD24">
        <v>-200</v>
      </c>
      <c r="AE24">
        <v>-120</v>
      </c>
      <c r="AF24">
        <v>-160</v>
      </c>
      <c r="AG24">
        <v>-225.15</v>
      </c>
      <c r="AH24">
        <v>-139.75</v>
      </c>
      <c r="AR24">
        <v>-80</v>
      </c>
      <c r="AS24">
        <v>-120</v>
      </c>
      <c r="AT24">
        <v>-80</v>
      </c>
      <c r="AU24">
        <v>-120</v>
      </c>
      <c r="AV24">
        <v>-80</v>
      </c>
      <c r="AW24">
        <v>-40</v>
      </c>
      <c r="BA24">
        <v>-7.76</v>
      </c>
      <c r="BF24">
        <v>-63.970000000000006</v>
      </c>
      <c r="BG24">
        <v>-23.310000000000002</v>
      </c>
      <c r="BH24">
        <v>-43.27</v>
      </c>
      <c r="BI24">
        <v>-55.190000000000005</v>
      </c>
      <c r="BJ24">
        <v>-28.950000000000003</v>
      </c>
      <c r="BK24">
        <v>-83.600000000000009</v>
      </c>
      <c r="BL24">
        <v>-77.2</v>
      </c>
      <c r="BM24">
        <v>-69.78</v>
      </c>
      <c r="BN24">
        <v>-54.26</v>
      </c>
      <c r="BO24">
        <v>-46.199999999999996</v>
      </c>
      <c r="BP24">
        <v>-48.25</v>
      </c>
      <c r="BQ24">
        <v>-130.41000000000003</v>
      </c>
      <c r="BR24">
        <v>-103.93</v>
      </c>
      <c r="BS24">
        <v>-80</v>
      </c>
      <c r="BT24">
        <v>-100</v>
      </c>
      <c r="BU24">
        <v>-43.93</v>
      </c>
      <c r="BV24">
        <v>-60</v>
      </c>
      <c r="BW24">
        <v>-83.93</v>
      </c>
      <c r="BX24">
        <v>-80</v>
      </c>
      <c r="BY24">
        <v>-80</v>
      </c>
      <c r="BZ24">
        <v>-100.6</v>
      </c>
      <c r="CA24">
        <v>-40</v>
      </c>
      <c r="CB24">
        <v>-80</v>
      </c>
      <c r="CC24">
        <v>-80</v>
      </c>
      <c r="CD24">
        <v>-40</v>
      </c>
      <c r="CE24">
        <v>-80</v>
      </c>
      <c r="CF24">
        <v>-80</v>
      </c>
      <c r="CG24">
        <v>-80</v>
      </c>
      <c r="CH24">
        <v>-40</v>
      </c>
      <c r="CI24">
        <v>-363.31</v>
      </c>
      <c r="CJ24">
        <v>-40</v>
      </c>
      <c r="CK24">
        <v>-80</v>
      </c>
      <c r="CL24">
        <v>-40</v>
      </c>
      <c r="CM24">
        <v>-40</v>
      </c>
      <c r="CN24">
        <v>-40</v>
      </c>
      <c r="CO24">
        <v>-40</v>
      </c>
    </row>
    <row r="25" spans="1:93" x14ac:dyDescent="0.35">
      <c r="A25" s="3" t="s">
        <v>3516</v>
      </c>
      <c r="Q25">
        <v>-114.44</v>
      </c>
      <c r="S25">
        <v>-159.46</v>
      </c>
      <c r="X25">
        <v>-232.61</v>
      </c>
      <c r="Z25">
        <v>-215.19</v>
      </c>
      <c r="AA25">
        <v>-171.1</v>
      </c>
      <c r="AE25">
        <v>-179.79</v>
      </c>
      <c r="AF25">
        <v>-180.11</v>
      </c>
      <c r="AG25">
        <v>-186.05</v>
      </c>
      <c r="AH25">
        <v>-172.55</v>
      </c>
      <c r="AI25">
        <v>-185.33</v>
      </c>
      <c r="AJ25">
        <v>-199.41</v>
      </c>
      <c r="AK25">
        <v>-181.02</v>
      </c>
      <c r="AL25">
        <v>-160.46</v>
      </c>
      <c r="AM25">
        <v>-337.7</v>
      </c>
      <c r="AN25">
        <v>-191.63</v>
      </c>
      <c r="AO25">
        <v>-186.15</v>
      </c>
      <c r="AP25">
        <v>-174.2</v>
      </c>
      <c r="AQ25">
        <v>-203.39</v>
      </c>
      <c r="AR25">
        <v>-138.73000000000002</v>
      </c>
      <c r="AS25">
        <v>-138.28</v>
      </c>
      <c r="AT25">
        <v>-348.19</v>
      </c>
      <c r="AV25">
        <v>-187.88</v>
      </c>
      <c r="AW25">
        <v>-201.58</v>
      </c>
      <c r="AX25">
        <v>-61.85</v>
      </c>
      <c r="AY25">
        <v>-86.6</v>
      </c>
      <c r="AZ25">
        <v>-641.85</v>
      </c>
      <c r="BA25">
        <v>-243.67</v>
      </c>
      <c r="BB25">
        <v>-128.16</v>
      </c>
      <c r="BC25">
        <v>-355.61</v>
      </c>
      <c r="BD25">
        <v>-82.17</v>
      </c>
      <c r="BE25">
        <v>-77.540000000000006</v>
      </c>
      <c r="BF25">
        <v>-245.11</v>
      </c>
      <c r="BH25">
        <v>-90</v>
      </c>
      <c r="BI25">
        <v>-176</v>
      </c>
      <c r="BK25">
        <v>-55.53</v>
      </c>
      <c r="CK25">
        <v>-649.16999999999996</v>
      </c>
      <c r="CM25">
        <v>-272.64</v>
      </c>
      <c r="CN25">
        <v>-364.17</v>
      </c>
    </row>
    <row r="26" spans="1:93" x14ac:dyDescent="0.35">
      <c r="A26" s="3" t="s">
        <v>3728</v>
      </c>
      <c r="N26">
        <v>-690</v>
      </c>
      <c r="O26">
        <v>-14</v>
      </c>
      <c r="P26">
        <v>-455</v>
      </c>
      <c r="Q26">
        <v>-274</v>
      </c>
      <c r="R26">
        <v>-260</v>
      </c>
      <c r="S26">
        <v>-350.8</v>
      </c>
      <c r="T26">
        <v>-410.2</v>
      </c>
      <c r="U26">
        <v>-350.8</v>
      </c>
      <c r="V26">
        <v>-370.8</v>
      </c>
      <c r="W26">
        <v>-90.8</v>
      </c>
      <c r="X26">
        <v>-122.80000000000001</v>
      </c>
      <c r="Y26">
        <v>-90.8</v>
      </c>
      <c r="Z26">
        <v>-90.8</v>
      </c>
      <c r="AA26">
        <v>-151.19999999999999</v>
      </c>
      <c r="AC26">
        <v>-15</v>
      </c>
      <c r="AE26">
        <v>-60</v>
      </c>
      <c r="BK26">
        <v>-40.799999999999997</v>
      </c>
      <c r="BP26">
        <v>-20</v>
      </c>
      <c r="BS26">
        <v>-25</v>
      </c>
      <c r="CB26">
        <v>-28.5</v>
      </c>
      <c r="CE26">
        <v>-21</v>
      </c>
      <c r="CH26">
        <v>-76.98</v>
      </c>
      <c r="CI26">
        <v>-84.98</v>
      </c>
      <c r="CJ26">
        <v>-30</v>
      </c>
    </row>
    <row r="27" spans="1:93" x14ac:dyDescent="0.35">
      <c r="A27" s="3" t="s">
        <v>3734</v>
      </c>
      <c r="N27">
        <v>-160.68</v>
      </c>
      <c r="O27">
        <v>-163</v>
      </c>
      <c r="P27">
        <v>-133</v>
      </c>
      <c r="Q27">
        <v>-133</v>
      </c>
      <c r="R27">
        <v>-133</v>
      </c>
      <c r="S27">
        <v>-133</v>
      </c>
      <c r="T27">
        <v>-133</v>
      </c>
      <c r="U27">
        <v>-133</v>
      </c>
      <c r="V27">
        <v>-133.5</v>
      </c>
      <c r="W27">
        <v>-133.5</v>
      </c>
      <c r="X27">
        <v>-134</v>
      </c>
      <c r="Y27">
        <v>-74</v>
      </c>
      <c r="Z27">
        <v>-114.5</v>
      </c>
      <c r="AA27">
        <v>-93</v>
      </c>
      <c r="AB27">
        <v>-93</v>
      </c>
      <c r="AC27">
        <v>-93</v>
      </c>
      <c r="AD27">
        <v>-93</v>
      </c>
      <c r="AE27">
        <v>-93.5</v>
      </c>
      <c r="AF27">
        <v>-93</v>
      </c>
      <c r="AG27">
        <v>-101.43</v>
      </c>
      <c r="AH27">
        <v>-130.1</v>
      </c>
      <c r="AI27">
        <v>-95.5</v>
      </c>
      <c r="AJ27">
        <v>-93</v>
      </c>
      <c r="AK27">
        <v>-93</v>
      </c>
      <c r="AL27">
        <v>-67.259999999999991</v>
      </c>
      <c r="AM27">
        <v>-79.5</v>
      </c>
      <c r="AN27">
        <v>-310</v>
      </c>
      <c r="AO27">
        <v>-79.5</v>
      </c>
      <c r="AP27">
        <v>-79</v>
      </c>
      <c r="AQ27">
        <v>-66.28</v>
      </c>
      <c r="AR27">
        <v>-98.8</v>
      </c>
      <c r="AS27">
        <v>-79.2</v>
      </c>
      <c r="AT27">
        <v>-79</v>
      </c>
      <c r="AU27">
        <v>-79</v>
      </c>
      <c r="AV27">
        <v>-79</v>
      </c>
      <c r="AW27">
        <v>-89</v>
      </c>
      <c r="AX27">
        <v>-132.4</v>
      </c>
      <c r="AY27">
        <v>-114.50999999999999</v>
      </c>
      <c r="AZ27">
        <v>-114.39</v>
      </c>
      <c r="BA27">
        <v>-55.39</v>
      </c>
      <c r="BB27">
        <v>-65.39</v>
      </c>
      <c r="BC27">
        <v>-65</v>
      </c>
      <c r="BD27">
        <v>-55</v>
      </c>
      <c r="BE27">
        <v>-55</v>
      </c>
      <c r="BF27">
        <v>-331</v>
      </c>
      <c r="BG27">
        <v>-124</v>
      </c>
      <c r="BH27">
        <v>-124</v>
      </c>
      <c r="BI27">
        <v>-124</v>
      </c>
      <c r="BJ27">
        <v>-295.66999999999996</v>
      </c>
      <c r="BK27">
        <v>-69</v>
      </c>
      <c r="BL27">
        <v>-69</v>
      </c>
      <c r="BM27">
        <v>-69</v>
      </c>
      <c r="BN27">
        <v>-69</v>
      </c>
      <c r="BO27">
        <v>-69</v>
      </c>
      <c r="BP27">
        <v>-69</v>
      </c>
      <c r="BQ27">
        <v>-108.5</v>
      </c>
      <c r="BR27">
        <v>-69</v>
      </c>
      <c r="BS27">
        <v>-69</v>
      </c>
      <c r="BT27">
        <v>-69</v>
      </c>
      <c r="BU27">
        <v>-69</v>
      </c>
      <c r="BV27">
        <v>-69</v>
      </c>
      <c r="BX27">
        <v>-138</v>
      </c>
      <c r="BY27">
        <v>-108.96</v>
      </c>
      <c r="BZ27">
        <v>-108.5</v>
      </c>
      <c r="CA27">
        <v>-108.5</v>
      </c>
      <c r="CB27">
        <v>-108.5</v>
      </c>
      <c r="CC27">
        <v>-112</v>
      </c>
      <c r="CD27">
        <v>-112</v>
      </c>
      <c r="CE27">
        <v>-58.36</v>
      </c>
      <c r="CF27">
        <v>-131.5</v>
      </c>
      <c r="CG27">
        <v>-113.04</v>
      </c>
      <c r="CH27">
        <v>-123.5</v>
      </c>
      <c r="CI27">
        <v>-120</v>
      </c>
      <c r="CJ27">
        <v>-120</v>
      </c>
      <c r="CK27">
        <v>-120</v>
      </c>
      <c r="CL27">
        <v>-120</v>
      </c>
      <c r="CM27">
        <v>-120</v>
      </c>
      <c r="CN27">
        <v>-120</v>
      </c>
      <c r="CO27">
        <v>-89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C3EE-1E6A-4C34-95B9-12EF5BE4BDC3}">
  <sheetPr codeName="Sheet11">
    <tabColor theme="7" tint="0.79998168889431442"/>
  </sheetPr>
  <dimension ref="A1:E6871"/>
  <sheetViews>
    <sheetView showGridLines="0" tabSelected="1" zoomScaleNormal="100" workbookViewId="0">
      <pane ySplit="1" topLeftCell="A13" activePane="bottomLeft" state="frozen"/>
      <selection activeCell="D1" sqref="D1"/>
      <selection pane="bottomLeft" activeCell="C23" sqref="C23"/>
    </sheetView>
  </sheetViews>
  <sheetFormatPr defaultColWidth="8.81640625" defaultRowHeight="14.5" x14ac:dyDescent="0.35"/>
  <cols>
    <col min="1" max="1" width="32.453125" style="41" customWidth="1"/>
    <col min="2" max="2" width="14.54296875" style="4" customWidth="1"/>
    <col min="3" max="3" width="91.7265625" customWidth="1"/>
    <col min="4" max="5" width="23.81640625" style="15" customWidth="1"/>
    <col min="6" max="6" width="12" bestFit="1" customWidth="1"/>
    <col min="7" max="7" width="17.453125" bestFit="1" customWidth="1"/>
    <col min="8" max="8" width="26.7265625" bestFit="1" customWidth="1"/>
    <col min="9" max="9" width="35" bestFit="1" customWidth="1"/>
    <col min="10" max="10" width="6.453125" bestFit="1" customWidth="1"/>
    <col min="11" max="11" width="8.453125" bestFit="1" customWidth="1"/>
    <col min="12" max="12" width="9.26953125" bestFit="1" customWidth="1"/>
    <col min="13" max="13" width="7.26953125" bestFit="1" customWidth="1"/>
  </cols>
  <sheetData>
    <row r="1" spans="1:5" x14ac:dyDescent="0.35">
      <c r="A1" s="42" t="s">
        <v>309</v>
      </c>
      <c r="B1" s="20" t="s">
        <v>310</v>
      </c>
      <c r="C1" s="16" t="s">
        <v>319</v>
      </c>
      <c r="D1" s="35" t="s">
        <v>697</v>
      </c>
      <c r="E1" s="35" t="s">
        <v>3665</v>
      </c>
    </row>
    <row r="2" spans="1:5" x14ac:dyDescent="0.35">
      <c r="A2" s="40">
        <v>45967</v>
      </c>
      <c r="B2" s="38">
        <v>-38.25</v>
      </c>
      <c r="C2" s="13" t="s">
        <v>3670</v>
      </c>
      <c r="D2" s="36">
        <v>4068.78</v>
      </c>
      <c r="E2" s="43" t="s">
        <v>3596</v>
      </c>
    </row>
    <row r="3" spans="1:5" x14ac:dyDescent="0.35">
      <c r="A3" s="40">
        <v>45967</v>
      </c>
      <c r="B3" s="38">
        <v>-8.6999999999999993</v>
      </c>
      <c r="C3" s="13" t="s">
        <v>3730</v>
      </c>
      <c r="D3" s="36">
        <v>4107.03</v>
      </c>
      <c r="E3" s="43" t="s">
        <v>3596</v>
      </c>
    </row>
    <row r="4" spans="1:5" x14ac:dyDescent="0.35">
      <c r="A4" s="40">
        <v>45967</v>
      </c>
      <c r="B4" s="38">
        <v>-11.18</v>
      </c>
      <c r="C4" s="13" t="s">
        <v>4476</v>
      </c>
      <c r="D4" s="36">
        <v>4115.7299999999996</v>
      </c>
      <c r="E4" s="43" t="s">
        <v>3596</v>
      </c>
    </row>
    <row r="5" spans="1:5" x14ac:dyDescent="0.35">
      <c r="A5" s="40">
        <v>45967</v>
      </c>
      <c r="B5" s="38">
        <v>-682.83</v>
      </c>
      <c r="C5" s="13" t="s">
        <v>3668</v>
      </c>
      <c r="D5" s="36">
        <v>4126.91</v>
      </c>
      <c r="E5" s="43" t="s">
        <v>3596</v>
      </c>
    </row>
    <row r="6" spans="1:5" x14ac:dyDescent="0.35">
      <c r="A6" s="40">
        <v>45967</v>
      </c>
      <c r="B6" s="38">
        <v>3031.07</v>
      </c>
      <c r="C6" s="13" t="s">
        <v>4664</v>
      </c>
      <c r="D6" s="36">
        <v>4809.74</v>
      </c>
      <c r="E6" s="43" t="s">
        <v>3596</v>
      </c>
    </row>
    <row r="7" spans="1:5" x14ac:dyDescent="0.35">
      <c r="A7" s="40">
        <v>45966</v>
      </c>
      <c r="B7" s="38">
        <v>-106.16</v>
      </c>
      <c r="C7" s="13" t="s">
        <v>4665</v>
      </c>
      <c r="D7" s="36">
        <v>1778.67</v>
      </c>
      <c r="E7" s="43" t="s">
        <v>3596</v>
      </c>
    </row>
    <row r="8" spans="1:5" x14ac:dyDescent="0.35">
      <c r="A8" s="40">
        <v>45965</v>
      </c>
      <c r="B8" s="38">
        <v>-34.82</v>
      </c>
      <c r="C8" s="13" t="s">
        <v>4666</v>
      </c>
      <c r="D8" s="36">
        <v>1884.83</v>
      </c>
      <c r="E8" s="43" t="s">
        <v>3596</v>
      </c>
    </row>
    <row r="9" spans="1:5" x14ac:dyDescent="0.35">
      <c r="A9" s="40">
        <v>45965</v>
      </c>
      <c r="B9" s="38">
        <v>-0.59</v>
      </c>
      <c r="C9" s="13" t="s">
        <v>4667</v>
      </c>
      <c r="D9" s="36">
        <v>1919.65</v>
      </c>
      <c r="E9" s="43" t="s">
        <v>3596</v>
      </c>
    </row>
    <row r="10" spans="1:5" x14ac:dyDescent="0.35">
      <c r="A10" s="40">
        <v>45965</v>
      </c>
      <c r="B10" s="38">
        <v>-16.84</v>
      </c>
      <c r="C10" s="13" t="s">
        <v>4668</v>
      </c>
      <c r="D10" s="36">
        <v>1920.24</v>
      </c>
      <c r="E10" s="43" t="s">
        <v>3596</v>
      </c>
    </row>
    <row r="11" spans="1:5" x14ac:dyDescent="0.35">
      <c r="A11" s="40">
        <v>45965</v>
      </c>
      <c r="B11" s="38">
        <v>-16.5</v>
      </c>
      <c r="C11" s="13" t="s">
        <v>3334</v>
      </c>
      <c r="D11" s="36">
        <v>1937.08</v>
      </c>
      <c r="E11" s="43" t="s">
        <v>3596</v>
      </c>
    </row>
    <row r="12" spans="1:5" x14ac:dyDescent="0.35">
      <c r="A12" s="40">
        <v>45963</v>
      </c>
      <c r="B12" s="38">
        <v>-70</v>
      </c>
      <c r="C12" s="13" t="s">
        <v>4669</v>
      </c>
      <c r="D12" s="36">
        <v>1953.58</v>
      </c>
      <c r="E12" s="43" t="s">
        <v>3596</v>
      </c>
    </row>
    <row r="13" spans="1:5" x14ac:dyDescent="0.35">
      <c r="A13" s="40">
        <v>45963</v>
      </c>
      <c r="B13" s="38">
        <v>70</v>
      </c>
      <c r="C13" s="13" t="s">
        <v>4670</v>
      </c>
      <c r="D13" s="36">
        <v>2023.58</v>
      </c>
      <c r="E13" s="43" t="s">
        <v>3596</v>
      </c>
    </row>
    <row r="14" spans="1:5" x14ac:dyDescent="0.35">
      <c r="A14" s="40">
        <v>45962</v>
      </c>
      <c r="B14" s="38">
        <v>-200</v>
      </c>
      <c r="C14" s="13" t="s">
        <v>4671</v>
      </c>
      <c r="D14" s="36">
        <v>1953.58</v>
      </c>
      <c r="E14" s="43" t="s">
        <v>3596</v>
      </c>
    </row>
    <row r="15" spans="1:5" x14ac:dyDescent="0.35">
      <c r="A15" s="40">
        <v>45961</v>
      </c>
      <c r="B15" s="38">
        <v>-29.71</v>
      </c>
      <c r="C15" s="13" t="s">
        <v>4672</v>
      </c>
      <c r="D15" s="36">
        <v>2153.58</v>
      </c>
      <c r="E15" s="43" t="s">
        <v>3596</v>
      </c>
    </row>
    <row r="16" spans="1:5" x14ac:dyDescent="0.35">
      <c r="A16" s="40">
        <v>45961</v>
      </c>
      <c r="B16" s="38">
        <v>-16.7</v>
      </c>
      <c r="C16" s="13" t="s">
        <v>4673</v>
      </c>
      <c r="D16" s="36">
        <v>2183.29</v>
      </c>
      <c r="E16" s="43" t="s">
        <v>3596</v>
      </c>
    </row>
    <row r="17" spans="1:5" x14ac:dyDescent="0.35">
      <c r="A17" s="40">
        <v>45961</v>
      </c>
      <c r="B17" s="38">
        <v>-1000</v>
      </c>
      <c r="C17" s="13" t="s">
        <v>4674</v>
      </c>
      <c r="D17" s="36">
        <v>2199.9899999999998</v>
      </c>
      <c r="E17" s="43" t="s">
        <v>3596</v>
      </c>
    </row>
    <row r="18" spans="1:5" x14ac:dyDescent="0.35">
      <c r="A18" s="40">
        <v>45961</v>
      </c>
      <c r="B18" s="38">
        <v>-12</v>
      </c>
      <c r="C18" s="13" t="s">
        <v>4675</v>
      </c>
      <c r="D18" s="36">
        <v>3199.99</v>
      </c>
      <c r="E18" s="43" t="s">
        <v>3596</v>
      </c>
    </row>
    <row r="19" spans="1:5" x14ac:dyDescent="0.35">
      <c r="A19" s="40">
        <v>45960</v>
      </c>
      <c r="B19" s="38">
        <v>-59.76</v>
      </c>
      <c r="C19" s="13" t="s">
        <v>4676</v>
      </c>
      <c r="D19" s="36">
        <v>3211.99</v>
      </c>
      <c r="E19" s="43" t="s">
        <v>3596</v>
      </c>
    </row>
    <row r="20" spans="1:5" x14ac:dyDescent="0.35">
      <c r="A20" s="40">
        <v>45959</v>
      </c>
      <c r="B20" s="38">
        <v>-17.41</v>
      </c>
      <c r="C20" s="13" t="s">
        <v>4677</v>
      </c>
      <c r="D20" s="36">
        <v>3271.75</v>
      </c>
      <c r="E20" s="43" t="s">
        <v>3596</v>
      </c>
    </row>
    <row r="21" spans="1:5" x14ac:dyDescent="0.35">
      <c r="A21" s="40">
        <v>45959</v>
      </c>
      <c r="B21" s="38">
        <v>-17.41</v>
      </c>
      <c r="C21" s="13" t="s">
        <v>4677</v>
      </c>
      <c r="D21" s="36">
        <v>3289.16</v>
      </c>
      <c r="E21" s="43" t="s">
        <v>3596</v>
      </c>
    </row>
    <row r="22" spans="1:5" x14ac:dyDescent="0.35">
      <c r="A22" s="40">
        <v>45958</v>
      </c>
      <c r="B22" s="38">
        <v>-5.35</v>
      </c>
      <c r="C22" s="13" t="s">
        <v>4476</v>
      </c>
      <c r="D22" s="36">
        <v>3306.57</v>
      </c>
      <c r="E22" s="43" t="s">
        <v>3596</v>
      </c>
    </row>
    <row r="23" spans="1:5" x14ac:dyDescent="0.35">
      <c r="A23" s="40">
        <v>45958</v>
      </c>
      <c r="B23" s="38">
        <v>-61.7</v>
      </c>
      <c r="C23" s="13" t="s">
        <v>4678</v>
      </c>
      <c r="D23" s="36">
        <v>3311.92</v>
      </c>
      <c r="E23" s="43" t="s">
        <v>3596</v>
      </c>
    </row>
    <row r="24" spans="1:5" x14ac:dyDescent="0.35">
      <c r="A24" s="40">
        <v>45955</v>
      </c>
      <c r="B24" s="38">
        <v>-1.78</v>
      </c>
      <c r="C24" s="13" t="s">
        <v>4476</v>
      </c>
      <c r="D24" s="36">
        <v>3373.62</v>
      </c>
      <c r="E24" s="43" t="s">
        <v>3596</v>
      </c>
    </row>
    <row r="25" spans="1:5" x14ac:dyDescent="0.35">
      <c r="A25" s="40">
        <v>45955</v>
      </c>
      <c r="B25" s="38">
        <v>-47</v>
      </c>
      <c r="C25" s="13" t="s">
        <v>4679</v>
      </c>
      <c r="D25" s="36">
        <v>3375.4</v>
      </c>
      <c r="E25" s="43" t="s">
        <v>3596</v>
      </c>
    </row>
    <row r="26" spans="1:5" x14ac:dyDescent="0.35">
      <c r="A26" s="40">
        <v>45955</v>
      </c>
      <c r="B26" s="38">
        <v>-40</v>
      </c>
      <c r="C26" s="13" t="s">
        <v>4680</v>
      </c>
      <c r="D26" s="36">
        <v>3422.4</v>
      </c>
      <c r="E26" s="43" t="s">
        <v>3596</v>
      </c>
    </row>
    <row r="27" spans="1:5" x14ac:dyDescent="0.35">
      <c r="A27" s="40">
        <v>45954</v>
      </c>
      <c r="B27" s="38">
        <v>-13.97</v>
      </c>
      <c r="C27" s="13" t="s">
        <v>4681</v>
      </c>
      <c r="D27" s="36">
        <v>3462.4</v>
      </c>
      <c r="E27" s="43" t="s">
        <v>3596</v>
      </c>
    </row>
    <row r="28" spans="1:5" x14ac:dyDescent="0.35">
      <c r="A28" s="40">
        <v>45953</v>
      </c>
      <c r="B28" s="38">
        <v>-38.25</v>
      </c>
      <c r="C28" s="13" t="s">
        <v>3670</v>
      </c>
      <c r="D28" s="36">
        <v>3476.37</v>
      </c>
      <c r="E28" s="43" t="s">
        <v>3596</v>
      </c>
    </row>
    <row r="29" spans="1:5" x14ac:dyDescent="0.35">
      <c r="A29" s="40">
        <v>45953</v>
      </c>
      <c r="B29" s="38">
        <v>-38.01</v>
      </c>
      <c r="C29" s="13" t="s">
        <v>4497</v>
      </c>
      <c r="D29" s="36">
        <v>3514.62</v>
      </c>
      <c r="E29" s="43" t="s">
        <v>3596</v>
      </c>
    </row>
    <row r="30" spans="1:5" x14ac:dyDescent="0.35">
      <c r="A30" s="40">
        <v>45953</v>
      </c>
      <c r="B30" s="38">
        <v>-682.83</v>
      </c>
      <c r="C30" s="13" t="s">
        <v>3668</v>
      </c>
      <c r="D30" s="36">
        <v>3552.63</v>
      </c>
      <c r="E30" s="43" t="s">
        <v>3596</v>
      </c>
    </row>
    <row r="31" spans="1:5" x14ac:dyDescent="0.35">
      <c r="A31" s="40">
        <v>45953</v>
      </c>
      <c r="B31" s="38">
        <v>3031.07</v>
      </c>
      <c r="C31" s="13" t="s">
        <v>4682</v>
      </c>
      <c r="D31" s="36">
        <v>4235.46</v>
      </c>
      <c r="E31" s="43" t="s">
        <v>3596</v>
      </c>
    </row>
    <row r="32" spans="1:5" x14ac:dyDescent="0.35">
      <c r="A32" s="40">
        <v>45951</v>
      </c>
      <c r="B32" s="38">
        <v>-115</v>
      </c>
      <c r="C32" s="13" t="s">
        <v>4683</v>
      </c>
      <c r="D32" s="36">
        <v>1204.3900000000001</v>
      </c>
      <c r="E32" s="43" t="s">
        <v>3596</v>
      </c>
    </row>
    <row r="33" spans="1:5" x14ac:dyDescent="0.35">
      <c r="A33" s="40">
        <v>45951</v>
      </c>
      <c r="B33" s="38">
        <v>-39.99</v>
      </c>
      <c r="C33" s="13" t="s">
        <v>4684</v>
      </c>
      <c r="D33" s="36">
        <v>1319.39</v>
      </c>
      <c r="E33" s="43" t="s">
        <v>3596</v>
      </c>
    </row>
    <row r="34" spans="1:5" x14ac:dyDescent="0.35">
      <c r="A34" s="40">
        <v>45951</v>
      </c>
      <c r="B34" s="38">
        <v>-145.75</v>
      </c>
      <c r="C34" s="13" t="s">
        <v>4480</v>
      </c>
      <c r="D34" s="36">
        <v>1359.38</v>
      </c>
      <c r="E34" s="43" t="s">
        <v>3596</v>
      </c>
    </row>
    <row r="35" spans="1:5" x14ac:dyDescent="0.35">
      <c r="A35" s="40">
        <v>45948</v>
      </c>
      <c r="B35" s="38">
        <v>-3.18</v>
      </c>
      <c r="C35" s="13" t="s">
        <v>4491</v>
      </c>
      <c r="D35" s="36">
        <v>1505.13</v>
      </c>
      <c r="E35" s="43" t="s">
        <v>3596</v>
      </c>
    </row>
    <row r="36" spans="1:5" x14ac:dyDescent="0.35">
      <c r="A36" s="40">
        <v>45944</v>
      </c>
      <c r="B36" s="38">
        <v>-119</v>
      </c>
      <c r="C36" s="13" t="s">
        <v>4685</v>
      </c>
      <c r="D36" s="36">
        <v>1508.31</v>
      </c>
      <c r="E36" s="43" t="s">
        <v>3596</v>
      </c>
    </row>
    <row r="37" spans="1:5" x14ac:dyDescent="0.35">
      <c r="A37" s="40">
        <v>45944</v>
      </c>
      <c r="B37" s="38">
        <v>-1.19</v>
      </c>
      <c r="C37" s="13" t="s">
        <v>4686</v>
      </c>
      <c r="D37" s="36">
        <v>1627.31</v>
      </c>
      <c r="E37" s="43" t="s">
        <v>3596</v>
      </c>
    </row>
    <row r="38" spans="1:5" x14ac:dyDescent="0.35">
      <c r="A38" s="40">
        <v>45944</v>
      </c>
      <c r="B38" s="38">
        <v>-33.94</v>
      </c>
      <c r="C38" s="13" t="s">
        <v>4687</v>
      </c>
      <c r="D38" s="36">
        <v>1628.5</v>
      </c>
      <c r="E38" s="43" t="s">
        <v>3596</v>
      </c>
    </row>
    <row r="39" spans="1:5" x14ac:dyDescent="0.35">
      <c r="A39" s="40">
        <v>45943</v>
      </c>
      <c r="B39" s="38">
        <v>-1000</v>
      </c>
      <c r="C39" s="13" t="s">
        <v>4688</v>
      </c>
      <c r="D39" s="36">
        <v>1662.44</v>
      </c>
      <c r="E39" s="43" t="s">
        <v>3596</v>
      </c>
    </row>
    <row r="40" spans="1:5" x14ac:dyDescent="0.35">
      <c r="A40" s="40">
        <v>45942</v>
      </c>
      <c r="B40" s="38">
        <v>-14</v>
      </c>
      <c r="C40" s="13" t="s">
        <v>4689</v>
      </c>
      <c r="D40" s="36">
        <v>2662.44</v>
      </c>
      <c r="E40" s="43" t="s">
        <v>3596</v>
      </c>
    </row>
    <row r="41" spans="1:5" x14ac:dyDescent="0.35">
      <c r="A41" s="40">
        <v>45942</v>
      </c>
      <c r="B41" s="38">
        <v>-33.54</v>
      </c>
      <c r="C41" s="13" t="s">
        <v>4476</v>
      </c>
      <c r="D41" s="36">
        <v>2676.44</v>
      </c>
      <c r="E41" s="43" t="s">
        <v>3596</v>
      </c>
    </row>
    <row r="42" spans="1:5" x14ac:dyDescent="0.35">
      <c r="A42" s="40">
        <v>45942</v>
      </c>
      <c r="B42" s="38">
        <v>-8</v>
      </c>
      <c r="C42" s="13" t="s">
        <v>3730</v>
      </c>
      <c r="D42" s="36">
        <v>2709.98</v>
      </c>
      <c r="E42" s="43" t="s">
        <v>3596</v>
      </c>
    </row>
    <row r="43" spans="1:5" x14ac:dyDescent="0.35">
      <c r="A43" s="40">
        <v>45941</v>
      </c>
      <c r="B43" s="38">
        <v>-68</v>
      </c>
      <c r="C43" s="13" t="s">
        <v>4690</v>
      </c>
      <c r="D43" s="36">
        <v>2717.98</v>
      </c>
      <c r="E43" s="43" t="s">
        <v>3596</v>
      </c>
    </row>
    <row r="44" spans="1:5" x14ac:dyDescent="0.35">
      <c r="A44" s="40">
        <v>45941</v>
      </c>
      <c r="B44" s="38">
        <v>-9.58</v>
      </c>
      <c r="C44" s="13" t="s">
        <v>4691</v>
      </c>
      <c r="D44" s="36">
        <v>2785.98</v>
      </c>
      <c r="E44" s="43" t="s">
        <v>3596</v>
      </c>
    </row>
    <row r="45" spans="1:5" x14ac:dyDescent="0.35">
      <c r="A45" s="40">
        <v>45939</v>
      </c>
      <c r="B45" s="38">
        <v>-38.25</v>
      </c>
      <c r="C45" s="13" t="s">
        <v>3670</v>
      </c>
      <c r="D45" s="36">
        <v>2795.56</v>
      </c>
      <c r="E45" s="43" t="s">
        <v>3596</v>
      </c>
    </row>
    <row r="46" spans="1:5" x14ac:dyDescent="0.35">
      <c r="A46" s="40">
        <v>45939</v>
      </c>
      <c r="B46" s="38">
        <v>-16</v>
      </c>
      <c r="C46" s="13" t="s">
        <v>4692</v>
      </c>
      <c r="D46" s="36">
        <v>2833.81</v>
      </c>
      <c r="E46" s="43" t="s">
        <v>3596</v>
      </c>
    </row>
    <row r="47" spans="1:5" x14ac:dyDescent="0.35">
      <c r="A47" s="40">
        <v>45939</v>
      </c>
      <c r="B47" s="38">
        <v>-682.83</v>
      </c>
      <c r="C47" s="13" t="s">
        <v>3668</v>
      </c>
      <c r="D47" s="36">
        <v>2849.81</v>
      </c>
      <c r="E47" s="43" t="s">
        <v>3596</v>
      </c>
    </row>
    <row r="48" spans="1:5" x14ac:dyDescent="0.35">
      <c r="A48" s="40">
        <v>45939</v>
      </c>
      <c r="B48" s="38">
        <v>3031.07</v>
      </c>
      <c r="C48" s="13" t="s">
        <v>4693</v>
      </c>
      <c r="D48" s="36">
        <v>3532.64</v>
      </c>
      <c r="E48" s="43" t="s">
        <v>3596</v>
      </c>
    </row>
    <row r="49" spans="1:5" x14ac:dyDescent="0.35">
      <c r="A49" s="40">
        <v>45938</v>
      </c>
      <c r="B49" s="38">
        <v>-648.73</v>
      </c>
      <c r="C49" s="13" t="s">
        <v>4694</v>
      </c>
      <c r="D49" s="36">
        <v>501.57</v>
      </c>
      <c r="E49" s="43" t="s">
        <v>3596</v>
      </c>
    </row>
    <row r="50" spans="1:5" x14ac:dyDescent="0.35">
      <c r="A50" s="40">
        <v>45937</v>
      </c>
      <c r="B50" s="38">
        <v>-67.900000000000006</v>
      </c>
      <c r="C50" s="13" t="s">
        <v>4695</v>
      </c>
      <c r="D50" s="36">
        <v>1150.3</v>
      </c>
      <c r="E50" s="43" t="s">
        <v>3596</v>
      </c>
    </row>
    <row r="51" spans="1:5" x14ac:dyDescent="0.35">
      <c r="A51" s="40">
        <v>45935</v>
      </c>
      <c r="B51" s="38">
        <v>-168</v>
      </c>
      <c r="C51" s="13" t="s">
        <v>4696</v>
      </c>
      <c r="D51" s="36">
        <v>1218.2</v>
      </c>
      <c r="E51" s="43" t="s">
        <v>3596</v>
      </c>
    </row>
    <row r="52" spans="1:5" x14ac:dyDescent="0.35">
      <c r="A52" s="40">
        <v>45932</v>
      </c>
      <c r="B52" s="38">
        <v>-18</v>
      </c>
      <c r="C52" s="13" t="s">
        <v>4697</v>
      </c>
      <c r="D52" s="36">
        <v>1386.2</v>
      </c>
      <c r="E52" s="43" t="s">
        <v>3596</v>
      </c>
    </row>
    <row r="53" spans="1:5" x14ac:dyDescent="0.35">
      <c r="A53" s="40">
        <v>45932</v>
      </c>
      <c r="B53" s="38">
        <v>-16.7</v>
      </c>
      <c r="C53" s="13" t="s">
        <v>4698</v>
      </c>
      <c r="D53" s="36">
        <v>1404.2</v>
      </c>
      <c r="E53" s="43" t="s">
        <v>3596</v>
      </c>
    </row>
    <row r="54" spans="1:5" x14ac:dyDescent="0.35">
      <c r="A54" s="40">
        <v>45931</v>
      </c>
      <c r="B54" s="38">
        <v>-0.01</v>
      </c>
      <c r="C54" s="13" t="s">
        <v>1873</v>
      </c>
      <c r="D54" s="36">
        <v>1420.9</v>
      </c>
      <c r="E54" s="43" t="s">
        <v>3596</v>
      </c>
    </row>
    <row r="55" spans="1:5" x14ac:dyDescent="0.35">
      <c r="A55" s="40">
        <v>45930</v>
      </c>
      <c r="B55" s="38">
        <v>-19</v>
      </c>
      <c r="C55" s="13" t="s">
        <v>4699</v>
      </c>
      <c r="D55" s="36">
        <v>1420.91</v>
      </c>
      <c r="E55" s="43" t="s">
        <v>3596</v>
      </c>
    </row>
    <row r="56" spans="1:5" x14ac:dyDescent="0.35">
      <c r="A56" s="40">
        <v>45930</v>
      </c>
      <c r="B56" s="38">
        <v>-9.99</v>
      </c>
      <c r="C56" s="13" t="s">
        <v>4700</v>
      </c>
      <c r="D56" s="36">
        <v>1439.91</v>
      </c>
      <c r="E56" s="43" t="s">
        <v>3596</v>
      </c>
    </row>
    <row r="57" spans="1:5" x14ac:dyDescent="0.35">
      <c r="A57" s="40">
        <v>45927</v>
      </c>
      <c r="B57" s="38">
        <v>-2000</v>
      </c>
      <c r="C57" s="13" t="s">
        <v>4614</v>
      </c>
      <c r="D57" s="36">
        <v>1449.9</v>
      </c>
      <c r="E57" s="43" t="s">
        <v>3596</v>
      </c>
    </row>
    <row r="58" spans="1:5" x14ac:dyDescent="0.35">
      <c r="A58" s="40">
        <v>45927</v>
      </c>
      <c r="B58" s="38">
        <v>-40</v>
      </c>
      <c r="C58" s="13" t="s">
        <v>4701</v>
      </c>
      <c r="D58" s="36">
        <v>3449.9</v>
      </c>
      <c r="E58" s="43" t="s">
        <v>3596</v>
      </c>
    </row>
    <row r="59" spans="1:5" x14ac:dyDescent="0.35">
      <c r="A59" s="40">
        <v>45926</v>
      </c>
      <c r="B59" s="38">
        <v>-77.650000000000006</v>
      </c>
      <c r="C59" s="13" t="s">
        <v>4553</v>
      </c>
      <c r="D59" s="36">
        <v>3489.9</v>
      </c>
      <c r="E59" s="43" t="s">
        <v>3596</v>
      </c>
    </row>
    <row r="60" spans="1:5" x14ac:dyDescent="0.35">
      <c r="A60" s="40">
        <v>45926</v>
      </c>
      <c r="B60" s="38">
        <v>-0.59</v>
      </c>
      <c r="C60" s="13" t="s">
        <v>4702</v>
      </c>
      <c r="D60" s="36">
        <v>3567.55</v>
      </c>
      <c r="E60" s="43" t="s">
        <v>3596</v>
      </c>
    </row>
    <row r="61" spans="1:5" x14ac:dyDescent="0.35">
      <c r="A61" s="40">
        <v>45926</v>
      </c>
      <c r="B61" s="38">
        <v>-16.72</v>
      </c>
      <c r="C61" s="13" t="s">
        <v>4703</v>
      </c>
      <c r="D61" s="36">
        <v>3568.14</v>
      </c>
      <c r="E61" s="43" t="s">
        <v>3596</v>
      </c>
    </row>
    <row r="62" spans="1:5" x14ac:dyDescent="0.35">
      <c r="A62" s="40">
        <v>45926</v>
      </c>
      <c r="B62" s="38">
        <v>-74.3</v>
      </c>
      <c r="C62" s="13" t="s">
        <v>4704</v>
      </c>
      <c r="D62" s="36">
        <v>3584.86</v>
      </c>
      <c r="E62" s="43" t="s">
        <v>3596</v>
      </c>
    </row>
    <row r="63" spans="1:5" x14ac:dyDescent="0.35">
      <c r="A63" s="40">
        <v>45925</v>
      </c>
      <c r="B63" s="38">
        <v>-38.25</v>
      </c>
      <c r="C63" s="13" t="s">
        <v>3670</v>
      </c>
      <c r="D63" s="36">
        <v>3659.16</v>
      </c>
      <c r="E63" s="43" t="s">
        <v>3596</v>
      </c>
    </row>
    <row r="64" spans="1:5" x14ac:dyDescent="0.35">
      <c r="A64" s="40">
        <v>45925</v>
      </c>
      <c r="B64" s="38">
        <v>-16</v>
      </c>
      <c r="C64" s="13" t="s">
        <v>3334</v>
      </c>
      <c r="D64" s="36">
        <v>3697.41</v>
      </c>
      <c r="E64" s="43" t="s">
        <v>3596</v>
      </c>
    </row>
    <row r="65" spans="1:5" x14ac:dyDescent="0.35">
      <c r="A65" s="40">
        <v>45925</v>
      </c>
      <c r="B65" s="38">
        <v>-41.8</v>
      </c>
      <c r="C65" s="13" t="s">
        <v>4705</v>
      </c>
      <c r="D65" s="36">
        <v>3713.41</v>
      </c>
      <c r="E65" s="43" t="s">
        <v>3596</v>
      </c>
    </row>
    <row r="66" spans="1:5" x14ac:dyDescent="0.35">
      <c r="A66" s="40">
        <v>45925</v>
      </c>
      <c r="B66" s="38">
        <v>-47</v>
      </c>
      <c r="C66" s="13" t="s">
        <v>4706</v>
      </c>
      <c r="D66" s="36">
        <v>3755.21</v>
      </c>
      <c r="E66" s="43" t="s">
        <v>3596</v>
      </c>
    </row>
    <row r="67" spans="1:5" x14ac:dyDescent="0.35">
      <c r="A67" s="40">
        <v>45925</v>
      </c>
      <c r="B67" s="38">
        <v>-682.83</v>
      </c>
      <c r="C67" s="13" t="s">
        <v>3668</v>
      </c>
      <c r="D67" s="36">
        <v>3802.21</v>
      </c>
      <c r="E67" s="43" t="s">
        <v>3596</v>
      </c>
    </row>
    <row r="68" spans="1:5" x14ac:dyDescent="0.35">
      <c r="A68" s="40">
        <v>45925</v>
      </c>
      <c r="B68" s="38">
        <v>3031.06</v>
      </c>
      <c r="C68" s="13" t="s">
        <v>4116</v>
      </c>
      <c r="D68" s="36">
        <v>4485.04</v>
      </c>
      <c r="E68" s="43" t="s">
        <v>3596</v>
      </c>
    </row>
    <row r="69" spans="1:5" x14ac:dyDescent="0.35">
      <c r="A69" s="40">
        <v>45924</v>
      </c>
      <c r="B69" s="38">
        <v>-16.100000000000001</v>
      </c>
      <c r="C69" s="13" t="s">
        <v>4497</v>
      </c>
      <c r="D69" s="36">
        <v>1453.98</v>
      </c>
      <c r="E69" s="43" t="s">
        <v>3596</v>
      </c>
    </row>
    <row r="70" spans="1:5" x14ac:dyDescent="0.35">
      <c r="A70" s="40">
        <v>45923</v>
      </c>
      <c r="B70" s="38">
        <v>-16.010000000000002</v>
      </c>
      <c r="C70" s="13" t="s">
        <v>4476</v>
      </c>
      <c r="D70" s="36">
        <v>1470.08</v>
      </c>
      <c r="E70" s="43" t="s">
        <v>3596</v>
      </c>
    </row>
    <row r="71" spans="1:5" x14ac:dyDescent="0.35">
      <c r="A71" s="40">
        <v>45923</v>
      </c>
      <c r="B71" s="38">
        <v>-22.33</v>
      </c>
      <c r="C71" s="13" t="s">
        <v>4644</v>
      </c>
      <c r="D71" s="36">
        <v>1486.09</v>
      </c>
      <c r="E71" s="43" t="s">
        <v>3596</v>
      </c>
    </row>
    <row r="72" spans="1:5" x14ac:dyDescent="0.35">
      <c r="A72" s="40">
        <v>45923</v>
      </c>
      <c r="B72" s="38">
        <v>-11.17</v>
      </c>
      <c r="C72" s="13" t="s">
        <v>4645</v>
      </c>
      <c r="D72" s="36">
        <v>1508.42</v>
      </c>
      <c r="E72" s="43" t="s">
        <v>3596</v>
      </c>
    </row>
    <row r="73" spans="1:5" x14ac:dyDescent="0.35">
      <c r="A73" s="40">
        <v>45923</v>
      </c>
      <c r="B73" s="38">
        <v>-45.68</v>
      </c>
      <c r="C73" s="13" t="s">
        <v>4645</v>
      </c>
      <c r="D73" s="36">
        <v>1519.59</v>
      </c>
      <c r="E73" s="43" t="s">
        <v>3596</v>
      </c>
    </row>
    <row r="74" spans="1:5" x14ac:dyDescent="0.35">
      <c r="A74" s="40">
        <v>45923</v>
      </c>
      <c r="B74" s="38">
        <v>-71.56</v>
      </c>
      <c r="C74" s="13" t="s">
        <v>4646</v>
      </c>
      <c r="D74" s="36">
        <v>1565.27</v>
      </c>
      <c r="E74" s="43" t="s">
        <v>3596</v>
      </c>
    </row>
    <row r="75" spans="1:5" x14ac:dyDescent="0.35">
      <c r="A75" s="40">
        <v>45923</v>
      </c>
      <c r="B75" s="38">
        <v>-21.2</v>
      </c>
      <c r="C75" s="13" t="s">
        <v>4647</v>
      </c>
      <c r="D75" s="36">
        <v>1636.83</v>
      </c>
      <c r="E75" s="43" t="s">
        <v>3596</v>
      </c>
    </row>
    <row r="76" spans="1:5" x14ac:dyDescent="0.35">
      <c r="A76" s="40">
        <v>45923</v>
      </c>
      <c r="B76" s="38">
        <v>-20.2</v>
      </c>
      <c r="C76" s="13" t="s">
        <v>4647</v>
      </c>
      <c r="D76" s="36">
        <v>1658.03</v>
      </c>
      <c r="E76" s="43" t="s">
        <v>3596</v>
      </c>
    </row>
    <row r="77" spans="1:5" x14ac:dyDescent="0.35">
      <c r="A77" s="40">
        <v>45921</v>
      </c>
      <c r="B77" s="38">
        <v>25</v>
      </c>
      <c r="C77" s="13" t="s">
        <v>4648</v>
      </c>
      <c r="D77" s="36">
        <v>1678.23</v>
      </c>
      <c r="E77" s="43" t="s">
        <v>3596</v>
      </c>
    </row>
    <row r="78" spans="1:5" x14ac:dyDescent="0.35">
      <c r="A78" s="40">
        <v>45920</v>
      </c>
      <c r="B78" s="38">
        <v>-79.989999999999995</v>
      </c>
      <c r="C78" s="13" t="s">
        <v>3737</v>
      </c>
      <c r="D78" s="36">
        <v>1653.23</v>
      </c>
      <c r="E78" s="43" t="s">
        <v>3596</v>
      </c>
    </row>
    <row r="79" spans="1:5" x14ac:dyDescent="0.35">
      <c r="A79" s="40">
        <v>45920</v>
      </c>
      <c r="B79" s="38">
        <v>-13.6</v>
      </c>
      <c r="C79" s="13" t="s">
        <v>3739</v>
      </c>
      <c r="D79" s="36">
        <v>1733.22</v>
      </c>
      <c r="E79" s="43" t="s">
        <v>3596</v>
      </c>
    </row>
    <row r="80" spans="1:5" x14ac:dyDescent="0.35">
      <c r="A80" s="40">
        <v>45920</v>
      </c>
      <c r="B80" s="38">
        <v>-141</v>
      </c>
      <c r="C80" s="13" t="s">
        <v>3732</v>
      </c>
      <c r="D80" s="36">
        <v>1746.82</v>
      </c>
      <c r="E80" s="43" t="s">
        <v>3596</v>
      </c>
    </row>
    <row r="81" spans="1:5" x14ac:dyDescent="0.35">
      <c r="A81" s="40">
        <v>45918</v>
      </c>
      <c r="B81" s="38">
        <v>-145.75</v>
      </c>
      <c r="C81" s="13" t="s">
        <v>4649</v>
      </c>
      <c r="D81" s="36">
        <v>1887.82</v>
      </c>
      <c r="E81" s="43" t="s">
        <v>3596</v>
      </c>
    </row>
    <row r="82" spans="1:5" x14ac:dyDescent="0.35">
      <c r="A82" s="40">
        <v>45918</v>
      </c>
      <c r="B82" s="38">
        <v>-5.88</v>
      </c>
      <c r="C82" s="13" t="s">
        <v>4650</v>
      </c>
      <c r="D82" s="36">
        <v>2033.57</v>
      </c>
      <c r="E82" s="43" t="s">
        <v>3596</v>
      </c>
    </row>
    <row r="83" spans="1:5" x14ac:dyDescent="0.35">
      <c r="A83" s="40">
        <v>45917</v>
      </c>
      <c r="B83" s="38">
        <v>-22.17</v>
      </c>
      <c r="C83" s="13" t="s">
        <v>3730</v>
      </c>
      <c r="D83" s="36">
        <v>2039.45</v>
      </c>
      <c r="E83" s="43" t="s">
        <v>3596</v>
      </c>
    </row>
    <row r="84" spans="1:5" x14ac:dyDescent="0.35">
      <c r="A84" s="40">
        <v>45917</v>
      </c>
      <c r="B84" s="38">
        <v>-40</v>
      </c>
      <c r="C84" s="13" t="s">
        <v>4651</v>
      </c>
      <c r="D84" s="36">
        <v>2061.62</v>
      </c>
      <c r="E84" s="43" t="s">
        <v>3596</v>
      </c>
    </row>
    <row r="85" spans="1:5" x14ac:dyDescent="0.35">
      <c r="A85" s="40">
        <v>45916</v>
      </c>
      <c r="B85" s="38">
        <v>-7.27</v>
      </c>
      <c r="C85" s="13" t="s">
        <v>3739</v>
      </c>
      <c r="D85" s="36">
        <v>2101.62</v>
      </c>
      <c r="E85" s="43" t="s">
        <v>3596</v>
      </c>
    </row>
    <row r="86" spans="1:5" x14ac:dyDescent="0.35">
      <c r="A86" s="40">
        <v>45916</v>
      </c>
      <c r="B86" s="38">
        <v>-16.100000000000001</v>
      </c>
      <c r="C86" s="13" t="s">
        <v>4497</v>
      </c>
      <c r="D86" s="36">
        <v>2108.89</v>
      </c>
      <c r="E86" s="43" t="s">
        <v>3596</v>
      </c>
    </row>
    <row r="87" spans="1:5" x14ac:dyDescent="0.35">
      <c r="A87" s="40">
        <v>45916</v>
      </c>
      <c r="B87" s="38">
        <v>-26.5</v>
      </c>
      <c r="C87" s="13" t="s">
        <v>4652</v>
      </c>
      <c r="D87" s="36">
        <v>2124.9899999999998</v>
      </c>
      <c r="E87" s="43" t="s">
        <v>3596</v>
      </c>
    </row>
    <row r="88" spans="1:5" x14ac:dyDescent="0.35">
      <c r="A88" s="40">
        <v>45913</v>
      </c>
      <c r="B88" s="38">
        <v>-36.64</v>
      </c>
      <c r="C88" s="13" t="s">
        <v>4653</v>
      </c>
      <c r="D88" s="36">
        <v>2151.4899999999998</v>
      </c>
      <c r="E88" s="43" t="s">
        <v>3596</v>
      </c>
    </row>
    <row r="89" spans="1:5" x14ac:dyDescent="0.35">
      <c r="A89" s="40">
        <v>45913</v>
      </c>
      <c r="B89" s="38">
        <v>-1.17</v>
      </c>
      <c r="C89" s="13" t="s">
        <v>4654</v>
      </c>
      <c r="D89" s="36">
        <v>2188.13</v>
      </c>
      <c r="E89" s="43" t="s">
        <v>3596</v>
      </c>
    </row>
    <row r="90" spans="1:5" x14ac:dyDescent="0.35">
      <c r="A90" s="40">
        <v>45913</v>
      </c>
      <c r="B90" s="38">
        <v>-33.44</v>
      </c>
      <c r="C90" s="13" t="s">
        <v>4655</v>
      </c>
      <c r="D90" s="36">
        <v>2189.3000000000002</v>
      </c>
      <c r="E90" s="43" t="s">
        <v>3596</v>
      </c>
    </row>
    <row r="91" spans="1:5" x14ac:dyDescent="0.35">
      <c r="A91" s="40">
        <v>45911</v>
      </c>
      <c r="B91" s="38">
        <v>-43.97</v>
      </c>
      <c r="C91" s="13" t="s">
        <v>4656</v>
      </c>
      <c r="D91" s="36">
        <v>2222.7399999999998</v>
      </c>
      <c r="E91" s="43" t="s">
        <v>3596</v>
      </c>
    </row>
    <row r="92" spans="1:5" x14ac:dyDescent="0.35">
      <c r="A92" s="40">
        <v>45911</v>
      </c>
      <c r="B92" s="38">
        <v>-38.25</v>
      </c>
      <c r="C92" s="13" t="s">
        <v>3670</v>
      </c>
      <c r="D92" s="36">
        <v>2266.71</v>
      </c>
      <c r="E92" s="43" t="s">
        <v>3596</v>
      </c>
    </row>
    <row r="93" spans="1:5" x14ac:dyDescent="0.35">
      <c r="A93" s="40">
        <v>45911</v>
      </c>
      <c r="B93" s="38">
        <v>-15</v>
      </c>
      <c r="C93" s="13" t="s">
        <v>4657</v>
      </c>
      <c r="D93" s="36">
        <v>2304.96</v>
      </c>
      <c r="E93" s="43" t="s">
        <v>3596</v>
      </c>
    </row>
    <row r="94" spans="1:5" x14ac:dyDescent="0.35">
      <c r="A94" s="40">
        <v>45911</v>
      </c>
      <c r="B94" s="38">
        <v>-682.83</v>
      </c>
      <c r="C94" s="13" t="s">
        <v>3668</v>
      </c>
      <c r="D94" s="36">
        <v>2319.96</v>
      </c>
      <c r="E94" s="43" t="s">
        <v>3596</v>
      </c>
    </row>
    <row r="95" spans="1:5" x14ac:dyDescent="0.35">
      <c r="A95" s="40">
        <v>45911</v>
      </c>
      <c r="B95" s="38">
        <v>3017.98</v>
      </c>
      <c r="C95" s="13" t="s">
        <v>4658</v>
      </c>
      <c r="D95" s="36">
        <v>3002.79</v>
      </c>
      <c r="E95" s="43" t="s">
        <v>3596</v>
      </c>
    </row>
    <row r="96" spans="1:5" x14ac:dyDescent="0.35">
      <c r="A96" s="40">
        <v>45910</v>
      </c>
      <c r="B96" s="38">
        <v>-19.100000000000001</v>
      </c>
      <c r="C96" s="13" t="s">
        <v>3739</v>
      </c>
      <c r="D96" s="36">
        <v>-15.19</v>
      </c>
      <c r="E96" s="43" t="s">
        <v>3596</v>
      </c>
    </row>
    <row r="97" spans="1:5" x14ac:dyDescent="0.35">
      <c r="A97" s="40">
        <v>45909</v>
      </c>
      <c r="B97" s="38">
        <v>-18.78</v>
      </c>
      <c r="C97" s="13" t="s">
        <v>4476</v>
      </c>
      <c r="D97" s="36">
        <v>3.91</v>
      </c>
      <c r="E97" s="43" t="s">
        <v>3596</v>
      </c>
    </row>
    <row r="98" spans="1:5" x14ac:dyDescent="0.35">
      <c r="A98" s="40">
        <v>45909</v>
      </c>
      <c r="B98" s="38">
        <v>-23.14</v>
      </c>
      <c r="C98" s="13" t="s">
        <v>4497</v>
      </c>
      <c r="D98" s="36">
        <v>22.69</v>
      </c>
      <c r="E98" s="43" t="s">
        <v>3596</v>
      </c>
    </row>
    <row r="99" spans="1:5" x14ac:dyDescent="0.35">
      <c r="A99" s="40">
        <v>45909</v>
      </c>
      <c r="B99" s="38">
        <v>-75.180000000000007</v>
      </c>
      <c r="C99" s="13" t="s">
        <v>4659</v>
      </c>
      <c r="D99" s="36">
        <v>45.83</v>
      </c>
      <c r="E99" s="43" t="s">
        <v>3596</v>
      </c>
    </row>
    <row r="100" spans="1:5" x14ac:dyDescent="0.35">
      <c r="A100" s="40">
        <v>45909</v>
      </c>
      <c r="B100" s="38">
        <v>-93</v>
      </c>
      <c r="C100" s="13" t="s">
        <v>4660</v>
      </c>
      <c r="D100" s="36">
        <v>121.01</v>
      </c>
      <c r="E100" s="43" t="s">
        <v>3596</v>
      </c>
    </row>
    <row r="101" spans="1:5" x14ac:dyDescent="0.35">
      <c r="A101" s="40">
        <v>45908</v>
      </c>
      <c r="B101" s="38">
        <v>-10.199999999999999</v>
      </c>
      <c r="C101" s="13" t="s">
        <v>3739</v>
      </c>
      <c r="D101" s="36">
        <v>214.01</v>
      </c>
      <c r="E101" s="43" t="s">
        <v>3596</v>
      </c>
    </row>
    <row r="102" spans="1:5" x14ac:dyDescent="0.35">
      <c r="A102" s="40">
        <v>45905</v>
      </c>
      <c r="B102" s="38">
        <v>-15</v>
      </c>
      <c r="C102" s="13" t="s">
        <v>4661</v>
      </c>
      <c r="D102" s="36">
        <v>224.21</v>
      </c>
      <c r="E102" s="43" t="s">
        <v>3596</v>
      </c>
    </row>
    <row r="103" spans="1:5" x14ac:dyDescent="0.35">
      <c r="A103" s="40">
        <v>45902</v>
      </c>
      <c r="B103" s="38">
        <v>-17.82</v>
      </c>
      <c r="C103" s="13" t="s">
        <v>4662</v>
      </c>
      <c r="D103" s="36">
        <v>239.21</v>
      </c>
      <c r="E103" s="43" t="s">
        <v>3596</v>
      </c>
    </row>
    <row r="104" spans="1:5" x14ac:dyDescent="0.35">
      <c r="A104" s="40">
        <v>45902</v>
      </c>
      <c r="B104" s="38">
        <v>-67.48</v>
      </c>
      <c r="C104" s="13" t="s">
        <v>4663</v>
      </c>
      <c r="D104" s="36">
        <v>257.02999999999997</v>
      </c>
      <c r="E104" s="43" t="s">
        <v>3596</v>
      </c>
    </row>
    <row r="105" spans="1:5" x14ac:dyDescent="0.35">
      <c r="A105" s="40">
        <v>45899</v>
      </c>
      <c r="B105" s="38">
        <v>-18.100000000000001</v>
      </c>
      <c r="C105" s="13" t="s">
        <v>1584</v>
      </c>
      <c r="D105" s="36">
        <v>324.51</v>
      </c>
      <c r="E105" s="43" t="s">
        <v>3596</v>
      </c>
    </row>
    <row r="106" spans="1:5" x14ac:dyDescent="0.35">
      <c r="A106" s="40">
        <v>45898</v>
      </c>
      <c r="B106" s="38">
        <v>-34.39</v>
      </c>
      <c r="C106" s="13" t="s">
        <v>4636</v>
      </c>
      <c r="D106" s="36">
        <v>342.61</v>
      </c>
      <c r="E106" s="43" t="s">
        <v>3596</v>
      </c>
    </row>
    <row r="107" spans="1:5" x14ac:dyDescent="0.35">
      <c r="A107" s="40">
        <v>45898</v>
      </c>
      <c r="B107" s="38">
        <v>-110</v>
      </c>
      <c r="C107" s="13" t="s">
        <v>4637</v>
      </c>
      <c r="D107" s="36">
        <v>377</v>
      </c>
      <c r="E107" s="43" t="s">
        <v>3596</v>
      </c>
    </row>
    <row r="108" spans="1:5" x14ac:dyDescent="0.35">
      <c r="A108" s="40">
        <v>45897</v>
      </c>
      <c r="B108" s="38">
        <v>-38.25</v>
      </c>
      <c r="C108" s="13" t="s">
        <v>3670</v>
      </c>
      <c r="D108" s="36">
        <v>487</v>
      </c>
      <c r="E108" s="43" t="s">
        <v>3596</v>
      </c>
    </row>
    <row r="109" spans="1:5" x14ac:dyDescent="0.35">
      <c r="A109" s="40">
        <v>45897</v>
      </c>
      <c r="B109" s="38">
        <v>-3500</v>
      </c>
      <c r="C109" s="13" t="s">
        <v>4614</v>
      </c>
      <c r="D109" s="36">
        <v>525.25</v>
      </c>
      <c r="E109" s="43" t="s">
        <v>3596</v>
      </c>
    </row>
    <row r="110" spans="1:5" x14ac:dyDescent="0.35">
      <c r="A110" s="40">
        <v>45897</v>
      </c>
      <c r="B110" s="38">
        <v>-40</v>
      </c>
      <c r="C110" s="13" t="s">
        <v>4638</v>
      </c>
      <c r="D110" s="36">
        <v>4025.25</v>
      </c>
      <c r="E110" s="43" t="s">
        <v>3596</v>
      </c>
    </row>
    <row r="111" spans="1:5" x14ac:dyDescent="0.35">
      <c r="A111" s="40">
        <v>45897</v>
      </c>
      <c r="B111" s="38">
        <v>-682.83</v>
      </c>
      <c r="C111" s="13" t="s">
        <v>3668</v>
      </c>
      <c r="D111" s="36">
        <v>4065.25</v>
      </c>
      <c r="E111" s="43" t="s">
        <v>3596</v>
      </c>
    </row>
    <row r="112" spans="1:5" x14ac:dyDescent="0.35">
      <c r="A112" s="40">
        <v>45897</v>
      </c>
      <c r="B112" s="38">
        <v>2959.64</v>
      </c>
      <c r="C112" s="13" t="s">
        <v>4639</v>
      </c>
      <c r="D112" s="36">
        <v>4748.08</v>
      </c>
      <c r="E112" s="43" t="s">
        <v>3596</v>
      </c>
    </row>
    <row r="113" spans="1:5" x14ac:dyDescent="0.35">
      <c r="A113" s="40">
        <v>45896</v>
      </c>
      <c r="B113" s="38">
        <v>120</v>
      </c>
      <c r="C113" s="13" t="s">
        <v>4640</v>
      </c>
      <c r="D113" s="36">
        <v>1788.44</v>
      </c>
      <c r="E113" s="43" t="s">
        <v>3596</v>
      </c>
    </row>
    <row r="114" spans="1:5" x14ac:dyDescent="0.35">
      <c r="A114" s="40">
        <v>45896</v>
      </c>
      <c r="B114" s="38">
        <v>-5.5</v>
      </c>
      <c r="C114" s="13" t="s">
        <v>3739</v>
      </c>
      <c r="D114" s="36">
        <v>1668.44</v>
      </c>
      <c r="E114" s="43" t="s">
        <v>3596</v>
      </c>
    </row>
    <row r="115" spans="1:5" x14ac:dyDescent="0.35">
      <c r="A115" s="40">
        <v>45895</v>
      </c>
      <c r="B115" s="38">
        <v>-2000</v>
      </c>
      <c r="C115" s="13" t="s">
        <v>4614</v>
      </c>
      <c r="D115" s="36">
        <v>1673.94</v>
      </c>
      <c r="E115" s="43" t="s">
        <v>3596</v>
      </c>
    </row>
    <row r="116" spans="1:5" x14ac:dyDescent="0.35">
      <c r="A116" s="40">
        <v>45895</v>
      </c>
      <c r="B116" s="38">
        <v>-16</v>
      </c>
      <c r="C116" s="13" t="s">
        <v>3334</v>
      </c>
      <c r="D116" s="36">
        <v>3673.94</v>
      </c>
      <c r="E116" s="43" t="s">
        <v>3596</v>
      </c>
    </row>
    <row r="117" spans="1:5" x14ac:dyDescent="0.35">
      <c r="A117" s="40">
        <v>45895</v>
      </c>
      <c r="B117" s="38">
        <v>-65</v>
      </c>
      <c r="C117" s="13" t="s">
        <v>4641</v>
      </c>
      <c r="D117" s="36">
        <v>3689.94</v>
      </c>
      <c r="E117" s="43" t="s">
        <v>3596</v>
      </c>
    </row>
    <row r="118" spans="1:5" x14ac:dyDescent="0.35">
      <c r="A118" s="40">
        <v>45895</v>
      </c>
      <c r="B118" s="38">
        <v>-17.53</v>
      </c>
      <c r="C118" s="13" t="s">
        <v>4642</v>
      </c>
      <c r="D118" s="36">
        <v>3754.94</v>
      </c>
      <c r="E118" s="43" t="s">
        <v>3596</v>
      </c>
    </row>
    <row r="119" spans="1:5" x14ac:dyDescent="0.35">
      <c r="A119" s="40">
        <v>45894</v>
      </c>
      <c r="B119" s="38">
        <v>-100</v>
      </c>
      <c r="C119" s="13" t="s">
        <v>3738</v>
      </c>
      <c r="D119" s="36">
        <v>3772.47</v>
      </c>
      <c r="E119" s="43" t="s">
        <v>3596</v>
      </c>
    </row>
    <row r="120" spans="1:5" x14ac:dyDescent="0.35">
      <c r="A120" s="40">
        <v>45893</v>
      </c>
      <c r="B120" s="38">
        <v>-19.66</v>
      </c>
      <c r="C120" s="13" t="s">
        <v>4643</v>
      </c>
      <c r="D120" s="36">
        <v>3872.47</v>
      </c>
      <c r="E120" s="43" t="s">
        <v>3596</v>
      </c>
    </row>
    <row r="121" spans="1:5" x14ac:dyDescent="0.35">
      <c r="A121" s="40">
        <v>45893</v>
      </c>
      <c r="B121" s="38">
        <v>-11.2</v>
      </c>
      <c r="C121" s="13" t="s">
        <v>2532</v>
      </c>
      <c r="D121" s="36">
        <v>3892.13</v>
      </c>
      <c r="E121" s="43" t="s">
        <v>3596</v>
      </c>
    </row>
    <row r="122" spans="1:5" x14ac:dyDescent="0.35">
      <c r="A122" s="40">
        <v>45889</v>
      </c>
      <c r="B122" s="38">
        <v>-36.659999999999997</v>
      </c>
      <c r="C122" s="13" t="s">
        <v>4476</v>
      </c>
      <c r="D122" s="36">
        <v>3903.33</v>
      </c>
      <c r="E122" s="43" t="s">
        <v>3596</v>
      </c>
    </row>
    <row r="123" spans="1:5" x14ac:dyDescent="0.35">
      <c r="A123" s="40">
        <v>45889</v>
      </c>
      <c r="B123" s="38">
        <v>-7.95</v>
      </c>
      <c r="C123" s="13" t="s">
        <v>3730</v>
      </c>
      <c r="D123" s="36">
        <v>3939.99</v>
      </c>
      <c r="E123" s="43" t="s">
        <v>3596</v>
      </c>
    </row>
    <row r="124" spans="1:5" x14ac:dyDescent="0.35">
      <c r="A124" s="40">
        <v>45888</v>
      </c>
      <c r="B124" s="38">
        <v>-55.78</v>
      </c>
      <c r="C124" s="13" t="s">
        <v>4477</v>
      </c>
      <c r="D124" s="36">
        <v>3947.94</v>
      </c>
      <c r="E124" s="43" t="s">
        <v>3596</v>
      </c>
    </row>
    <row r="125" spans="1:5" x14ac:dyDescent="0.35">
      <c r="A125" s="40">
        <v>45888</v>
      </c>
      <c r="B125" s="38">
        <v>-776.93</v>
      </c>
      <c r="C125" s="13" t="s">
        <v>4478</v>
      </c>
      <c r="D125" s="36">
        <v>4003.72</v>
      </c>
      <c r="E125" s="43" t="s">
        <v>3596</v>
      </c>
    </row>
    <row r="126" spans="1:5" x14ac:dyDescent="0.35">
      <c r="A126" s="40">
        <v>45888</v>
      </c>
      <c r="B126" s="38">
        <v>-50.18</v>
      </c>
      <c r="C126" s="13" t="s">
        <v>4479</v>
      </c>
      <c r="D126" s="36">
        <v>4780.6499999999996</v>
      </c>
      <c r="E126" s="43" t="s">
        <v>3596</v>
      </c>
    </row>
    <row r="127" spans="1:5" x14ac:dyDescent="0.35">
      <c r="A127" s="40">
        <v>45888</v>
      </c>
      <c r="B127" s="38">
        <v>-145.75</v>
      </c>
      <c r="C127" s="13" t="s">
        <v>4480</v>
      </c>
      <c r="D127" s="36">
        <v>4830.83</v>
      </c>
      <c r="E127" s="43" t="s">
        <v>3596</v>
      </c>
    </row>
    <row r="128" spans="1:5" x14ac:dyDescent="0.35">
      <c r="A128" s="40">
        <v>45885</v>
      </c>
      <c r="B128" s="38">
        <v>-395</v>
      </c>
      <c r="C128" s="13" t="s">
        <v>4481</v>
      </c>
      <c r="D128" s="36">
        <v>4976.58</v>
      </c>
      <c r="E128" s="43" t="s">
        <v>3596</v>
      </c>
    </row>
    <row r="129" spans="1:5" x14ac:dyDescent="0.35">
      <c r="A129" s="40">
        <v>45885</v>
      </c>
      <c r="B129" s="38">
        <v>-60.84</v>
      </c>
      <c r="C129" s="13" t="s">
        <v>4482</v>
      </c>
      <c r="D129" s="36">
        <v>5371.58</v>
      </c>
      <c r="E129" s="43" t="s">
        <v>3596</v>
      </c>
    </row>
    <row r="130" spans="1:5" x14ac:dyDescent="0.35">
      <c r="A130" s="40">
        <v>45883</v>
      </c>
      <c r="B130" s="38">
        <v>-38.25</v>
      </c>
      <c r="C130" s="13" t="s">
        <v>3670</v>
      </c>
      <c r="D130" s="36">
        <v>5432.42</v>
      </c>
      <c r="E130" s="43" t="s">
        <v>3596</v>
      </c>
    </row>
    <row r="131" spans="1:5" x14ac:dyDescent="0.35">
      <c r="A131" s="40">
        <v>45883</v>
      </c>
      <c r="B131" s="38">
        <v>-1324</v>
      </c>
      <c r="C131" s="13" t="s">
        <v>4483</v>
      </c>
      <c r="D131" s="36">
        <v>5470.67</v>
      </c>
      <c r="E131" s="43" t="s">
        <v>3596</v>
      </c>
    </row>
    <row r="132" spans="1:5" x14ac:dyDescent="0.35">
      <c r="A132" s="40">
        <v>45883</v>
      </c>
      <c r="B132" s="38">
        <v>-84.43</v>
      </c>
      <c r="C132" s="13" t="s">
        <v>4484</v>
      </c>
      <c r="D132" s="36">
        <v>6794.67</v>
      </c>
      <c r="E132" s="43" t="s">
        <v>3596</v>
      </c>
    </row>
    <row r="133" spans="1:5" x14ac:dyDescent="0.35">
      <c r="A133" s="40">
        <v>45883</v>
      </c>
      <c r="B133" s="38">
        <v>-682.83</v>
      </c>
      <c r="C133" s="13" t="s">
        <v>3668</v>
      </c>
      <c r="D133" s="36">
        <v>6879.1</v>
      </c>
      <c r="E133" s="43" t="s">
        <v>3596</v>
      </c>
    </row>
    <row r="134" spans="1:5" x14ac:dyDescent="0.35">
      <c r="A134" s="40">
        <v>45883</v>
      </c>
      <c r="B134" s="38">
        <v>2959.65</v>
      </c>
      <c r="C134" s="13" t="s">
        <v>4485</v>
      </c>
      <c r="D134" s="36">
        <v>7561.93</v>
      </c>
      <c r="E134" s="43" t="s">
        <v>3596</v>
      </c>
    </row>
    <row r="135" spans="1:5" x14ac:dyDescent="0.35">
      <c r="A135" s="40">
        <v>45882</v>
      </c>
      <c r="B135" s="38">
        <v>-1.19</v>
      </c>
      <c r="C135" s="13" t="s">
        <v>4486</v>
      </c>
      <c r="D135" s="36">
        <v>4602.28</v>
      </c>
      <c r="E135" s="43" t="s">
        <v>3596</v>
      </c>
    </row>
    <row r="136" spans="1:5" x14ac:dyDescent="0.35">
      <c r="A136" s="40">
        <v>45882</v>
      </c>
      <c r="B136" s="38">
        <v>-33.880000000000003</v>
      </c>
      <c r="C136" s="13" t="s">
        <v>4487</v>
      </c>
      <c r="D136" s="36">
        <v>4603.47</v>
      </c>
      <c r="E136" s="43" t="s">
        <v>3596</v>
      </c>
    </row>
    <row r="137" spans="1:5" x14ac:dyDescent="0.35">
      <c r="A137" s="40">
        <v>45881</v>
      </c>
      <c r="B137" s="38">
        <v>-16.5</v>
      </c>
      <c r="C137" s="13" t="s">
        <v>3334</v>
      </c>
      <c r="D137" s="36">
        <v>4637.3500000000004</v>
      </c>
      <c r="E137" s="43" t="s">
        <v>3596</v>
      </c>
    </row>
    <row r="138" spans="1:5" x14ac:dyDescent="0.35">
      <c r="A138" s="40">
        <v>45879</v>
      </c>
      <c r="B138" s="38">
        <v>-100</v>
      </c>
      <c r="C138" s="13" t="s">
        <v>3738</v>
      </c>
      <c r="D138" s="36">
        <v>4653.8500000000004</v>
      </c>
      <c r="E138" s="43" t="s">
        <v>3596</v>
      </c>
    </row>
    <row r="139" spans="1:5" x14ac:dyDescent="0.35">
      <c r="A139" s="40">
        <v>45878</v>
      </c>
      <c r="B139" s="38">
        <v>-700</v>
      </c>
      <c r="C139" s="13" t="s">
        <v>4488</v>
      </c>
      <c r="D139" s="36">
        <v>4753.8500000000004</v>
      </c>
      <c r="E139" s="43" t="s">
        <v>3596</v>
      </c>
    </row>
    <row r="140" spans="1:5" x14ac:dyDescent="0.35">
      <c r="A140" s="40">
        <v>45878</v>
      </c>
      <c r="B140" s="38">
        <v>-30000</v>
      </c>
      <c r="C140" s="13" t="s">
        <v>4489</v>
      </c>
      <c r="D140" s="36">
        <v>5453.85</v>
      </c>
      <c r="E140" s="43" t="s">
        <v>3596</v>
      </c>
    </row>
    <row r="141" spans="1:5" x14ac:dyDescent="0.35">
      <c r="A141" s="40">
        <v>45878</v>
      </c>
      <c r="B141" s="38">
        <v>-83</v>
      </c>
      <c r="C141" s="13" t="s">
        <v>4490</v>
      </c>
      <c r="D141" s="36">
        <v>35453.85</v>
      </c>
      <c r="E141" s="43" t="s">
        <v>3596</v>
      </c>
    </row>
    <row r="142" spans="1:5" x14ac:dyDescent="0.35">
      <c r="A142" s="40">
        <v>45875</v>
      </c>
      <c r="B142" s="38">
        <v>-52.13</v>
      </c>
      <c r="C142" s="13" t="s">
        <v>4491</v>
      </c>
      <c r="D142" s="36">
        <v>35536.85</v>
      </c>
      <c r="E142" s="43" t="s">
        <v>3596</v>
      </c>
    </row>
    <row r="143" spans="1:5" x14ac:dyDescent="0.35">
      <c r="A143" s="40">
        <v>45874</v>
      </c>
      <c r="B143" s="38">
        <v>-16.5</v>
      </c>
      <c r="C143" s="13" t="s">
        <v>3733</v>
      </c>
      <c r="D143" s="36">
        <v>35588.980000000003</v>
      </c>
      <c r="E143" s="43" t="s">
        <v>3596</v>
      </c>
    </row>
    <row r="144" spans="1:5" x14ac:dyDescent="0.35">
      <c r="A144" s="40">
        <v>45874</v>
      </c>
      <c r="B144" s="38">
        <v>-16</v>
      </c>
      <c r="C144" s="13" t="s">
        <v>3334</v>
      </c>
      <c r="D144" s="36">
        <v>35605.480000000003</v>
      </c>
      <c r="E144" s="43" t="s">
        <v>3596</v>
      </c>
    </row>
    <row r="145" spans="1:5" x14ac:dyDescent="0.35">
      <c r="A145" s="40">
        <v>45872</v>
      </c>
      <c r="B145" s="38">
        <v>30000</v>
      </c>
      <c r="C145" s="13" t="s">
        <v>4492</v>
      </c>
      <c r="D145" s="36">
        <v>35621.480000000003</v>
      </c>
      <c r="E145" s="43" t="s">
        <v>3596</v>
      </c>
    </row>
    <row r="146" spans="1:5" x14ac:dyDescent="0.35">
      <c r="A146" s="40">
        <v>45871</v>
      </c>
      <c r="B146" s="38">
        <v>-159.99</v>
      </c>
      <c r="C146" s="13" t="s">
        <v>3737</v>
      </c>
      <c r="D146" s="36">
        <v>5621.48</v>
      </c>
      <c r="E146" s="43" t="s">
        <v>3596</v>
      </c>
    </row>
    <row r="147" spans="1:5" x14ac:dyDescent="0.35">
      <c r="A147" s="40">
        <v>45870</v>
      </c>
      <c r="B147" s="38">
        <v>-19.7</v>
      </c>
      <c r="C147" s="13" t="s">
        <v>4493</v>
      </c>
      <c r="D147" s="36">
        <v>5781.47</v>
      </c>
      <c r="E147" s="43" t="s">
        <v>3596</v>
      </c>
    </row>
    <row r="148" spans="1:5" x14ac:dyDescent="0.35">
      <c r="A148" s="40">
        <v>45870</v>
      </c>
      <c r="B148" s="38">
        <v>-10.57</v>
      </c>
      <c r="C148" s="13" t="s">
        <v>4494</v>
      </c>
      <c r="D148" s="36">
        <v>5801.17</v>
      </c>
      <c r="E148" s="43" t="s">
        <v>3596</v>
      </c>
    </row>
    <row r="149" spans="1:5" x14ac:dyDescent="0.35">
      <c r="A149" s="40">
        <v>45869</v>
      </c>
      <c r="B149" s="38">
        <v>-38.25</v>
      </c>
      <c r="C149" s="13" t="s">
        <v>3670</v>
      </c>
      <c r="D149" s="36">
        <v>5811.74</v>
      </c>
      <c r="E149" s="43" t="s">
        <v>3596</v>
      </c>
    </row>
    <row r="150" spans="1:5" x14ac:dyDescent="0.35">
      <c r="A150" s="40">
        <v>45869</v>
      </c>
      <c r="B150" s="38">
        <v>-5.8</v>
      </c>
      <c r="C150" s="13" t="s">
        <v>3730</v>
      </c>
      <c r="D150" s="36">
        <v>5849.99</v>
      </c>
      <c r="E150" s="43" t="s">
        <v>3596</v>
      </c>
    </row>
    <row r="151" spans="1:5" x14ac:dyDescent="0.35">
      <c r="A151" s="40">
        <v>45869</v>
      </c>
      <c r="B151" s="38">
        <v>-52.75</v>
      </c>
      <c r="C151" s="13" t="s">
        <v>4476</v>
      </c>
      <c r="D151" s="36">
        <v>5855.79</v>
      </c>
      <c r="E151" s="43" t="s">
        <v>3596</v>
      </c>
    </row>
    <row r="152" spans="1:5" x14ac:dyDescent="0.35">
      <c r="A152" s="40">
        <v>45869</v>
      </c>
      <c r="B152" s="38">
        <v>-40</v>
      </c>
      <c r="C152" s="13" t="s">
        <v>4495</v>
      </c>
      <c r="D152" s="36">
        <v>5908.54</v>
      </c>
      <c r="E152" s="43" t="s">
        <v>3596</v>
      </c>
    </row>
    <row r="153" spans="1:5" x14ac:dyDescent="0.35">
      <c r="A153" s="40">
        <v>45869</v>
      </c>
      <c r="B153" s="38">
        <v>-682.83</v>
      </c>
      <c r="C153" s="13" t="s">
        <v>3668</v>
      </c>
      <c r="D153" s="36">
        <v>5948.54</v>
      </c>
      <c r="E153" s="43" t="s">
        <v>3596</v>
      </c>
    </row>
    <row r="154" spans="1:5" x14ac:dyDescent="0.35">
      <c r="A154" s="40">
        <v>45869</v>
      </c>
      <c r="B154" s="38">
        <v>2959.64</v>
      </c>
      <c r="C154" s="13" t="s">
        <v>4496</v>
      </c>
      <c r="D154" s="36">
        <v>6631.37</v>
      </c>
      <c r="E154" s="43" t="s">
        <v>3596</v>
      </c>
    </row>
    <row r="155" spans="1:5" x14ac:dyDescent="0.35">
      <c r="A155" s="40">
        <v>45868</v>
      </c>
      <c r="B155" s="38">
        <v>-49.33</v>
      </c>
      <c r="C155" s="13" t="s">
        <v>3664</v>
      </c>
      <c r="D155" s="36">
        <v>3671.73</v>
      </c>
      <c r="E155" s="43" t="s">
        <v>3596</v>
      </c>
    </row>
    <row r="156" spans="1:5" x14ac:dyDescent="0.35">
      <c r="A156" s="40">
        <v>45867</v>
      </c>
      <c r="B156" s="38">
        <v>-16.100000000000001</v>
      </c>
      <c r="C156" s="13" t="s">
        <v>4497</v>
      </c>
      <c r="D156" s="36">
        <v>3721.06</v>
      </c>
      <c r="E156" s="43" t="s">
        <v>3596</v>
      </c>
    </row>
    <row r="157" spans="1:5" x14ac:dyDescent="0.35">
      <c r="A157" s="40">
        <v>45867</v>
      </c>
      <c r="B157" s="38">
        <v>-16.100000000000001</v>
      </c>
      <c r="C157" s="13" t="s">
        <v>4497</v>
      </c>
      <c r="D157" s="36">
        <v>3737.16</v>
      </c>
      <c r="E157" s="43" t="s">
        <v>3596</v>
      </c>
    </row>
    <row r="158" spans="1:5" x14ac:dyDescent="0.35">
      <c r="A158" s="40">
        <v>45867</v>
      </c>
      <c r="B158" s="38">
        <v>-16.5</v>
      </c>
      <c r="C158" s="13" t="s">
        <v>3334</v>
      </c>
      <c r="D158" s="36">
        <v>3753.26</v>
      </c>
      <c r="E158" s="43" t="s">
        <v>3596</v>
      </c>
    </row>
    <row r="159" spans="1:5" x14ac:dyDescent="0.35">
      <c r="A159" s="40">
        <v>45867</v>
      </c>
      <c r="B159" s="38">
        <v>-97.97</v>
      </c>
      <c r="C159" s="13" t="s">
        <v>4498</v>
      </c>
      <c r="D159" s="36">
        <v>3769.76</v>
      </c>
      <c r="E159" s="43" t="s">
        <v>3596</v>
      </c>
    </row>
    <row r="160" spans="1:5" x14ac:dyDescent="0.35">
      <c r="A160" s="40">
        <v>45867</v>
      </c>
      <c r="B160" s="38">
        <v>-18</v>
      </c>
      <c r="C160" s="13" t="s">
        <v>4499</v>
      </c>
      <c r="D160" s="36">
        <v>3867.73</v>
      </c>
      <c r="E160" s="43" t="s">
        <v>3596</v>
      </c>
    </row>
    <row r="161" spans="1:5" x14ac:dyDescent="0.35">
      <c r="A161" s="40">
        <v>45867</v>
      </c>
      <c r="B161" s="38">
        <v>-39.93</v>
      </c>
      <c r="C161" s="13" t="s">
        <v>4500</v>
      </c>
      <c r="D161" s="36">
        <v>3885.73</v>
      </c>
      <c r="E161" s="43" t="s">
        <v>3596</v>
      </c>
    </row>
    <row r="162" spans="1:5" x14ac:dyDescent="0.35">
      <c r="A162" s="40">
        <v>45864</v>
      </c>
      <c r="B162" s="38">
        <v>-25.4</v>
      </c>
      <c r="C162" s="13" t="s">
        <v>4501</v>
      </c>
      <c r="D162" s="36">
        <v>3925.66</v>
      </c>
      <c r="E162" s="43" t="s">
        <v>3596</v>
      </c>
    </row>
    <row r="163" spans="1:5" x14ac:dyDescent="0.35">
      <c r="A163" s="40">
        <v>45864</v>
      </c>
      <c r="B163" s="38">
        <v>-421.75</v>
      </c>
      <c r="C163" s="13" t="s">
        <v>4502</v>
      </c>
      <c r="D163" s="36">
        <v>3951.06</v>
      </c>
      <c r="E163" s="43" t="s">
        <v>3596</v>
      </c>
    </row>
    <row r="164" spans="1:5" x14ac:dyDescent="0.35">
      <c r="A164" s="40">
        <v>45863</v>
      </c>
      <c r="B164" s="38">
        <v>27.5</v>
      </c>
      <c r="C164" s="13" t="s">
        <v>4503</v>
      </c>
      <c r="D164" s="36">
        <v>4372.8100000000004</v>
      </c>
      <c r="E164" s="43" t="s">
        <v>3596</v>
      </c>
    </row>
    <row r="165" spans="1:5" x14ac:dyDescent="0.35">
      <c r="A165" s="40">
        <v>45863</v>
      </c>
      <c r="B165" s="38">
        <v>-56.21</v>
      </c>
      <c r="C165" s="13" t="s">
        <v>4504</v>
      </c>
      <c r="D165" s="36">
        <v>4345.3100000000004</v>
      </c>
      <c r="E165" s="43" t="s">
        <v>3596</v>
      </c>
    </row>
    <row r="166" spans="1:5" x14ac:dyDescent="0.35">
      <c r="A166" s="40">
        <v>45863</v>
      </c>
      <c r="B166" s="38">
        <v>-55</v>
      </c>
      <c r="C166" s="13" t="s">
        <v>4505</v>
      </c>
      <c r="D166" s="36">
        <v>4401.5200000000004</v>
      </c>
      <c r="E166" s="43" t="s">
        <v>3596</v>
      </c>
    </row>
    <row r="167" spans="1:5" x14ac:dyDescent="0.35">
      <c r="A167" s="40">
        <v>45861</v>
      </c>
      <c r="B167" s="38">
        <v>-60.99</v>
      </c>
      <c r="C167" s="13" t="s">
        <v>4506</v>
      </c>
      <c r="D167" s="36">
        <v>4456.5200000000004</v>
      </c>
      <c r="E167" s="43" t="s">
        <v>3596</v>
      </c>
    </row>
    <row r="168" spans="1:5" x14ac:dyDescent="0.35">
      <c r="A168" s="40">
        <v>45861</v>
      </c>
      <c r="B168" s="38">
        <v>-145.75</v>
      </c>
      <c r="C168" s="13" t="s">
        <v>4507</v>
      </c>
      <c r="D168" s="36">
        <v>4517.51</v>
      </c>
      <c r="E168" s="43" t="s">
        <v>3596</v>
      </c>
    </row>
    <row r="169" spans="1:5" x14ac:dyDescent="0.35">
      <c r="A169" s="40">
        <v>45860</v>
      </c>
      <c r="B169" s="38">
        <v>-16.5</v>
      </c>
      <c r="C169" s="13" t="s">
        <v>3334</v>
      </c>
      <c r="D169" s="36">
        <v>4663.26</v>
      </c>
      <c r="E169" s="43" t="s">
        <v>3596</v>
      </c>
    </row>
    <row r="170" spans="1:5" x14ac:dyDescent="0.35">
      <c r="A170" s="40">
        <v>45860</v>
      </c>
      <c r="B170" s="38">
        <v>-11.53</v>
      </c>
      <c r="C170" s="13" t="s">
        <v>4508</v>
      </c>
      <c r="D170" s="36">
        <v>4679.76</v>
      </c>
      <c r="E170" s="43" t="s">
        <v>3596</v>
      </c>
    </row>
    <row r="171" spans="1:5" x14ac:dyDescent="0.35">
      <c r="A171" s="40">
        <v>45860</v>
      </c>
      <c r="B171" s="38">
        <v>-35.75</v>
      </c>
      <c r="C171" s="13" t="s">
        <v>4509</v>
      </c>
      <c r="D171" s="36">
        <v>4691.29</v>
      </c>
      <c r="E171" s="43" t="s">
        <v>3596</v>
      </c>
    </row>
    <row r="172" spans="1:5" x14ac:dyDescent="0.35">
      <c r="A172" s="40">
        <v>45858</v>
      </c>
      <c r="B172" s="38">
        <v>-20.13</v>
      </c>
      <c r="C172" s="13" t="s">
        <v>4510</v>
      </c>
      <c r="D172" s="36">
        <v>4727.04</v>
      </c>
      <c r="E172" s="43" t="s">
        <v>3596</v>
      </c>
    </row>
    <row r="173" spans="1:5" x14ac:dyDescent="0.35">
      <c r="A173" s="40">
        <v>45858</v>
      </c>
      <c r="B173" s="38">
        <v>-38</v>
      </c>
      <c r="C173" s="13" t="s">
        <v>4511</v>
      </c>
      <c r="D173" s="36">
        <v>4747.17</v>
      </c>
      <c r="E173" s="43" t="s">
        <v>3596</v>
      </c>
    </row>
    <row r="174" spans="1:5" x14ac:dyDescent="0.35">
      <c r="A174" s="40">
        <v>45857</v>
      </c>
      <c r="B174" s="38">
        <v>70</v>
      </c>
      <c r="C174" s="13" t="s">
        <v>4512</v>
      </c>
      <c r="D174" s="36">
        <v>4785.17</v>
      </c>
      <c r="E174" s="43" t="s">
        <v>3596</v>
      </c>
    </row>
    <row r="175" spans="1:5" x14ac:dyDescent="0.35">
      <c r="A175" s="40">
        <v>45857</v>
      </c>
      <c r="B175" s="38">
        <v>-79.849999999999994</v>
      </c>
      <c r="C175" s="13" t="s">
        <v>4513</v>
      </c>
      <c r="D175" s="36">
        <v>4715.17</v>
      </c>
      <c r="E175" s="43" t="s">
        <v>3596</v>
      </c>
    </row>
    <row r="176" spans="1:5" x14ac:dyDescent="0.35">
      <c r="A176" s="40">
        <v>45857</v>
      </c>
      <c r="B176" s="38">
        <v>-23.07</v>
      </c>
      <c r="C176" s="13" t="s">
        <v>3664</v>
      </c>
      <c r="D176" s="36">
        <v>4795.0200000000004</v>
      </c>
      <c r="E176" s="43" t="s">
        <v>3596</v>
      </c>
    </row>
    <row r="177" spans="1:5" x14ac:dyDescent="0.35">
      <c r="A177" s="40">
        <v>45855</v>
      </c>
      <c r="B177" s="38">
        <v>-38.25</v>
      </c>
      <c r="C177" s="13" t="s">
        <v>3670</v>
      </c>
      <c r="D177" s="36">
        <v>4818.09</v>
      </c>
      <c r="E177" s="43" t="s">
        <v>3596</v>
      </c>
    </row>
    <row r="178" spans="1:5" x14ac:dyDescent="0.35">
      <c r="A178" s="40">
        <v>45855</v>
      </c>
      <c r="B178" s="38">
        <v>-76.010000000000005</v>
      </c>
      <c r="C178" s="13" t="s">
        <v>3671</v>
      </c>
      <c r="D178" s="36">
        <v>4856.34</v>
      </c>
      <c r="E178" s="43" t="s">
        <v>3596</v>
      </c>
    </row>
    <row r="179" spans="1:5" x14ac:dyDescent="0.35">
      <c r="A179" s="40">
        <v>45855</v>
      </c>
      <c r="B179" s="38">
        <v>-682.83</v>
      </c>
      <c r="C179" s="13" t="s">
        <v>3668</v>
      </c>
      <c r="D179" s="36">
        <v>4932.3500000000004</v>
      </c>
      <c r="E179" s="43" t="s">
        <v>3596</v>
      </c>
    </row>
    <row r="180" spans="1:5" x14ac:dyDescent="0.35">
      <c r="A180" s="40">
        <v>45855</v>
      </c>
      <c r="B180" s="38">
        <v>2959.64</v>
      </c>
      <c r="C180" s="13" t="s">
        <v>4514</v>
      </c>
      <c r="D180" s="36">
        <v>5615.18</v>
      </c>
      <c r="E180" s="43" t="s">
        <v>3596</v>
      </c>
    </row>
    <row r="181" spans="1:5" x14ac:dyDescent="0.35">
      <c r="A181" s="40">
        <v>45854</v>
      </c>
      <c r="B181" s="38">
        <v>70</v>
      </c>
      <c r="C181" s="13" t="s">
        <v>4515</v>
      </c>
      <c r="D181" s="36">
        <v>2655.54</v>
      </c>
      <c r="E181" s="43" t="s">
        <v>3596</v>
      </c>
    </row>
    <row r="182" spans="1:5" x14ac:dyDescent="0.35">
      <c r="A182" s="40">
        <v>45853</v>
      </c>
      <c r="B182" s="38">
        <v>-15.09</v>
      </c>
      <c r="C182" s="13" t="s">
        <v>4497</v>
      </c>
      <c r="D182" s="36">
        <v>2585.54</v>
      </c>
      <c r="E182" s="43" t="s">
        <v>3596</v>
      </c>
    </row>
    <row r="183" spans="1:5" x14ac:dyDescent="0.35">
      <c r="A183" s="40">
        <v>45853</v>
      </c>
      <c r="B183" s="38">
        <v>-1.18</v>
      </c>
      <c r="C183" s="13" t="s">
        <v>4516</v>
      </c>
      <c r="D183" s="36">
        <v>2600.63</v>
      </c>
      <c r="E183" s="43" t="s">
        <v>3596</v>
      </c>
    </row>
    <row r="184" spans="1:5" x14ac:dyDescent="0.35">
      <c r="A184" s="40">
        <v>45853</v>
      </c>
      <c r="B184" s="38">
        <v>-33.72</v>
      </c>
      <c r="C184" s="13" t="s">
        <v>4517</v>
      </c>
      <c r="D184" s="36">
        <v>2601.81</v>
      </c>
      <c r="E184" s="43" t="s">
        <v>3596</v>
      </c>
    </row>
    <row r="185" spans="1:5" x14ac:dyDescent="0.35">
      <c r="A185" s="40">
        <v>45853</v>
      </c>
      <c r="B185" s="38">
        <v>-28.26</v>
      </c>
      <c r="C185" s="13" t="s">
        <v>4518</v>
      </c>
      <c r="D185" s="36">
        <v>2635.53</v>
      </c>
      <c r="E185" s="43" t="s">
        <v>3596</v>
      </c>
    </row>
    <row r="186" spans="1:5" x14ac:dyDescent="0.35">
      <c r="A186" s="40">
        <v>45853</v>
      </c>
      <c r="B186" s="38">
        <v>-14</v>
      </c>
      <c r="C186" s="13" t="s">
        <v>4519</v>
      </c>
      <c r="D186" s="36">
        <v>2663.79</v>
      </c>
      <c r="E186" s="43" t="s">
        <v>3596</v>
      </c>
    </row>
    <row r="187" spans="1:5" x14ac:dyDescent="0.35">
      <c r="A187" s="40">
        <v>45850</v>
      </c>
      <c r="B187" s="38">
        <v>70</v>
      </c>
      <c r="C187" s="13" t="s">
        <v>4520</v>
      </c>
      <c r="D187" s="36">
        <v>2677.79</v>
      </c>
      <c r="E187" s="43" t="s">
        <v>3596</v>
      </c>
    </row>
    <row r="188" spans="1:5" x14ac:dyDescent="0.35">
      <c r="A188" s="40">
        <v>45850</v>
      </c>
      <c r="B188" s="38">
        <v>-74.849999999999994</v>
      </c>
      <c r="C188" s="13" t="s">
        <v>4513</v>
      </c>
      <c r="D188" s="36">
        <v>2607.79</v>
      </c>
      <c r="E188" s="43" t="s">
        <v>3596</v>
      </c>
    </row>
    <row r="189" spans="1:5" x14ac:dyDescent="0.35">
      <c r="A189" s="40">
        <v>45850</v>
      </c>
      <c r="B189" s="38">
        <v>-14.7</v>
      </c>
      <c r="C189" s="13" t="s">
        <v>4521</v>
      </c>
      <c r="D189" s="36">
        <v>2682.64</v>
      </c>
      <c r="E189" s="43" t="s">
        <v>3596</v>
      </c>
    </row>
    <row r="190" spans="1:5" x14ac:dyDescent="0.35">
      <c r="A190" s="40">
        <v>45848</v>
      </c>
      <c r="B190" s="38">
        <v>-79</v>
      </c>
      <c r="C190" s="13" t="s">
        <v>4522</v>
      </c>
      <c r="D190" s="36">
        <v>2697.34</v>
      </c>
      <c r="E190" s="43" t="s">
        <v>3596</v>
      </c>
    </row>
    <row r="191" spans="1:5" x14ac:dyDescent="0.35">
      <c r="A191" s="40">
        <v>45848</v>
      </c>
      <c r="B191" s="38">
        <v>-702.27</v>
      </c>
      <c r="C191" s="13" t="s">
        <v>4523</v>
      </c>
      <c r="D191" s="36">
        <v>2776.34</v>
      </c>
      <c r="E191" s="43" t="s">
        <v>3596</v>
      </c>
    </row>
    <row r="192" spans="1:5" x14ac:dyDescent="0.35">
      <c r="A192" s="40">
        <v>45848</v>
      </c>
      <c r="B192" s="38">
        <v>-40</v>
      </c>
      <c r="C192" s="13" t="s">
        <v>4524</v>
      </c>
      <c r="D192" s="36">
        <v>3478.61</v>
      </c>
      <c r="E192" s="43" t="s">
        <v>3596</v>
      </c>
    </row>
    <row r="193" spans="1:5" x14ac:dyDescent="0.35">
      <c r="A193" s="40">
        <v>45846</v>
      </c>
      <c r="B193" s="38">
        <v>-7.04</v>
      </c>
      <c r="C193" s="13" t="s">
        <v>4497</v>
      </c>
      <c r="D193" s="36">
        <v>3518.61</v>
      </c>
      <c r="E193" s="43" t="s">
        <v>3596</v>
      </c>
    </row>
    <row r="194" spans="1:5" x14ac:dyDescent="0.35">
      <c r="A194" s="40">
        <v>45846</v>
      </c>
      <c r="B194" s="38">
        <v>-7.04</v>
      </c>
      <c r="C194" s="13" t="s">
        <v>4497</v>
      </c>
      <c r="D194" s="36">
        <v>3525.65</v>
      </c>
      <c r="E194" s="43" t="s">
        <v>3596</v>
      </c>
    </row>
    <row r="195" spans="1:5" x14ac:dyDescent="0.35">
      <c r="A195" s="40">
        <v>45846</v>
      </c>
      <c r="B195" s="38">
        <v>-16</v>
      </c>
      <c r="C195" s="13" t="s">
        <v>3334</v>
      </c>
      <c r="D195" s="36">
        <v>3532.69</v>
      </c>
      <c r="E195" s="43" t="s">
        <v>3596</v>
      </c>
    </row>
    <row r="196" spans="1:5" x14ac:dyDescent="0.35">
      <c r="A196" s="40">
        <v>45846</v>
      </c>
      <c r="B196" s="38">
        <v>-143.75</v>
      </c>
      <c r="C196" s="13" t="s">
        <v>4525</v>
      </c>
      <c r="D196" s="36">
        <v>3548.69</v>
      </c>
      <c r="E196" s="43" t="s">
        <v>3596</v>
      </c>
    </row>
    <row r="197" spans="1:5" x14ac:dyDescent="0.35">
      <c r="A197" s="40">
        <v>45844</v>
      </c>
      <c r="B197" s="38">
        <v>-67.540000000000006</v>
      </c>
      <c r="C197" s="13" t="s">
        <v>4491</v>
      </c>
      <c r="D197" s="36">
        <v>3692.44</v>
      </c>
      <c r="E197" s="43" t="s">
        <v>3596</v>
      </c>
    </row>
    <row r="198" spans="1:5" x14ac:dyDescent="0.35">
      <c r="A198" s="40">
        <v>45844</v>
      </c>
      <c r="B198" s="38">
        <v>-9</v>
      </c>
      <c r="C198" s="13" t="s">
        <v>2857</v>
      </c>
      <c r="D198" s="36">
        <v>3759.98</v>
      </c>
      <c r="E198" s="43" t="s">
        <v>3596</v>
      </c>
    </row>
    <row r="199" spans="1:5" x14ac:dyDescent="0.35">
      <c r="A199" s="40">
        <v>45841</v>
      </c>
      <c r="B199" s="38">
        <v>-38.25</v>
      </c>
      <c r="C199" s="13" t="s">
        <v>3670</v>
      </c>
      <c r="D199" s="36">
        <v>3768.98</v>
      </c>
      <c r="E199" s="43" t="s">
        <v>3596</v>
      </c>
    </row>
    <row r="200" spans="1:5" x14ac:dyDescent="0.35">
      <c r="A200" s="40">
        <v>45841</v>
      </c>
      <c r="B200" s="38">
        <v>-682.83</v>
      </c>
      <c r="C200" s="13" t="s">
        <v>3668</v>
      </c>
      <c r="D200" s="36">
        <v>3807.23</v>
      </c>
      <c r="E200" s="43" t="s">
        <v>3596</v>
      </c>
    </row>
    <row r="201" spans="1:5" x14ac:dyDescent="0.35">
      <c r="A201" s="40">
        <v>45841</v>
      </c>
      <c r="B201" s="38">
        <v>2959.64</v>
      </c>
      <c r="C201" s="13" t="s">
        <v>4526</v>
      </c>
      <c r="D201" s="36">
        <v>4490.0600000000004</v>
      </c>
      <c r="E201" s="43" t="s">
        <v>3596</v>
      </c>
    </row>
    <row r="202" spans="1:5" x14ac:dyDescent="0.35">
      <c r="A202" s="40">
        <v>45839</v>
      </c>
      <c r="B202" s="38">
        <v>-123.01</v>
      </c>
      <c r="C202" s="13" t="s">
        <v>4527</v>
      </c>
      <c r="D202" s="36">
        <v>1530.42</v>
      </c>
      <c r="E202" s="43" t="s">
        <v>3596</v>
      </c>
    </row>
    <row r="203" spans="1:5" x14ac:dyDescent="0.35">
      <c r="A203" s="40">
        <v>45839</v>
      </c>
      <c r="B203" s="38">
        <v>-113.19</v>
      </c>
      <c r="C203" s="13" t="s">
        <v>4528</v>
      </c>
      <c r="D203" s="36">
        <v>1653.43</v>
      </c>
      <c r="E203" s="43" t="s">
        <v>3596</v>
      </c>
    </row>
    <row r="204" spans="1:5" x14ac:dyDescent="0.35">
      <c r="A204" s="40">
        <v>45836</v>
      </c>
      <c r="B204" s="38">
        <v>-199.2</v>
      </c>
      <c r="C204" s="13" t="s">
        <v>4529</v>
      </c>
      <c r="D204" s="36">
        <v>1766.62</v>
      </c>
      <c r="E204" s="43" t="s">
        <v>3596</v>
      </c>
    </row>
    <row r="205" spans="1:5" x14ac:dyDescent="0.35">
      <c r="A205" s="40">
        <v>45836</v>
      </c>
      <c r="B205" s="38">
        <v>150</v>
      </c>
      <c r="C205" s="13" t="s">
        <v>4530</v>
      </c>
      <c r="D205" s="36">
        <v>1965.82</v>
      </c>
      <c r="E205" s="43" t="s">
        <v>3596</v>
      </c>
    </row>
    <row r="206" spans="1:5" x14ac:dyDescent="0.35">
      <c r="A206" s="40">
        <v>45835</v>
      </c>
      <c r="B206" s="38">
        <v>-0.9</v>
      </c>
      <c r="C206" s="13" t="s">
        <v>4531</v>
      </c>
      <c r="D206" s="36">
        <v>1815.82</v>
      </c>
      <c r="E206" s="43" t="s">
        <v>3596</v>
      </c>
    </row>
    <row r="207" spans="1:5" x14ac:dyDescent="0.35">
      <c r="A207" s="40">
        <v>45835</v>
      </c>
      <c r="B207" s="38">
        <v>-25.71</v>
      </c>
      <c r="C207" s="13" t="s">
        <v>4532</v>
      </c>
      <c r="D207" s="36">
        <v>1816.72</v>
      </c>
      <c r="E207" s="43" t="s">
        <v>3596</v>
      </c>
    </row>
    <row r="208" spans="1:5" x14ac:dyDescent="0.35">
      <c r="A208" s="40">
        <v>45833</v>
      </c>
      <c r="B208" s="38">
        <v>-140</v>
      </c>
      <c r="C208" s="13" t="s">
        <v>3738</v>
      </c>
      <c r="D208" s="36">
        <v>1842.43</v>
      </c>
      <c r="E208" s="43" t="s">
        <v>3596</v>
      </c>
    </row>
    <row r="209" spans="1:5" x14ac:dyDescent="0.35">
      <c r="A209" s="40">
        <v>45833</v>
      </c>
      <c r="B209" s="38">
        <v>-375</v>
      </c>
      <c r="C209" s="13" t="s">
        <v>3738</v>
      </c>
      <c r="D209" s="36">
        <v>1982.43</v>
      </c>
      <c r="E209" s="43" t="s">
        <v>3596</v>
      </c>
    </row>
    <row r="210" spans="1:5" x14ac:dyDescent="0.35">
      <c r="A210" s="40">
        <v>45833</v>
      </c>
      <c r="B210" s="38">
        <v>-55</v>
      </c>
      <c r="C210" s="13" t="s">
        <v>4533</v>
      </c>
      <c r="D210" s="36">
        <v>2357.4299999999998</v>
      </c>
      <c r="E210" s="43" t="s">
        <v>3596</v>
      </c>
    </row>
    <row r="211" spans="1:5" x14ac:dyDescent="0.35">
      <c r="A211" s="40">
        <v>45832</v>
      </c>
      <c r="B211" s="38">
        <v>-21.8</v>
      </c>
      <c r="C211" s="13" t="s">
        <v>3739</v>
      </c>
      <c r="D211" s="36">
        <v>2412.4299999999998</v>
      </c>
      <c r="E211" s="43" t="s">
        <v>3596</v>
      </c>
    </row>
    <row r="212" spans="1:5" x14ac:dyDescent="0.35">
      <c r="A212" s="40">
        <v>45830</v>
      </c>
      <c r="B212" s="38">
        <v>-159.99</v>
      </c>
      <c r="C212" s="13" t="s">
        <v>3737</v>
      </c>
      <c r="D212" s="36">
        <v>2434.23</v>
      </c>
      <c r="E212" s="43" t="s">
        <v>3596</v>
      </c>
    </row>
    <row r="213" spans="1:5" x14ac:dyDescent="0.35">
      <c r="A213" s="40">
        <v>45829</v>
      </c>
      <c r="B213" s="38">
        <v>-145.75</v>
      </c>
      <c r="C213" s="13" t="s">
        <v>4534</v>
      </c>
      <c r="D213" s="36">
        <v>2594.2199999999998</v>
      </c>
      <c r="E213" s="43" t="s">
        <v>3596</v>
      </c>
    </row>
    <row r="214" spans="1:5" x14ac:dyDescent="0.35">
      <c r="A214" s="40">
        <v>45827</v>
      </c>
      <c r="B214" s="38">
        <v>-37.35</v>
      </c>
      <c r="C214" s="13" t="s">
        <v>3670</v>
      </c>
      <c r="D214" s="36">
        <v>2739.97</v>
      </c>
      <c r="E214" s="43" t="s">
        <v>3596</v>
      </c>
    </row>
    <row r="215" spans="1:5" x14ac:dyDescent="0.35">
      <c r="A215" s="40">
        <v>45827</v>
      </c>
      <c r="B215" s="38">
        <v>-80.02</v>
      </c>
      <c r="C215" s="13" t="s">
        <v>4535</v>
      </c>
      <c r="D215" s="36">
        <v>2777.32</v>
      </c>
      <c r="E215" s="43" t="s">
        <v>3596</v>
      </c>
    </row>
    <row r="216" spans="1:5" x14ac:dyDescent="0.35">
      <c r="A216" s="40">
        <v>45827</v>
      </c>
      <c r="B216" s="38">
        <v>-682.83</v>
      </c>
      <c r="C216" s="13" t="s">
        <v>3668</v>
      </c>
      <c r="D216" s="36">
        <v>2857.34</v>
      </c>
      <c r="E216" s="43" t="s">
        <v>3596</v>
      </c>
    </row>
    <row r="217" spans="1:5" x14ac:dyDescent="0.35">
      <c r="A217" s="40">
        <v>45827</v>
      </c>
      <c r="B217" s="38">
        <v>2959.64</v>
      </c>
      <c r="C217" s="13" t="s">
        <v>4536</v>
      </c>
      <c r="D217" s="36">
        <v>3540.17</v>
      </c>
      <c r="E217" s="43" t="s">
        <v>3596</v>
      </c>
    </row>
    <row r="218" spans="1:5" x14ac:dyDescent="0.35">
      <c r="A218" s="40">
        <v>45825</v>
      </c>
      <c r="B218" s="38">
        <v>18.96</v>
      </c>
      <c r="C218" s="13" t="s">
        <v>3212</v>
      </c>
      <c r="D218" s="36">
        <v>580.53</v>
      </c>
      <c r="E218" s="43" t="s">
        <v>3596</v>
      </c>
    </row>
    <row r="219" spans="1:5" x14ac:dyDescent="0.35">
      <c r="A219" s="40">
        <v>45825</v>
      </c>
      <c r="B219" s="38">
        <v>-16</v>
      </c>
      <c r="C219" s="13" t="s">
        <v>3334</v>
      </c>
      <c r="D219" s="36">
        <v>561.57000000000005</v>
      </c>
      <c r="E219" s="43" t="s">
        <v>3596</v>
      </c>
    </row>
    <row r="220" spans="1:5" x14ac:dyDescent="0.35">
      <c r="A220" s="40">
        <v>45825</v>
      </c>
      <c r="B220" s="38">
        <v>-56</v>
      </c>
      <c r="C220" s="13" t="s">
        <v>4537</v>
      </c>
      <c r="D220" s="36">
        <v>577.57000000000005</v>
      </c>
      <c r="E220" s="43" t="s">
        <v>3596</v>
      </c>
    </row>
    <row r="221" spans="1:5" x14ac:dyDescent="0.35">
      <c r="A221" s="40">
        <v>45825</v>
      </c>
      <c r="B221" s="38">
        <v>-6.5</v>
      </c>
      <c r="C221" s="13" t="s">
        <v>4538</v>
      </c>
      <c r="D221" s="36">
        <v>633.57000000000005</v>
      </c>
      <c r="E221" s="43" t="s">
        <v>3596</v>
      </c>
    </row>
    <row r="222" spans="1:5" x14ac:dyDescent="0.35">
      <c r="A222" s="40">
        <v>45825</v>
      </c>
      <c r="B222" s="38">
        <v>-50.99</v>
      </c>
      <c r="C222" s="13" t="s">
        <v>4539</v>
      </c>
      <c r="D222" s="36">
        <v>640.07000000000005</v>
      </c>
      <c r="E222" s="43" t="s">
        <v>3596</v>
      </c>
    </row>
    <row r="223" spans="1:5" x14ac:dyDescent="0.35">
      <c r="A223" s="40">
        <v>45825</v>
      </c>
      <c r="B223" s="38">
        <v>-22.83</v>
      </c>
      <c r="C223" s="13" t="s">
        <v>4540</v>
      </c>
      <c r="D223" s="36">
        <v>691.06</v>
      </c>
      <c r="E223" s="43" t="s">
        <v>3596</v>
      </c>
    </row>
    <row r="224" spans="1:5" x14ac:dyDescent="0.35">
      <c r="A224" s="40">
        <v>45825</v>
      </c>
      <c r="B224" s="38">
        <v>-27.27</v>
      </c>
      <c r="C224" s="13" t="s">
        <v>4540</v>
      </c>
      <c r="D224" s="36">
        <v>713.89</v>
      </c>
      <c r="E224" s="43" t="s">
        <v>3596</v>
      </c>
    </row>
    <row r="225" spans="1:5" x14ac:dyDescent="0.35">
      <c r="A225" s="40">
        <v>45825</v>
      </c>
      <c r="B225" s="38">
        <v>-28.47</v>
      </c>
      <c r="C225" s="13" t="s">
        <v>4541</v>
      </c>
      <c r="D225" s="36">
        <v>741.16</v>
      </c>
      <c r="E225" s="43" t="s">
        <v>3596</v>
      </c>
    </row>
    <row r="226" spans="1:5" x14ac:dyDescent="0.35">
      <c r="A226" s="40">
        <v>45825</v>
      </c>
      <c r="B226" s="38">
        <v>-3.99</v>
      </c>
      <c r="C226" s="13" t="s">
        <v>4542</v>
      </c>
      <c r="D226" s="36">
        <v>769.63</v>
      </c>
      <c r="E226" s="43" t="s">
        <v>3596</v>
      </c>
    </row>
    <row r="227" spans="1:5" x14ac:dyDescent="0.35">
      <c r="A227" s="40">
        <v>45821</v>
      </c>
      <c r="B227" s="38">
        <v>-65</v>
      </c>
      <c r="C227" s="13" t="s">
        <v>3738</v>
      </c>
      <c r="D227" s="36">
        <v>773.62</v>
      </c>
      <c r="E227" s="43" t="s">
        <v>3596</v>
      </c>
    </row>
    <row r="228" spans="1:5" x14ac:dyDescent="0.35">
      <c r="A228" s="40">
        <v>45821</v>
      </c>
      <c r="B228" s="38">
        <v>-1.19</v>
      </c>
      <c r="C228" s="13" t="s">
        <v>4543</v>
      </c>
      <c r="D228" s="36">
        <v>838.62</v>
      </c>
      <c r="E228" s="43" t="s">
        <v>3596</v>
      </c>
    </row>
    <row r="229" spans="1:5" x14ac:dyDescent="0.35">
      <c r="A229" s="40">
        <v>45821</v>
      </c>
      <c r="B229" s="38">
        <v>-33.909999999999997</v>
      </c>
      <c r="C229" s="13" t="s">
        <v>4544</v>
      </c>
      <c r="D229" s="36">
        <v>839.81</v>
      </c>
      <c r="E229" s="43" t="s">
        <v>3596</v>
      </c>
    </row>
    <row r="230" spans="1:5" x14ac:dyDescent="0.35">
      <c r="A230" s="40">
        <v>45819</v>
      </c>
      <c r="B230" s="38">
        <v>-18.29</v>
      </c>
      <c r="C230" s="13" t="s">
        <v>4545</v>
      </c>
      <c r="D230" s="36">
        <v>873.72</v>
      </c>
      <c r="E230" s="43" t="s">
        <v>3596</v>
      </c>
    </row>
    <row r="231" spans="1:5" x14ac:dyDescent="0.35">
      <c r="A231" s="40">
        <v>45819</v>
      </c>
      <c r="B231" s="38">
        <v>-40.46</v>
      </c>
      <c r="C231" s="13" t="s">
        <v>4546</v>
      </c>
      <c r="D231" s="36">
        <v>892.01</v>
      </c>
      <c r="E231" s="43" t="s">
        <v>3596</v>
      </c>
    </row>
    <row r="232" spans="1:5" x14ac:dyDescent="0.35">
      <c r="A232" s="40">
        <v>45819</v>
      </c>
      <c r="B232" s="38">
        <v>-40</v>
      </c>
      <c r="C232" s="13" t="s">
        <v>4547</v>
      </c>
      <c r="D232" s="36">
        <v>932.47</v>
      </c>
      <c r="E232" s="43" t="s">
        <v>3596</v>
      </c>
    </row>
    <row r="233" spans="1:5" x14ac:dyDescent="0.35">
      <c r="A233" s="40">
        <v>45818</v>
      </c>
      <c r="B233" s="38">
        <v>-79</v>
      </c>
      <c r="C233" s="13" t="s">
        <v>4548</v>
      </c>
      <c r="D233" s="36">
        <v>972.47</v>
      </c>
      <c r="E233" s="43" t="s">
        <v>3596</v>
      </c>
    </row>
    <row r="234" spans="1:5" x14ac:dyDescent="0.35">
      <c r="A234" s="40">
        <v>45818</v>
      </c>
      <c r="B234" s="38">
        <v>-139</v>
      </c>
      <c r="C234" s="13" t="s">
        <v>4549</v>
      </c>
      <c r="D234" s="36">
        <v>1051.47</v>
      </c>
      <c r="E234" s="43" t="s">
        <v>3596</v>
      </c>
    </row>
    <row r="235" spans="1:5" x14ac:dyDescent="0.35">
      <c r="A235" s="40">
        <v>45816</v>
      </c>
      <c r="B235" s="38">
        <v>-44</v>
      </c>
      <c r="C235" s="13" t="s">
        <v>2857</v>
      </c>
      <c r="D235" s="36">
        <v>1190.47</v>
      </c>
      <c r="E235" s="43" t="s">
        <v>3596</v>
      </c>
    </row>
    <row r="236" spans="1:5" x14ac:dyDescent="0.35">
      <c r="A236" s="40">
        <v>45814</v>
      </c>
      <c r="B236" s="38">
        <v>-93.99</v>
      </c>
      <c r="C236" s="13" t="s">
        <v>3740</v>
      </c>
      <c r="D236" s="36">
        <v>1234.47</v>
      </c>
      <c r="E236" s="43" t="s">
        <v>3596</v>
      </c>
    </row>
    <row r="237" spans="1:5" x14ac:dyDescent="0.35">
      <c r="A237" s="40">
        <v>45814</v>
      </c>
      <c r="B237" s="38">
        <v>-2499</v>
      </c>
      <c r="C237" s="13" t="s">
        <v>3740</v>
      </c>
      <c r="D237" s="36">
        <v>1328.46</v>
      </c>
      <c r="E237" s="43" t="s">
        <v>3596</v>
      </c>
    </row>
    <row r="238" spans="1:5" x14ac:dyDescent="0.35">
      <c r="A238" s="40">
        <v>45813</v>
      </c>
      <c r="B238" s="38">
        <v>-37.35</v>
      </c>
      <c r="C238" s="13" t="s">
        <v>3670</v>
      </c>
      <c r="D238" s="36">
        <v>3827.46</v>
      </c>
      <c r="E238" s="43" t="s">
        <v>3596</v>
      </c>
    </row>
    <row r="239" spans="1:5" x14ac:dyDescent="0.35">
      <c r="A239" s="40">
        <v>45813</v>
      </c>
      <c r="B239" s="38">
        <v>-682.83</v>
      </c>
      <c r="C239" s="13" t="s">
        <v>3668</v>
      </c>
      <c r="D239" s="36">
        <v>3864.81</v>
      </c>
      <c r="E239" s="43" t="s">
        <v>3596</v>
      </c>
    </row>
    <row r="240" spans="1:5" x14ac:dyDescent="0.35">
      <c r="A240" s="40">
        <v>45813</v>
      </c>
      <c r="B240" s="38">
        <v>2959.64</v>
      </c>
      <c r="C240" s="13" t="s">
        <v>1473</v>
      </c>
      <c r="D240" s="36">
        <v>4547.6400000000003</v>
      </c>
      <c r="E240" s="43" t="s">
        <v>3596</v>
      </c>
    </row>
    <row r="241" spans="1:5" x14ac:dyDescent="0.35">
      <c r="A241" s="40">
        <v>45811</v>
      </c>
      <c r="B241" s="38">
        <v>90</v>
      </c>
      <c r="C241" s="13" t="s">
        <v>4550</v>
      </c>
      <c r="D241" s="36">
        <v>1588</v>
      </c>
      <c r="E241" s="43" t="s">
        <v>3596</v>
      </c>
    </row>
    <row r="242" spans="1:5" x14ac:dyDescent="0.35">
      <c r="A242" s="40">
        <v>45811</v>
      </c>
      <c r="B242" s="38">
        <v>-6.99</v>
      </c>
      <c r="C242" s="13" t="s">
        <v>4551</v>
      </c>
      <c r="D242" s="36">
        <v>1498</v>
      </c>
      <c r="E242" s="43" t="s">
        <v>3596</v>
      </c>
    </row>
    <row r="243" spans="1:5" x14ac:dyDescent="0.35">
      <c r="A243" s="40">
        <v>45809</v>
      </c>
      <c r="B243" s="38">
        <v>-101.89</v>
      </c>
      <c r="C243" s="13" t="s">
        <v>4552</v>
      </c>
      <c r="D243" s="36">
        <v>1504.99</v>
      </c>
      <c r="E243" s="43" t="s">
        <v>3596</v>
      </c>
    </row>
    <row r="244" spans="1:5" x14ac:dyDescent="0.35">
      <c r="A244" s="40">
        <v>45809</v>
      </c>
      <c r="B244" s="38">
        <v>-73.69</v>
      </c>
      <c r="C244" s="13" t="s">
        <v>4553</v>
      </c>
      <c r="D244" s="36">
        <v>1606.88</v>
      </c>
      <c r="E244" s="43" t="s">
        <v>3596</v>
      </c>
    </row>
    <row r="245" spans="1:5" x14ac:dyDescent="0.35">
      <c r="A245" s="40">
        <v>45807</v>
      </c>
      <c r="B245" s="38">
        <v>-22.4</v>
      </c>
      <c r="C245" s="13" t="s">
        <v>4554</v>
      </c>
      <c r="D245" s="36">
        <v>1680.57</v>
      </c>
      <c r="E245" s="43" t="s">
        <v>3596</v>
      </c>
    </row>
    <row r="246" spans="1:5" x14ac:dyDescent="0.35">
      <c r="A246" s="40">
        <v>45804</v>
      </c>
      <c r="B246" s="38">
        <v>-8.0500000000000007</v>
      </c>
      <c r="C246" s="13" t="s">
        <v>4555</v>
      </c>
      <c r="D246" s="36">
        <v>1702.97</v>
      </c>
      <c r="E246" s="43" t="s">
        <v>3596</v>
      </c>
    </row>
    <row r="247" spans="1:5" x14ac:dyDescent="0.35">
      <c r="A247" s="40">
        <v>45804</v>
      </c>
      <c r="B247" s="38">
        <v>-3.3</v>
      </c>
      <c r="C247" s="13" t="s">
        <v>4556</v>
      </c>
      <c r="D247" s="36">
        <v>1711.02</v>
      </c>
      <c r="E247" s="43" t="s">
        <v>3596</v>
      </c>
    </row>
    <row r="248" spans="1:5" x14ac:dyDescent="0.35">
      <c r="A248" s="40">
        <v>45804</v>
      </c>
      <c r="B248" s="38">
        <v>-80.209999999999994</v>
      </c>
      <c r="C248" s="13" t="s">
        <v>4557</v>
      </c>
      <c r="D248" s="36">
        <v>1714.32</v>
      </c>
      <c r="E248" s="43" t="s">
        <v>3596</v>
      </c>
    </row>
    <row r="249" spans="1:5" x14ac:dyDescent="0.35">
      <c r="A249" s="40">
        <v>45804</v>
      </c>
      <c r="B249" s="38">
        <v>-69.31</v>
      </c>
      <c r="C249" s="13" t="s">
        <v>4558</v>
      </c>
      <c r="D249" s="36">
        <v>1794.53</v>
      </c>
      <c r="E249" s="43" t="s">
        <v>3596</v>
      </c>
    </row>
    <row r="250" spans="1:5" x14ac:dyDescent="0.35">
      <c r="A250" s="40">
        <v>45804</v>
      </c>
      <c r="B250" s="38">
        <v>-40</v>
      </c>
      <c r="C250" s="13" t="s">
        <v>4559</v>
      </c>
      <c r="D250" s="36">
        <v>1863.84</v>
      </c>
      <c r="E250" s="43" t="s">
        <v>3596</v>
      </c>
    </row>
    <row r="251" spans="1:5" x14ac:dyDescent="0.35">
      <c r="A251" s="40">
        <v>45804</v>
      </c>
      <c r="B251" s="38">
        <v>-200</v>
      </c>
      <c r="C251" s="13" t="s">
        <v>3738</v>
      </c>
      <c r="D251" s="36">
        <v>1903.84</v>
      </c>
      <c r="E251" s="43" t="s">
        <v>3596</v>
      </c>
    </row>
    <row r="252" spans="1:5" x14ac:dyDescent="0.35">
      <c r="A252" s="40">
        <v>45803</v>
      </c>
      <c r="B252" s="38">
        <v>-3239</v>
      </c>
      <c r="C252" s="13" t="s">
        <v>4560</v>
      </c>
      <c r="D252" s="36">
        <v>2103.84</v>
      </c>
      <c r="E252" s="43" t="s">
        <v>3596</v>
      </c>
    </row>
    <row r="253" spans="1:5" x14ac:dyDescent="0.35">
      <c r="A253" s="40">
        <v>45802</v>
      </c>
      <c r="B253" s="38">
        <v>32</v>
      </c>
      <c r="C253" s="13" t="s">
        <v>4561</v>
      </c>
      <c r="D253" s="36">
        <v>5342.84</v>
      </c>
      <c r="E253" s="43" t="s">
        <v>3596</v>
      </c>
    </row>
    <row r="254" spans="1:5" x14ac:dyDescent="0.35">
      <c r="A254" s="40">
        <v>45801</v>
      </c>
      <c r="B254" s="38">
        <v>-52</v>
      </c>
      <c r="C254" s="13" t="s">
        <v>4562</v>
      </c>
      <c r="D254" s="36">
        <v>5310.84</v>
      </c>
      <c r="E254" s="43" t="s">
        <v>3596</v>
      </c>
    </row>
    <row r="255" spans="1:5" x14ac:dyDescent="0.35">
      <c r="A255" s="40">
        <v>45801</v>
      </c>
      <c r="B255" s="38">
        <v>2400</v>
      </c>
      <c r="C255" s="13" t="s">
        <v>4563</v>
      </c>
      <c r="D255" s="36">
        <v>5362.84</v>
      </c>
      <c r="E255" s="43" t="s">
        <v>3596</v>
      </c>
    </row>
    <row r="256" spans="1:5" x14ac:dyDescent="0.35">
      <c r="A256" s="40">
        <v>45800</v>
      </c>
      <c r="B256" s="38">
        <v>-2.5</v>
      </c>
      <c r="C256" s="13" t="s">
        <v>24</v>
      </c>
      <c r="D256" s="36">
        <v>2962.84</v>
      </c>
      <c r="E256" s="43" t="s">
        <v>3596</v>
      </c>
    </row>
    <row r="257" spans="1:5" x14ac:dyDescent="0.35">
      <c r="A257" s="40">
        <v>45800</v>
      </c>
      <c r="B257" s="38">
        <v>-300</v>
      </c>
      <c r="C257" s="13" t="s">
        <v>4564</v>
      </c>
      <c r="D257" s="36">
        <v>2965.34</v>
      </c>
      <c r="E257" s="43" t="s">
        <v>3596</v>
      </c>
    </row>
    <row r="258" spans="1:5" x14ac:dyDescent="0.35">
      <c r="A258" s="40">
        <v>45800</v>
      </c>
      <c r="B258" s="38">
        <v>-13.09</v>
      </c>
      <c r="C258" s="13" t="s">
        <v>4565</v>
      </c>
      <c r="D258" s="36">
        <v>3265.34</v>
      </c>
      <c r="E258" s="43" t="s">
        <v>3596</v>
      </c>
    </row>
    <row r="259" spans="1:5" x14ac:dyDescent="0.35">
      <c r="A259" s="40">
        <v>45800</v>
      </c>
      <c r="B259" s="38">
        <v>-15.61</v>
      </c>
      <c r="C259" s="13" t="s">
        <v>4565</v>
      </c>
      <c r="D259" s="36">
        <v>3278.43</v>
      </c>
      <c r="E259" s="43" t="s">
        <v>3596</v>
      </c>
    </row>
    <row r="260" spans="1:5" x14ac:dyDescent="0.35">
      <c r="A260" s="40">
        <v>45800</v>
      </c>
      <c r="B260" s="38">
        <v>-21.25</v>
      </c>
      <c r="C260" s="13" t="s">
        <v>4566</v>
      </c>
      <c r="D260" s="36">
        <v>3294.04</v>
      </c>
      <c r="E260" s="43" t="s">
        <v>3596</v>
      </c>
    </row>
    <row r="261" spans="1:5" x14ac:dyDescent="0.35">
      <c r="A261" s="40">
        <v>45799</v>
      </c>
      <c r="B261" s="38">
        <v>-37.35</v>
      </c>
      <c r="C261" s="13" t="s">
        <v>3670</v>
      </c>
      <c r="D261" s="36">
        <v>3315.29</v>
      </c>
      <c r="E261" s="43" t="s">
        <v>3596</v>
      </c>
    </row>
    <row r="262" spans="1:5" x14ac:dyDescent="0.35">
      <c r="A262" s="40">
        <v>45799</v>
      </c>
      <c r="B262" s="38">
        <v>-4.3</v>
      </c>
      <c r="C262" s="13" t="s">
        <v>4567</v>
      </c>
      <c r="D262" s="36">
        <v>3352.64</v>
      </c>
      <c r="E262" s="43" t="s">
        <v>3596</v>
      </c>
    </row>
    <row r="263" spans="1:5" x14ac:dyDescent="0.35">
      <c r="A263" s="40">
        <v>45799</v>
      </c>
      <c r="B263" s="38">
        <v>-145.75</v>
      </c>
      <c r="C263" s="13" t="s">
        <v>4568</v>
      </c>
      <c r="D263" s="36">
        <v>3356.94</v>
      </c>
      <c r="E263" s="43" t="s">
        <v>3596</v>
      </c>
    </row>
    <row r="264" spans="1:5" x14ac:dyDescent="0.35">
      <c r="A264" s="40">
        <v>45799</v>
      </c>
      <c r="B264" s="38">
        <v>-682.83</v>
      </c>
      <c r="C264" s="13" t="s">
        <v>3668</v>
      </c>
      <c r="D264" s="36">
        <v>3502.69</v>
      </c>
      <c r="E264" s="43" t="s">
        <v>3596</v>
      </c>
    </row>
    <row r="265" spans="1:5" x14ac:dyDescent="0.35">
      <c r="A265" s="40">
        <v>45799</v>
      </c>
      <c r="B265" s="38">
        <v>2959.64</v>
      </c>
      <c r="C265" s="13" t="s">
        <v>4569</v>
      </c>
      <c r="D265" s="36">
        <v>4185.5200000000004</v>
      </c>
      <c r="E265" s="43" t="s">
        <v>3596</v>
      </c>
    </row>
    <row r="266" spans="1:5" x14ac:dyDescent="0.35">
      <c r="A266" s="40">
        <v>45797</v>
      </c>
      <c r="B266" s="38">
        <v>-8.4</v>
      </c>
      <c r="C266" s="13" t="s">
        <v>3739</v>
      </c>
      <c r="D266" s="36">
        <v>1225.8800000000001</v>
      </c>
      <c r="E266" s="43" t="s">
        <v>3596</v>
      </c>
    </row>
    <row r="267" spans="1:5" x14ac:dyDescent="0.35">
      <c r="A267" s="40">
        <v>45797</v>
      </c>
      <c r="B267" s="38">
        <v>-27.27</v>
      </c>
      <c r="C267" s="13" t="s">
        <v>4570</v>
      </c>
      <c r="D267" s="36">
        <v>1234.28</v>
      </c>
      <c r="E267" s="43" t="s">
        <v>3596</v>
      </c>
    </row>
    <row r="268" spans="1:5" x14ac:dyDescent="0.35">
      <c r="A268" s="40">
        <v>45797</v>
      </c>
      <c r="B268" s="38">
        <v>-18.79</v>
      </c>
      <c r="C268" s="13" t="s">
        <v>4570</v>
      </c>
      <c r="D268" s="36">
        <v>1261.55</v>
      </c>
      <c r="E268" s="43" t="s">
        <v>3596</v>
      </c>
    </row>
    <row r="269" spans="1:5" x14ac:dyDescent="0.35">
      <c r="A269" s="40">
        <v>45795</v>
      </c>
      <c r="B269" s="38">
        <v>-130</v>
      </c>
      <c r="C269" s="13" t="s">
        <v>3738</v>
      </c>
      <c r="D269" s="36">
        <v>1280.3399999999999</v>
      </c>
      <c r="E269" s="43" t="s">
        <v>3596</v>
      </c>
    </row>
    <row r="270" spans="1:5" x14ac:dyDescent="0.35">
      <c r="A270" s="40">
        <v>45793</v>
      </c>
      <c r="B270" s="38">
        <v>6.29</v>
      </c>
      <c r="C270" s="13" t="s">
        <v>3212</v>
      </c>
      <c r="D270" s="36">
        <v>1410.34</v>
      </c>
      <c r="E270" s="43" t="s">
        <v>3596</v>
      </c>
    </row>
    <row r="271" spans="1:5" x14ac:dyDescent="0.35">
      <c r="A271" s="40">
        <v>45790</v>
      </c>
      <c r="B271" s="38">
        <v>-298.67</v>
      </c>
      <c r="C271" s="13" t="s">
        <v>4571</v>
      </c>
      <c r="D271" s="36">
        <v>1404.05</v>
      </c>
      <c r="E271" s="43" t="s">
        <v>3596</v>
      </c>
    </row>
    <row r="272" spans="1:5" x14ac:dyDescent="0.35">
      <c r="A272" s="40">
        <v>45790</v>
      </c>
      <c r="B272" s="38">
        <v>-79</v>
      </c>
      <c r="C272" s="13" t="s">
        <v>4572</v>
      </c>
      <c r="D272" s="36">
        <v>1702.72</v>
      </c>
      <c r="E272" s="43" t="s">
        <v>3596</v>
      </c>
    </row>
    <row r="273" spans="1:5" x14ac:dyDescent="0.35">
      <c r="A273" s="40">
        <v>45790</v>
      </c>
      <c r="B273" s="38">
        <v>-1.21</v>
      </c>
      <c r="C273" s="13" t="s">
        <v>4573</v>
      </c>
      <c r="D273" s="36">
        <v>1781.72</v>
      </c>
      <c r="E273" s="43" t="s">
        <v>3596</v>
      </c>
    </row>
    <row r="274" spans="1:5" x14ac:dyDescent="0.35">
      <c r="A274" s="40">
        <v>45790</v>
      </c>
      <c r="B274" s="38">
        <v>-34.54</v>
      </c>
      <c r="C274" s="13" t="s">
        <v>4574</v>
      </c>
      <c r="D274" s="36">
        <v>1782.93</v>
      </c>
      <c r="E274" s="43" t="s">
        <v>3596</v>
      </c>
    </row>
    <row r="275" spans="1:5" x14ac:dyDescent="0.35">
      <c r="A275" s="40">
        <v>45789</v>
      </c>
      <c r="B275" s="38">
        <v>-40</v>
      </c>
      <c r="C275" s="13" t="s">
        <v>3740</v>
      </c>
      <c r="D275" s="36">
        <v>1817.47</v>
      </c>
      <c r="E275" s="43" t="s">
        <v>3596</v>
      </c>
    </row>
    <row r="276" spans="1:5" x14ac:dyDescent="0.35">
      <c r="A276" s="40">
        <v>45788</v>
      </c>
      <c r="B276" s="38">
        <v>-33.54</v>
      </c>
      <c r="C276" s="13" t="s">
        <v>4575</v>
      </c>
      <c r="D276" s="36">
        <v>1857.47</v>
      </c>
      <c r="E276" s="43" t="s">
        <v>3596</v>
      </c>
    </row>
    <row r="277" spans="1:5" x14ac:dyDescent="0.35">
      <c r="A277" s="40">
        <v>45788</v>
      </c>
      <c r="B277" s="38">
        <v>-145.9</v>
      </c>
      <c r="C277" s="13" t="s">
        <v>4576</v>
      </c>
      <c r="D277" s="36">
        <v>1891.01</v>
      </c>
      <c r="E277" s="43" t="s">
        <v>3596</v>
      </c>
    </row>
    <row r="278" spans="1:5" x14ac:dyDescent="0.35">
      <c r="A278" s="40">
        <v>45786</v>
      </c>
      <c r="B278" s="38">
        <v>-2400</v>
      </c>
      <c r="C278" s="13" t="s">
        <v>4577</v>
      </c>
      <c r="D278" s="36">
        <v>2036.91</v>
      </c>
      <c r="E278" s="43" t="s">
        <v>3596</v>
      </c>
    </row>
    <row r="279" spans="1:5" x14ac:dyDescent="0.35">
      <c r="A279" s="40">
        <v>45785</v>
      </c>
      <c r="B279" s="38">
        <v>-37.35</v>
      </c>
      <c r="C279" s="13" t="s">
        <v>3670</v>
      </c>
      <c r="D279" s="36">
        <v>4436.91</v>
      </c>
      <c r="E279" s="43" t="s">
        <v>3596</v>
      </c>
    </row>
    <row r="280" spans="1:5" x14ac:dyDescent="0.35">
      <c r="A280" s="40">
        <v>45785</v>
      </c>
      <c r="B280" s="38">
        <v>-3.4</v>
      </c>
      <c r="C280" s="13" t="s">
        <v>4578</v>
      </c>
      <c r="D280" s="36">
        <v>4474.26</v>
      </c>
      <c r="E280" s="43" t="s">
        <v>3596</v>
      </c>
    </row>
    <row r="281" spans="1:5" x14ac:dyDescent="0.35">
      <c r="A281" s="40">
        <v>45785</v>
      </c>
      <c r="B281" s="38">
        <v>-3.4</v>
      </c>
      <c r="C281" s="13" t="s">
        <v>4579</v>
      </c>
      <c r="D281" s="36">
        <v>4477.66</v>
      </c>
      <c r="E281" s="43" t="s">
        <v>3596</v>
      </c>
    </row>
    <row r="282" spans="1:5" x14ac:dyDescent="0.35">
      <c r="A282" s="40">
        <v>45785</v>
      </c>
      <c r="B282" s="38">
        <v>-682.83</v>
      </c>
      <c r="C282" s="13" t="s">
        <v>3668</v>
      </c>
      <c r="D282" s="36">
        <v>4481.0600000000004</v>
      </c>
      <c r="E282" s="43" t="s">
        <v>3596</v>
      </c>
    </row>
    <row r="283" spans="1:5" x14ac:dyDescent="0.35">
      <c r="A283" s="40">
        <v>45785</v>
      </c>
      <c r="B283" s="38">
        <v>2959.64</v>
      </c>
      <c r="C283" s="13" t="s">
        <v>4580</v>
      </c>
      <c r="D283" s="36">
        <v>5163.8900000000003</v>
      </c>
      <c r="E283" s="43" t="s">
        <v>3596</v>
      </c>
    </row>
    <row r="284" spans="1:5" x14ac:dyDescent="0.35">
      <c r="A284" s="40">
        <v>45783</v>
      </c>
      <c r="B284" s="38">
        <v>0.21</v>
      </c>
      <c r="C284" s="13" t="s">
        <v>4581</v>
      </c>
      <c r="D284" s="36">
        <v>2204.25</v>
      </c>
      <c r="E284" s="43" t="s">
        <v>3596</v>
      </c>
    </row>
    <row r="285" spans="1:5" x14ac:dyDescent="0.35">
      <c r="A285" s="40">
        <v>45780</v>
      </c>
      <c r="B285" s="38">
        <v>-90</v>
      </c>
      <c r="C285" s="13" t="s">
        <v>3741</v>
      </c>
      <c r="D285" s="36">
        <v>2204.04</v>
      </c>
      <c r="E285" s="43" t="s">
        <v>3596</v>
      </c>
    </row>
    <row r="286" spans="1:5" x14ac:dyDescent="0.35">
      <c r="A286" s="40">
        <v>45780</v>
      </c>
      <c r="B286" s="38">
        <v>-30</v>
      </c>
      <c r="C286" s="13" t="s">
        <v>3738</v>
      </c>
      <c r="D286" s="36">
        <v>2294.04</v>
      </c>
      <c r="E286" s="43" t="s">
        <v>3596</v>
      </c>
    </row>
    <row r="287" spans="1:5" x14ac:dyDescent="0.35">
      <c r="A287" s="40">
        <v>45780</v>
      </c>
      <c r="B287" s="38">
        <v>-55.35</v>
      </c>
      <c r="C287" s="13" t="s">
        <v>4582</v>
      </c>
      <c r="D287" s="36">
        <v>2324.04</v>
      </c>
      <c r="E287" s="43" t="s">
        <v>3596</v>
      </c>
    </row>
    <row r="288" spans="1:5" x14ac:dyDescent="0.35">
      <c r="A288" s="40">
        <v>45778</v>
      </c>
      <c r="B288" s="38">
        <v>-40</v>
      </c>
      <c r="C288" s="13" t="s">
        <v>4583</v>
      </c>
      <c r="D288" s="36">
        <v>2379.39</v>
      </c>
      <c r="E288" s="43" t="s">
        <v>3596</v>
      </c>
    </row>
    <row r="289" spans="1:5" x14ac:dyDescent="0.35">
      <c r="A289" s="40">
        <v>45777</v>
      </c>
      <c r="B289" s="38">
        <v>-4.5</v>
      </c>
      <c r="C289" s="13" t="s">
        <v>4584</v>
      </c>
      <c r="D289" s="36">
        <v>2419.39</v>
      </c>
      <c r="E289" s="43" t="s">
        <v>3596</v>
      </c>
    </row>
    <row r="290" spans="1:5" x14ac:dyDescent="0.35">
      <c r="A290" s="40">
        <v>45776</v>
      </c>
      <c r="B290" s="38">
        <v>-52.2</v>
      </c>
      <c r="C290" s="13" t="s">
        <v>4585</v>
      </c>
      <c r="D290" s="36">
        <v>2423.89</v>
      </c>
      <c r="E290" s="43" t="s">
        <v>3596</v>
      </c>
    </row>
    <row r="291" spans="1:5" x14ac:dyDescent="0.35">
      <c r="A291" s="40">
        <v>45774</v>
      </c>
      <c r="B291" s="38">
        <v>-130</v>
      </c>
      <c r="C291" s="13" t="s">
        <v>4586</v>
      </c>
      <c r="D291" s="36">
        <v>2476.09</v>
      </c>
      <c r="E291" s="43" t="s">
        <v>3596</v>
      </c>
    </row>
    <row r="292" spans="1:5" x14ac:dyDescent="0.35">
      <c r="A292" s="40">
        <v>45773</v>
      </c>
      <c r="B292" s="38">
        <v>-76.069999999999993</v>
      </c>
      <c r="C292" s="13" t="s">
        <v>4587</v>
      </c>
      <c r="D292" s="36">
        <v>2606.09</v>
      </c>
      <c r="E292" s="43" t="s">
        <v>3596</v>
      </c>
    </row>
    <row r="293" spans="1:5" x14ac:dyDescent="0.35">
      <c r="A293" s="40">
        <v>45773</v>
      </c>
      <c r="B293" s="38">
        <v>-59.97</v>
      </c>
      <c r="C293" s="13" t="s">
        <v>3742</v>
      </c>
      <c r="D293" s="36">
        <v>2682.16</v>
      </c>
      <c r="E293" s="43" t="s">
        <v>3596</v>
      </c>
    </row>
    <row r="294" spans="1:5" x14ac:dyDescent="0.35">
      <c r="A294" s="40">
        <v>45771</v>
      </c>
      <c r="B294" s="38">
        <v>-37.35</v>
      </c>
      <c r="C294" s="13" t="s">
        <v>3670</v>
      </c>
      <c r="D294" s="36">
        <v>2742.13</v>
      </c>
      <c r="E294" s="43" t="s">
        <v>3596</v>
      </c>
    </row>
    <row r="295" spans="1:5" x14ac:dyDescent="0.35">
      <c r="A295" s="40">
        <v>45771</v>
      </c>
      <c r="B295" s="38">
        <v>-26</v>
      </c>
      <c r="C295" s="13" t="s">
        <v>4588</v>
      </c>
      <c r="D295" s="36">
        <v>2779.48</v>
      </c>
      <c r="E295" s="43" t="s">
        <v>3596</v>
      </c>
    </row>
    <row r="296" spans="1:5" x14ac:dyDescent="0.35">
      <c r="A296" s="40">
        <v>45771</v>
      </c>
      <c r="B296" s="38">
        <v>-145.75</v>
      </c>
      <c r="C296" s="13" t="s">
        <v>4589</v>
      </c>
      <c r="D296" s="36">
        <v>2805.48</v>
      </c>
      <c r="E296" s="43" t="s">
        <v>3596</v>
      </c>
    </row>
    <row r="297" spans="1:5" x14ac:dyDescent="0.35">
      <c r="A297" s="40">
        <v>45771</v>
      </c>
      <c r="B297" s="38">
        <v>-682.83</v>
      </c>
      <c r="C297" s="13" t="s">
        <v>3668</v>
      </c>
      <c r="D297" s="36">
        <v>2951.23</v>
      </c>
      <c r="E297" s="43" t="s">
        <v>3596</v>
      </c>
    </row>
    <row r="298" spans="1:5" x14ac:dyDescent="0.35">
      <c r="A298" s="40">
        <v>45771</v>
      </c>
      <c r="B298" s="38">
        <v>2959.64</v>
      </c>
      <c r="C298" s="13" t="s">
        <v>4590</v>
      </c>
      <c r="D298" s="36">
        <v>3634.06</v>
      </c>
      <c r="E298" s="43" t="s">
        <v>3596</v>
      </c>
    </row>
    <row r="299" spans="1:5" x14ac:dyDescent="0.35">
      <c r="A299" s="40">
        <v>45770</v>
      </c>
      <c r="B299" s="38">
        <v>-101.6</v>
      </c>
      <c r="C299" s="13" t="s">
        <v>4591</v>
      </c>
      <c r="D299" s="36">
        <v>674.42</v>
      </c>
      <c r="E299" s="43" t="s">
        <v>3596</v>
      </c>
    </row>
    <row r="300" spans="1:5" x14ac:dyDescent="0.35">
      <c r="A300" s="40">
        <v>45770</v>
      </c>
      <c r="B300" s="38">
        <v>179</v>
      </c>
      <c r="C300" s="13" t="s">
        <v>4592</v>
      </c>
      <c r="D300" s="36">
        <v>776.02</v>
      </c>
      <c r="E300" s="43" t="s">
        <v>3596</v>
      </c>
    </row>
    <row r="301" spans="1:5" x14ac:dyDescent="0.35">
      <c r="A301" s="40">
        <v>45766</v>
      </c>
      <c r="B301" s="38">
        <v>-55.83</v>
      </c>
      <c r="C301" s="13" t="s">
        <v>4593</v>
      </c>
      <c r="D301" s="36">
        <v>597.02</v>
      </c>
      <c r="E301" s="43" t="s">
        <v>3596</v>
      </c>
    </row>
    <row r="302" spans="1:5" x14ac:dyDescent="0.35">
      <c r="A302" s="40">
        <v>45766</v>
      </c>
      <c r="B302" s="38">
        <v>-21.31</v>
      </c>
      <c r="C302" s="13" t="s">
        <v>3739</v>
      </c>
      <c r="D302" s="36">
        <v>652.85</v>
      </c>
      <c r="E302" s="43" t="s">
        <v>3596</v>
      </c>
    </row>
    <row r="303" spans="1:5" x14ac:dyDescent="0.35">
      <c r="A303" s="40">
        <v>45765</v>
      </c>
      <c r="B303" s="38">
        <v>-87.5</v>
      </c>
      <c r="C303" s="13" t="s">
        <v>4594</v>
      </c>
      <c r="D303" s="36">
        <v>674.16</v>
      </c>
      <c r="E303" s="43" t="s">
        <v>3596</v>
      </c>
    </row>
    <row r="304" spans="1:5" x14ac:dyDescent="0.35">
      <c r="A304" s="40">
        <v>45764</v>
      </c>
      <c r="B304" s="38">
        <v>-2.9</v>
      </c>
      <c r="C304" s="13" t="s">
        <v>24</v>
      </c>
      <c r="D304" s="36">
        <v>761.66</v>
      </c>
      <c r="E304" s="43" t="s">
        <v>3596</v>
      </c>
    </row>
    <row r="305" spans="1:5" x14ac:dyDescent="0.35">
      <c r="A305" s="40">
        <v>45764</v>
      </c>
      <c r="B305" s="38">
        <v>-300</v>
      </c>
      <c r="C305" s="13" t="s">
        <v>4595</v>
      </c>
      <c r="D305" s="36">
        <v>764.56</v>
      </c>
      <c r="E305" s="43" t="s">
        <v>3596</v>
      </c>
    </row>
    <row r="306" spans="1:5" x14ac:dyDescent="0.35">
      <c r="A306" s="40">
        <v>45763</v>
      </c>
      <c r="B306" s="38">
        <v>-19.95</v>
      </c>
      <c r="C306" s="13" t="s">
        <v>3743</v>
      </c>
      <c r="D306" s="36">
        <v>1064.56</v>
      </c>
      <c r="E306" s="43" t="s">
        <v>3596</v>
      </c>
    </row>
    <row r="307" spans="1:5" x14ac:dyDescent="0.35">
      <c r="A307" s="40">
        <v>45763</v>
      </c>
      <c r="B307" s="38">
        <v>-148</v>
      </c>
      <c r="C307" s="13" t="s">
        <v>4596</v>
      </c>
      <c r="D307" s="36">
        <v>1084.51</v>
      </c>
      <c r="E307" s="43" t="s">
        <v>3596</v>
      </c>
    </row>
    <row r="308" spans="1:5" x14ac:dyDescent="0.35">
      <c r="A308" s="40">
        <v>45762</v>
      </c>
      <c r="B308" s="38">
        <v>-1.27</v>
      </c>
      <c r="C308" s="13" t="s">
        <v>4597</v>
      </c>
      <c r="D308" s="36">
        <v>1232.51</v>
      </c>
      <c r="E308" s="43" t="s">
        <v>3596</v>
      </c>
    </row>
    <row r="309" spans="1:5" x14ac:dyDescent="0.35">
      <c r="A309" s="40">
        <v>45762</v>
      </c>
      <c r="B309" s="38">
        <v>-36.340000000000003</v>
      </c>
      <c r="C309" s="13" t="s">
        <v>4598</v>
      </c>
      <c r="D309" s="36">
        <v>1233.78</v>
      </c>
      <c r="E309" s="43" t="s">
        <v>3596</v>
      </c>
    </row>
    <row r="310" spans="1:5" x14ac:dyDescent="0.35">
      <c r="A310" s="40">
        <v>45762</v>
      </c>
      <c r="B310" s="38">
        <v>-39.25</v>
      </c>
      <c r="C310" s="13" t="s">
        <v>4599</v>
      </c>
      <c r="D310" s="36">
        <v>1270.1199999999999</v>
      </c>
      <c r="E310" s="43" t="s">
        <v>3596</v>
      </c>
    </row>
    <row r="311" spans="1:5" x14ac:dyDescent="0.35">
      <c r="A311" s="40">
        <v>45762</v>
      </c>
      <c r="B311" s="38">
        <v>-179</v>
      </c>
      <c r="C311" s="13" t="s">
        <v>4600</v>
      </c>
      <c r="D311" s="36">
        <v>1309.3699999999999</v>
      </c>
      <c r="E311" s="43" t="s">
        <v>3596</v>
      </c>
    </row>
    <row r="312" spans="1:5" x14ac:dyDescent="0.35">
      <c r="A312" s="40">
        <v>45761</v>
      </c>
      <c r="B312" s="38">
        <v>-423.48</v>
      </c>
      <c r="C312" s="13" t="s">
        <v>4601</v>
      </c>
      <c r="D312" s="36">
        <v>1488.37</v>
      </c>
      <c r="E312" s="43" t="s">
        <v>3596</v>
      </c>
    </row>
    <row r="313" spans="1:5" x14ac:dyDescent="0.35">
      <c r="A313" s="40">
        <v>45759</v>
      </c>
      <c r="B313" s="38">
        <v>-85.46</v>
      </c>
      <c r="C313" s="13" t="s">
        <v>4552</v>
      </c>
      <c r="D313" s="36">
        <v>1911.85</v>
      </c>
      <c r="E313" s="43" t="s">
        <v>3596</v>
      </c>
    </row>
    <row r="314" spans="1:5" x14ac:dyDescent="0.35">
      <c r="A314" s="40">
        <v>45757</v>
      </c>
      <c r="B314" s="38">
        <v>-37.35</v>
      </c>
      <c r="C314" s="13" t="s">
        <v>3670</v>
      </c>
      <c r="D314" s="36">
        <v>1997.31</v>
      </c>
      <c r="E314" s="43" t="s">
        <v>3596</v>
      </c>
    </row>
    <row r="315" spans="1:5" x14ac:dyDescent="0.35">
      <c r="A315" s="40">
        <v>45757</v>
      </c>
      <c r="B315" s="38">
        <v>-180</v>
      </c>
      <c r="C315" s="13" t="s">
        <v>3741</v>
      </c>
      <c r="D315" s="36">
        <v>2034.66</v>
      </c>
      <c r="E315" s="43" t="s">
        <v>3596</v>
      </c>
    </row>
    <row r="316" spans="1:5" x14ac:dyDescent="0.35">
      <c r="A316" s="40">
        <v>45757</v>
      </c>
      <c r="B316" s="38">
        <v>-200</v>
      </c>
      <c r="C316" s="13" t="s">
        <v>1571</v>
      </c>
      <c r="D316" s="36">
        <v>2214.66</v>
      </c>
      <c r="E316" s="43" t="s">
        <v>3596</v>
      </c>
    </row>
    <row r="317" spans="1:5" x14ac:dyDescent="0.35">
      <c r="A317" s="40">
        <v>45757</v>
      </c>
      <c r="B317" s="38">
        <v>-682.83</v>
      </c>
      <c r="C317" s="13" t="s">
        <v>3668</v>
      </c>
      <c r="D317" s="36">
        <v>2414.66</v>
      </c>
      <c r="E317" s="43" t="s">
        <v>3596</v>
      </c>
    </row>
    <row r="318" spans="1:5" x14ac:dyDescent="0.35">
      <c r="A318" s="40">
        <v>45757</v>
      </c>
      <c r="B318" s="38">
        <v>2959.64</v>
      </c>
      <c r="C318" s="13" t="s">
        <v>4602</v>
      </c>
      <c r="D318" s="36">
        <v>3097.49</v>
      </c>
      <c r="E318" s="43" t="s">
        <v>3596</v>
      </c>
    </row>
    <row r="319" spans="1:5" x14ac:dyDescent="0.35">
      <c r="A319" s="40">
        <v>45756</v>
      </c>
      <c r="B319" s="38">
        <v>-79</v>
      </c>
      <c r="C319" s="13" t="s">
        <v>4603</v>
      </c>
      <c r="D319" s="36">
        <v>137.85</v>
      </c>
      <c r="E319" s="43" t="s">
        <v>3596</v>
      </c>
    </row>
    <row r="320" spans="1:5" x14ac:dyDescent="0.35">
      <c r="A320" s="40">
        <v>45755</v>
      </c>
      <c r="B320" s="38">
        <v>-38.57</v>
      </c>
      <c r="C320" s="13" t="s">
        <v>3744</v>
      </c>
      <c r="D320" s="36">
        <v>216.85</v>
      </c>
      <c r="E320" s="43" t="s">
        <v>3596</v>
      </c>
    </row>
    <row r="321" spans="1:5" x14ac:dyDescent="0.35">
      <c r="A321" s="40">
        <v>45755</v>
      </c>
      <c r="B321" s="38">
        <v>-17.57</v>
      </c>
      <c r="C321" s="13" t="s">
        <v>4604</v>
      </c>
      <c r="D321" s="36">
        <v>255.42</v>
      </c>
      <c r="E321" s="43" t="s">
        <v>3596</v>
      </c>
    </row>
    <row r="322" spans="1:5" x14ac:dyDescent="0.35">
      <c r="A322" s="40">
        <v>45754</v>
      </c>
      <c r="B322" s="38">
        <v>-200</v>
      </c>
      <c r="C322" s="13" t="s">
        <v>4605</v>
      </c>
      <c r="D322" s="36">
        <v>272.99</v>
      </c>
      <c r="E322" s="43" t="s">
        <v>3596</v>
      </c>
    </row>
    <row r="323" spans="1:5" x14ac:dyDescent="0.35">
      <c r="A323" s="40">
        <v>45754</v>
      </c>
      <c r="B323" s="38">
        <v>200</v>
      </c>
      <c r="C323" s="13" t="s">
        <v>4606</v>
      </c>
      <c r="D323" s="36">
        <v>472.99</v>
      </c>
      <c r="E323" s="43" t="s">
        <v>3596</v>
      </c>
    </row>
    <row r="324" spans="1:5" x14ac:dyDescent="0.35">
      <c r="A324" s="40">
        <v>45754</v>
      </c>
      <c r="B324" s="38">
        <v>135</v>
      </c>
      <c r="C324" s="13" t="s">
        <v>4607</v>
      </c>
      <c r="D324" s="36">
        <v>272.99</v>
      </c>
      <c r="E324" s="43" t="s">
        <v>3596</v>
      </c>
    </row>
    <row r="325" spans="1:5" x14ac:dyDescent="0.35">
      <c r="A325" s="40">
        <v>45753</v>
      </c>
      <c r="B325" s="38">
        <v>-3.2</v>
      </c>
      <c r="C325" s="13" t="s">
        <v>24</v>
      </c>
      <c r="D325" s="36">
        <v>137.99</v>
      </c>
      <c r="E325" s="43" t="s">
        <v>3596</v>
      </c>
    </row>
    <row r="326" spans="1:5" x14ac:dyDescent="0.35">
      <c r="A326" s="40">
        <v>45753</v>
      </c>
      <c r="B326" s="38">
        <v>-130</v>
      </c>
      <c r="C326" s="13" t="s">
        <v>4608</v>
      </c>
      <c r="D326" s="36">
        <v>141.19</v>
      </c>
      <c r="E326" s="43" t="s">
        <v>3596</v>
      </c>
    </row>
    <row r="327" spans="1:5" x14ac:dyDescent="0.35">
      <c r="A327" s="40">
        <v>45753</v>
      </c>
      <c r="B327" s="38">
        <v>-8.5</v>
      </c>
      <c r="C327" s="13" t="s">
        <v>4609</v>
      </c>
      <c r="D327" s="36">
        <v>271.19</v>
      </c>
      <c r="E327" s="43" t="s">
        <v>3596</v>
      </c>
    </row>
    <row r="328" spans="1:5" x14ac:dyDescent="0.35">
      <c r="A328" s="40">
        <v>45752</v>
      </c>
      <c r="B328" s="38">
        <v>-16.18</v>
      </c>
      <c r="C328" s="13" t="s">
        <v>3739</v>
      </c>
      <c r="D328" s="36">
        <v>279.69</v>
      </c>
      <c r="E328" s="43" t="s">
        <v>3596</v>
      </c>
    </row>
    <row r="329" spans="1:5" x14ac:dyDescent="0.35">
      <c r="A329" s="40">
        <v>45752</v>
      </c>
      <c r="B329" s="38">
        <v>-8.99</v>
      </c>
      <c r="C329" s="13" t="s">
        <v>3664</v>
      </c>
      <c r="D329" s="36">
        <v>295.87</v>
      </c>
      <c r="E329" s="43" t="s">
        <v>3596</v>
      </c>
    </row>
    <row r="330" spans="1:5" x14ac:dyDescent="0.35">
      <c r="A330" s="40">
        <v>45752</v>
      </c>
      <c r="B330" s="38">
        <v>-3.73</v>
      </c>
      <c r="C330" s="13" t="s">
        <v>3664</v>
      </c>
      <c r="D330" s="36">
        <v>304.86</v>
      </c>
      <c r="E330" s="43" t="s">
        <v>3596</v>
      </c>
    </row>
    <row r="331" spans="1:5" x14ac:dyDescent="0.35">
      <c r="A331" s="40">
        <v>45752</v>
      </c>
      <c r="B331" s="38">
        <v>-8.5</v>
      </c>
      <c r="C331" s="13" t="s">
        <v>3739</v>
      </c>
      <c r="D331" s="36">
        <v>308.58999999999997</v>
      </c>
      <c r="E331" s="43" t="s">
        <v>3596</v>
      </c>
    </row>
    <row r="332" spans="1:5" x14ac:dyDescent="0.35">
      <c r="A332" s="40">
        <v>45751</v>
      </c>
      <c r="B332" s="38">
        <v>-54.02</v>
      </c>
      <c r="C332" s="13" t="s">
        <v>4610</v>
      </c>
      <c r="D332" s="36">
        <v>317.08999999999997</v>
      </c>
      <c r="E332" s="43" t="s">
        <v>3596</v>
      </c>
    </row>
    <row r="333" spans="1:5" x14ac:dyDescent="0.35">
      <c r="A333" s="40">
        <v>45750</v>
      </c>
      <c r="B333" s="38">
        <v>-40</v>
      </c>
      <c r="C333" s="13" t="s">
        <v>4611</v>
      </c>
      <c r="D333" s="36">
        <v>371.11</v>
      </c>
      <c r="E333" s="43" t="s">
        <v>3596</v>
      </c>
    </row>
    <row r="334" spans="1:5" x14ac:dyDescent="0.35">
      <c r="A334" s="40">
        <v>45746</v>
      </c>
      <c r="B334" s="38">
        <v>-7.07</v>
      </c>
      <c r="C334" s="13" t="s">
        <v>4612</v>
      </c>
      <c r="D334" s="36">
        <v>411.11</v>
      </c>
      <c r="E334" s="43" t="s">
        <v>3596</v>
      </c>
    </row>
    <row r="335" spans="1:5" x14ac:dyDescent="0.35">
      <c r="A335" s="40">
        <v>45746</v>
      </c>
      <c r="B335" s="38">
        <v>-32.409999999999997</v>
      </c>
      <c r="C335" s="13" t="s">
        <v>4613</v>
      </c>
      <c r="D335" s="36">
        <v>418.18</v>
      </c>
      <c r="E335" s="43" t="s">
        <v>3596</v>
      </c>
    </row>
    <row r="336" spans="1:5" x14ac:dyDescent="0.35">
      <c r="A336" s="40">
        <v>45746</v>
      </c>
      <c r="B336" s="38">
        <v>-7.07</v>
      </c>
      <c r="C336" s="13" t="s">
        <v>4612</v>
      </c>
      <c r="D336" s="36">
        <v>450.59</v>
      </c>
      <c r="E336" s="43" t="s">
        <v>3596</v>
      </c>
    </row>
    <row r="337" spans="1:5" x14ac:dyDescent="0.35">
      <c r="A337" s="40">
        <v>45745</v>
      </c>
      <c r="B337" s="38">
        <v>-4000</v>
      </c>
      <c r="C337" s="13" t="s">
        <v>4614</v>
      </c>
      <c r="D337" s="36">
        <v>457.66</v>
      </c>
      <c r="E337" s="43" t="s">
        <v>3596</v>
      </c>
    </row>
    <row r="338" spans="1:5" x14ac:dyDescent="0.35">
      <c r="A338" s="40">
        <v>45743</v>
      </c>
      <c r="B338" s="38">
        <v>-37.35</v>
      </c>
      <c r="C338" s="13" t="s">
        <v>3670</v>
      </c>
      <c r="D338" s="36">
        <v>4457.66</v>
      </c>
      <c r="E338" s="43" t="s">
        <v>3596</v>
      </c>
    </row>
    <row r="339" spans="1:5" x14ac:dyDescent="0.35">
      <c r="A339" s="40">
        <v>45743</v>
      </c>
      <c r="B339" s="38">
        <v>-682.83</v>
      </c>
      <c r="C339" s="13" t="s">
        <v>3668</v>
      </c>
      <c r="D339" s="36">
        <v>4495.01</v>
      </c>
      <c r="E339" s="43" t="s">
        <v>3596</v>
      </c>
    </row>
    <row r="340" spans="1:5" x14ac:dyDescent="0.35">
      <c r="A340" s="40">
        <v>45743</v>
      </c>
      <c r="B340" s="38">
        <v>-279.99</v>
      </c>
      <c r="C340" s="13" t="s">
        <v>4615</v>
      </c>
      <c r="D340" s="36">
        <v>5177.84</v>
      </c>
      <c r="E340" s="43" t="s">
        <v>3596</v>
      </c>
    </row>
    <row r="341" spans="1:5" x14ac:dyDescent="0.35">
      <c r="A341" s="40">
        <v>45743</v>
      </c>
      <c r="B341" s="38">
        <v>-16.989999999999998</v>
      </c>
      <c r="C341" s="13" t="s">
        <v>4616</v>
      </c>
      <c r="D341" s="36">
        <v>5457.83</v>
      </c>
      <c r="E341" s="43" t="s">
        <v>3596</v>
      </c>
    </row>
    <row r="342" spans="1:5" x14ac:dyDescent="0.35">
      <c r="A342" s="40">
        <v>45743</v>
      </c>
      <c r="B342" s="38">
        <v>2959.64</v>
      </c>
      <c r="C342" s="13" t="s">
        <v>4617</v>
      </c>
      <c r="D342" s="36">
        <v>5474.82</v>
      </c>
      <c r="E342" s="43" t="s">
        <v>3596</v>
      </c>
    </row>
    <row r="343" spans="1:5" x14ac:dyDescent="0.35">
      <c r="A343" s="40">
        <v>45741</v>
      </c>
      <c r="B343" s="38">
        <v>140</v>
      </c>
      <c r="C343" s="13" t="s">
        <v>4618</v>
      </c>
      <c r="D343" s="36">
        <v>2515.1799999999998</v>
      </c>
      <c r="E343" s="43" t="s">
        <v>3596</v>
      </c>
    </row>
    <row r="344" spans="1:5" x14ac:dyDescent="0.35">
      <c r="A344" s="40">
        <v>45741</v>
      </c>
      <c r="B344" s="38">
        <v>-16</v>
      </c>
      <c r="C344" s="13" t="s">
        <v>3334</v>
      </c>
      <c r="D344" s="36">
        <v>2375.1799999999998</v>
      </c>
      <c r="E344" s="43" t="s">
        <v>3596</v>
      </c>
    </row>
    <row r="345" spans="1:5" x14ac:dyDescent="0.35">
      <c r="A345" s="40">
        <v>45741</v>
      </c>
      <c r="B345" s="38">
        <v>-26</v>
      </c>
      <c r="C345" s="13" t="s">
        <v>4619</v>
      </c>
      <c r="D345" s="36">
        <v>2391.1799999999998</v>
      </c>
      <c r="E345" s="43" t="s">
        <v>3596</v>
      </c>
    </row>
    <row r="346" spans="1:5" x14ac:dyDescent="0.35">
      <c r="A346" s="40">
        <v>45739</v>
      </c>
      <c r="B346" s="38">
        <v>-585.77</v>
      </c>
      <c r="C346" s="13" t="s">
        <v>4620</v>
      </c>
      <c r="D346" s="36">
        <v>2417.1799999999998</v>
      </c>
      <c r="E346" s="43" t="s">
        <v>3596</v>
      </c>
    </row>
    <row r="347" spans="1:5" x14ac:dyDescent="0.35">
      <c r="A347" s="40">
        <v>45737</v>
      </c>
      <c r="B347" s="38">
        <v>-138.87</v>
      </c>
      <c r="C347" s="13" t="s">
        <v>4621</v>
      </c>
      <c r="D347" s="36">
        <v>3002.95</v>
      </c>
      <c r="E347" s="43" t="s">
        <v>3596</v>
      </c>
    </row>
    <row r="348" spans="1:5" x14ac:dyDescent="0.35">
      <c r="A348" s="40">
        <v>45736</v>
      </c>
      <c r="B348" s="38">
        <v>-33.81</v>
      </c>
      <c r="C348" s="13" t="s">
        <v>3744</v>
      </c>
      <c r="D348" s="36">
        <v>3141.82</v>
      </c>
      <c r="E348" s="43" t="s">
        <v>3596</v>
      </c>
    </row>
    <row r="349" spans="1:5" x14ac:dyDescent="0.35">
      <c r="A349" s="40">
        <v>45734</v>
      </c>
      <c r="B349" s="38">
        <v>-4.99</v>
      </c>
      <c r="C349" s="13" t="s">
        <v>4622</v>
      </c>
      <c r="D349" s="36">
        <v>3175.63</v>
      </c>
      <c r="E349" s="43" t="s">
        <v>3596</v>
      </c>
    </row>
    <row r="350" spans="1:5" x14ac:dyDescent="0.35">
      <c r="A350" s="40">
        <v>45731</v>
      </c>
      <c r="B350" s="38">
        <v>-48.43</v>
      </c>
      <c r="C350" s="13" t="s">
        <v>4623</v>
      </c>
      <c r="D350" s="36">
        <v>3180.62</v>
      </c>
      <c r="E350" s="43" t="s">
        <v>3596</v>
      </c>
    </row>
    <row r="351" spans="1:5" x14ac:dyDescent="0.35">
      <c r="A351" s="40">
        <v>45730</v>
      </c>
      <c r="B351" s="38">
        <v>-120</v>
      </c>
      <c r="C351" s="13" t="s">
        <v>3741</v>
      </c>
      <c r="D351" s="36">
        <v>3229.05</v>
      </c>
      <c r="E351" s="43" t="s">
        <v>3596</v>
      </c>
    </row>
    <row r="352" spans="1:5" x14ac:dyDescent="0.35">
      <c r="A352" s="40">
        <v>45729</v>
      </c>
      <c r="B352" s="38">
        <v>-37.35</v>
      </c>
      <c r="C352" s="13" t="s">
        <v>3670</v>
      </c>
      <c r="D352" s="36">
        <v>3349.05</v>
      </c>
      <c r="E352" s="43" t="s">
        <v>3596</v>
      </c>
    </row>
    <row r="353" spans="1:5" x14ac:dyDescent="0.35">
      <c r="A353" s="40">
        <v>45729</v>
      </c>
      <c r="B353" s="38">
        <v>-682.83</v>
      </c>
      <c r="C353" s="13" t="s">
        <v>3668</v>
      </c>
      <c r="D353" s="36">
        <v>3386.4</v>
      </c>
      <c r="E353" s="43" t="s">
        <v>3596</v>
      </c>
    </row>
    <row r="354" spans="1:5" x14ac:dyDescent="0.35">
      <c r="A354" s="40">
        <v>45729</v>
      </c>
      <c r="B354" s="38">
        <v>-1.22</v>
      </c>
      <c r="C354" s="13" t="s">
        <v>4624</v>
      </c>
      <c r="D354" s="36">
        <v>4069.23</v>
      </c>
      <c r="E354" s="43" t="s">
        <v>3596</v>
      </c>
    </row>
    <row r="355" spans="1:5" x14ac:dyDescent="0.35">
      <c r="A355" s="40">
        <v>45729</v>
      </c>
      <c r="B355" s="38">
        <v>-34.96</v>
      </c>
      <c r="C355" s="13" t="s">
        <v>4625</v>
      </c>
      <c r="D355" s="36">
        <v>4070.45</v>
      </c>
      <c r="E355" s="43" t="s">
        <v>3596</v>
      </c>
    </row>
    <row r="356" spans="1:5" x14ac:dyDescent="0.35">
      <c r="A356" s="40">
        <v>45729</v>
      </c>
      <c r="B356" s="38">
        <v>2865.27</v>
      </c>
      <c r="C356" s="13" t="s">
        <v>4626</v>
      </c>
      <c r="D356" s="36">
        <v>4105.41</v>
      </c>
      <c r="E356" s="43" t="s">
        <v>3596</v>
      </c>
    </row>
    <row r="357" spans="1:5" x14ac:dyDescent="0.35">
      <c r="A357" s="40">
        <v>45728</v>
      </c>
      <c r="B357" s="38">
        <v>-79</v>
      </c>
      <c r="C357" s="13" t="s">
        <v>4627</v>
      </c>
      <c r="D357" s="36">
        <v>1240.1400000000001</v>
      </c>
      <c r="E357" s="43" t="s">
        <v>3596</v>
      </c>
    </row>
    <row r="358" spans="1:5" x14ac:dyDescent="0.35">
      <c r="A358" s="40">
        <v>45728</v>
      </c>
      <c r="B358" s="38">
        <v>-40</v>
      </c>
      <c r="C358" s="13" t="s">
        <v>4628</v>
      </c>
      <c r="D358" s="36">
        <v>1319.14</v>
      </c>
      <c r="E358" s="43" t="s">
        <v>3596</v>
      </c>
    </row>
    <row r="359" spans="1:5" x14ac:dyDescent="0.35">
      <c r="A359" s="40">
        <v>45727</v>
      </c>
      <c r="B359" s="38">
        <v>-16</v>
      </c>
      <c r="C359" s="13" t="s">
        <v>3334</v>
      </c>
      <c r="D359" s="36">
        <v>1359.14</v>
      </c>
      <c r="E359" s="43" t="s">
        <v>3596</v>
      </c>
    </row>
    <row r="360" spans="1:5" x14ac:dyDescent="0.35">
      <c r="A360" s="40">
        <v>45726</v>
      </c>
      <c r="B360" s="38">
        <v>-21.34</v>
      </c>
      <c r="C360" s="13" t="s">
        <v>4552</v>
      </c>
      <c r="D360" s="36">
        <v>1375.14</v>
      </c>
      <c r="E360" s="43" t="s">
        <v>3596</v>
      </c>
    </row>
    <row r="361" spans="1:5" x14ac:dyDescent="0.35">
      <c r="A361" s="40">
        <v>45725</v>
      </c>
      <c r="B361" s="38">
        <v>-66.97</v>
      </c>
      <c r="C361" s="13" t="s">
        <v>3664</v>
      </c>
      <c r="D361" s="36">
        <v>1396.48</v>
      </c>
      <c r="E361" s="43" t="s">
        <v>3596</v>
      </c>
    </row>
    <row r="362" spans="1:5" x14ac:dyDescent="0.35">
      <c r="A362" s="40">
        <v>45725</v>
      </c>
      <c r="B362" s="38">
        <v>110</v>
      </c>
      <c r="C362" s="13" t="s">
        <v>3745</v>
      </c>
      <c r="D362" s="36">
        <v>1463.45</v>
      </c>
      <c r="E362" s="43" t="s">
        <v>3596</v>
      </c>
    </row>
    <row r="363" spans="1:5" x14ac:dyDescent="0.35">
      <c r="A363" s="40">
        <v>45725</v>
      </c>
      <c r="B363" s="38">
        <v>-110</v>
      </c>
      <c r="C363" s="13" t="s">
        <v>3664</v>
      </c>
      <c r="D363" s="36">
        <v>1353.45</v>
      </c>
      <c r="E363" s="43" t="s">
        <v>3596</v>
      </c>
    </row>
    <row r="364" spans="1:5" x14ac:dyDescent="0.35">
      <c r="A364" s="40">
        <v>45725</v>
      </c>
      <c r="B364" s="38">
        <v>-13.84</v>
      </c>
      <c r="C364" s="13" t="s">
        <v>3739</v>
      </c>
      <c r="D364" s="36">
        <v>1463.45</v>
      </c>
      <c r="E364" s="43" t="s">
        <v>3596</v>
      </c>
    </row>
    <row r="365" spans="1:5" x14ac:dyDescent="0.35">
      <c r="A365" s="40">
        <v>45725</v>
      </c>
      <c r="B365" s="38">
        <v>-120</v>
      </c>
      <c r="C365" s="13" t="s">
        <v>3741</v>
      </c>
      <c r="D365" s="36">
        <v>1477.29</v>
      </c>
      <c r="E365" s="43" t="s">
        <v>3596</v>
      </c>
    </row>
    <row r="366" spans="1:5" x14ac:dyDescent="0.35">
      <c r="A366" s="40">
        <v>45721</v>
      </c>
      <c r="B366" s="38">
        <v>-15.9</v>
      </c>
      <c r="C366" s="13" t="s">
        <v>4629</v>
      </c>
      <c r="D366" s="36">
        <v>1597.29</v>
      </c>
      <c r="E366" s="43" t="s">
        <v>3596</v>
      </c>
    </row>
    <row r="367" spans="1:5" x14ac:dyDescent="0.35">
      <c r="A367" s="40">
        <v>45721</v>
      </c>
      <c r="B367" s="38">
        <v>-41</v>
      </c>
      <c r="C367" s="13" t="s">
        <v>3744</v>
      </c>
      <c r="D367" s="36">
        <v>1613.19</v>
      </c>
      <c r="E367" s="43" t="s">
        <v>3596</v>
      </c>
    </row>
    <row r="368" spans="1:5" x14ac:dyDescent="0.35">
      <c r="A368" s="40">
        <v>45720</v>
      </c>
      <c r="B368" s="38">
        <v>-17</v>
      </c>
      <c r="C368" s="13" t="s">
        <v>3733</v>
      </c>
      <c r="D368" s="36">
        <v>1654.19</v>
      </c>
      <c r="E368" s="43" t="s">
        <v>3596</v>
      </c>
    </row>
    <row r="369" spans="1:5" x14ac:dyDescent="0.35">
      <c r="A369" s="40">
        <v>45720</v>
      </c>
      <c r="B369" s="38">
        <v>-14.9</v>
      </c>
      <c r="C369" s="13" t="s">
        <v>4630</v>
      </c>
      <c r="D369" s="36">
        <v>1671.19</v>
      </c>
      <c r="E369" s="43" t="s">
        <v>3596</v>
      </c>
    </row>
    <row r="370" spans="1:5" x14ac:dyDescent="0.35">
      <c r="A370" s="40">
        <v>45720</v>
      </c>
      <c r="B370" s="38">
        <v>-8</v>
      </c>
      <c r="C370" s="13" t="s">
        <v>4631</v>
      </c>
      <c r="D370" s="36">
        <v>1686.09</v>
      </c>
      <c r="E370" s="43" t="s">
        <v>3596</v>
      </c>
    </row>
    <row r="371" spans="1:5" x14ac:dyDescent="0.35">
      <c r="A371" s="40">
        <v>45720</v>
      </c>
      <c r="B371" s="38">
        <v>-59.67</v>
      </c>
      <c r="C371" s="13" t="s">
        <v>4632</v>
      </c>
      <c r="D371" s="36">
        <v>1694.09</v>
      </c>
      <c r="E371" s="43" t="s">
        <v>3596</v>
      </c>
    </row>
    <row r="372" spans="1:5" x14ac:dyDescent="0.35">
      <c r="A372" s="40">
        <v>45719</v>
      </c>
      <c r="B372" s="38">
        <v>-28.88</v>
      </c>
      <c r="C372" s="13" t="s">
        <v>3671</v>
      </c>
      <c r="D372" s="36">
        <v>1753.76</v>
      </c>
      <c r="E372" s="43" t="s">
        <v>3596</v>
      </c>
    </row>
    <row r="373" spans="1:5" x14ac:dyDescent="0.35">
      <c r="A373" s="40">
        <v>45715</v>
      </c>
      <c r="B373" s="38">
        <v>-37.35</v>
      </c>
      <c r="C373" s="13" t="s">
        <v>3670</v>
      </c>
      <c r="D373" s="36">
        <v>1782.64</v>
      </c>
      <c r="E373" s="43" t="s">
        <v>3596</v>
      </c>
    </row>
    <row r="374" spans="1:5" x14ac:dyDescent="0.35">
      <c r="A374" s="40">
        <v>45715</v>
      </c>
      <c r="B374" s="38">
        <v>-1408.62</v>
      </c>
      <c r="C374" s="13" t="s">
        <v>3668</v>
      </c>
      <c r="D374" s="36">
        <v>1819.99</v>
      </c>
      <c r="E374" s="43" t="s">
        <v>3596</v>
      </c>
    </row>
    <row r="375" spans="1:5" x14ac:dyDescent="0.35">
      <c r="A375" s="40">
        <v>45715</v>
      </c>
      <c r="B375" s="38">
        <v>2865.27</v>
      </c>
      <c r="C375" s="13" t="s">
        <v>4633</v>
      </c>
      <c r="D375" s="36">
        <v>3228.61</v>
      </c>
      <c r="E375" s="43" t="s">
        <v>3596</v>
      </c>
    </row>
    <row r="376" spans="1:5" x14ac:dyDescent="0.35">
      <c r="A376" s="40">
        <v>45713</v>
      </c>
      <c r="B376" s="38">
        <v>-3000</v>
      </c>
      <c r="C376" s="13" t="s">
        <v>4614</v>
      </c>
      <c r="D376" s="36">
        <v>363.34</v>
      </c>
      <c r="E376" s="43" t="s">
        <v>3596</v>
      </c>
    </row>
    <row r="377" spans="1:5" x14ac:dyDescent="0.35">
      <c r="A377" s="40">
        <v>45713</v>
      </c>
      <c r="B377" s="38">
        <v>-279.99</v>
      </c>
      <c r="C377" s="13" t="s">
        <v>4634</v>
      </c>
      <c r="D377" s="36">
        <v>3363.34</v>
      </c>
      <c r="E377" s="43" t="s">
        <v>3596</v>
      </c>
    </row>
    <row r="378" spans="1:5" x14ac:dyDescent="0.35">
      <c r="A378" s="40">
        <v>45713</v>
      </c>
      <c r="B378" s="38">
        <v>-26</v>
      </c>
      <c r="C378" s="13" t="s">
        <v>4635</v>
      </c>
      <c r="D378" s="36">
        <v>3643.33</v>
      </c>
      <c r="E378" s="43" t="s">
        <v>3596</v>
      </c>
    </row>
    <row r="379" spans="1:5" x14ac:dyDescent="0.35">
      <c r="A379" s="40">
        <v>45709</v>
      </c>
      <c r="B379" s="38">
        <v>-378.32</v>
      </c>
      <c r="C379" s="13" t="s">
        <v>3746</v>
      </c>
      <c r="D379" s="36">
        <v>3669.33</v>
      </c>
      <c r="E379" s="43" t="s">
        <v>3596</v>
      </c>
    </row>
    <row r="380" spans="1:5" x14ac:dyDescent="0.35">
      <c r="A380" s="40">
        <v>45709</v>
      </c>
      <c r="B380" s="38">
        <v>-42.2</v>
      </c>
      <c r="C380" s="13" t="s">
        <v>3747</v>
      </c>
      <c r="D380" s="36">
        <v>4047.65</v>
      </c>
      <c r="E380" s="43" t="s">
        <v>3596</v>
      </c>
    </row>
    <row r="381" spans="1:5" x14ac:dyDescent="0.35">
      <c r="A381" s="40">
        <v>45709</v>
      </c>
      <c r="B381" s="38">
        <v>-8.6300000000000008</v>
      </c>
      <c r="C381" s="13" t="s">
        <v>3748</v>
      </c>
      <c r="D381" s="36">
        <v>4089.85</v>
      </c>
      <c r="E381" s="43" t="s">
        <v>3596</v>
      </c>
    </row>
    <row r="382" spans="1:5" x14ac:dyDescent="0.35">
      <c r="A382" s="40">
        <v>45709</v>
      </c>
      <c r="B382" s="38">
        <v>-138.87</v>
      </c>
      <c r="C382" s="13" t="s">
        <v>3749</v>
      </c>
      <c r="D382" s="36">
        <v>4098.4799999999996</v>
      </c>
      <c r="E382" s="43" t="s">
        <v>3596</v>
      </c>
    </row>
    <row r="383" spans="1:5" x14ac:dyDescent="0.35">
      <c r="A383" s="40">
        <v>45709</v>
      </c>
      <c r="B383" s="38">
        <v>-21.23</v>
      </c>
      <c r="C383" s="13" t="s">
        <v>3750</v>
      </c>
      <c r="D383" s="36">
        <v>4237.3500000000004</v>
      </c>
      <c r="E383" s="43" t="s">
        <v>3596</v>
      </c>
    </row>
    <row r="384" spans="1:5" x14ac:dyDescent="0.35">
      <c r="A384" s="40">
        <v>45709</v>
      </c>
      <c r="B384" s="38">
        <v>756.64</v>
      </c>
      <c r="C384" s="13" t="s">
        <v>3751</v>
      </c>
      <c r="D384" s="36">
        <v>4258.58</v>
      </c>
      <c r="E384" s="43" t="s">
        <v>3596</v>
      </c>
    </row>
    <row r="385" spans="1:5" x14ac:dyDescent="0.35">
      <c r="A385" s="40">
        <v>45708</v>
      </c>
      <c r="B385" s="38">
        <v>1.32</v>
      </c>
      <c r="C385" s="13" t="s">
        <v>3212</v>
      </c>
      <c r="D385" s="36">
        <v>3501.94</v>
      </c>
      <c r="E385" s="43" t="s">
        <v>3596</v>
      </c>
    </row>
    <row r="386" spans="1:5" x14ac:dyDescent="0.35">
      <c r="A386" s="40">
        <v>45706</v>
      </c>
      <c r="B386" s="38">
        <v>-6.5</v>
      </c>
      <c r="C386" s="13" t="s">
        <v>3739</v>
      </c>
      <c r="D386" s="36">
        <v>3500.62</v>
      </c>
      <c r="E386" s="43" t="s">
        <v>3596</v>
      </c>
    </row>
    <row r="387" spans="1:5" x14ac:dyDescent="0.35">
      <c r="A387" s="40">
        <v>45706</v>
      </c>
      <c r="B387" s="38">
        <v>-16</v>
      </c>
      <c r="C387" s="13" t="s">
        <v>3334</v>
      </c>
      <c r="D387" s="36">
        <v>3507.12</v>
      </c>
      <c r="E387" s="43" t="s">
        <v>3596</v>
      </c>
    </row>
    <row r="388" spans="1:5" x14ac:dyDescent="0.35">
      <c r="A388" s="40">
        <v>45705</v>
      </c>
      <c r="B388" s="38">
        <v>-50</v>
      </c>
      <c r="C388" s="13" t="s">
        <v>3752</v>
      </c>
      <c r="D388" s="36">
        <v>3523.12</v>
      </c>
      <c r="E388" s="43" t="s">
        <v>3596</v>
      </c>
    </row>
    <row r="389" spans="1:5" x14ac:dyDescent="0.35">
      <c r="A389" s="40">
        <v>45702</v>
      </c>
      <c r="B389" s="38">
        <v>-74.989999999999995</v>
      </c>
      <c r="C389" s="13" t="s">
        <v>3753</v>
      </c>
      <c r="D389" s="36">
        <v>3573.12</v>
      </c>
      <c r="E389" s="43" t="s">
        <v>3596</v>
      </c>
    </row>
    <row r="390" spans="1:5" x14ac:dyDescent="0.35">
      <c r="A390" s="40">
        <v>45701</v>
      </c>
      <c r="B390" s="38">
        <v>-37.35</v>
      </c>
      <c r="C390" s="13" t="s">
        <v>3670</v>
      </c>
      <c r="D390" s="36">
        <v>3648.11</v>
      </c>
      <c r="E390" s="43" t="s">
        <v>3596</v>
      </c>
    </row>
    <row r="391" spans="1:5" x14ac:dyDescent="0.35">
      <c r="A391" s="40">
        <v>45701</v>
      </c>
      <c r="B391" s="38">
        <v>-1.24</v>
      </c>
      <c r="C391" s="13" t="s">
        <v>3754</v>
      </c>
      <c r="D391" s="36">
        <v>3685.46</v>
      </c>
      <c r="E391" s="43" t="s">
        <v>3596</v>
      </c>
    </row>
    <row r="392" spans="1:5" x14ac:dyDescent="0.35">
      <c r="A392" s="40">
        <v>45701</v>
      </c>
      <c r="B392" s="38">
        <v>-35.32</v>
      </c>
      <c r="C392" s="13" t="s">
        <v>3755</v>
      </c>
      <c r="D392" s="36">
        <v>3686.7</v>
      </c>
      <c r="E392" s="43" t="s">
        <v>3596</v>
      </c>
    </row>
    <row r="393" spans="1:5" x14ac:dyDescent="0.35">
      <c r="A393" s="40">
        <v>45701</v>
      </c>
      <c r="B393" s="38">
        <v>-40</v>
      </c>
      <c r="C393" s="13" t="s">
        <v>3756</v>
      </c>
      <c r="D393" s="36">
        <v>3722.02</v>
      </c>
      <c r="E393" s="43" t="s">
        <v>3596</v>
      </c>
    </row>
    <row r="394" spans="1:5" x14ac:dyDescent="0.35">
      <c r="A394" s="40">
        <v>45701</v>
      </c>
      <c r="B394" s="38">
        <v>-1408.62</v>
      </c>
      <c r="C394" s="13" t="s">
        <v>3668</v>
      </c>
      <c r="D394" s="36">
        <v>3762.02</v>
      </c>
      <c r="E394" s="43" t="s">
        <v>3596</v>
      </c>
    </row>
    <row r="395" spans="1:5" x14ac:dyDescent="0.35">
      <c r="A395" s="40">
        <v>45701</v>
      </c>
      <c r="B395" s="38">
        <v>2865.27</v>
      </c>
      <c r="C395" s="13" t="s">
        <v>2546</v>
      </c>
      <c r="D395" s="36">
        <v>5170.6400000000003</v>
      </c>
      <c r="E395" s="43" t="s">
        <v>3596</v>
      </c>
    </row>
    <row r="396" spans="1:5" x14ac:dyDescent="0.35">
      <c r="A396" s="40">
        <v>45700</v>
      </c>
      <c r="B396" s="38">
        <v>-6.99</v>
      </c>
      <c r="C396" s="13" t="s">
        <v>3757</v>
      </c>
      <c r="D396" s="36">
        <v>2305.37</v>
      </c>
      <c r="E396" s="43" t="s">
        <v>3596</v>
      </c>
    </row>
    <row r="397" spans="1:5" x14ac:dyDescent="0.35">
      <c r="A397" s="40">
        <v>45699</v>
      </c>
      <c r="B397" s="38">
        <v>-14.73</v>
      </c>
      <c r="C397" s="13" t="s">
        <v>3111</v>
      </c>
      <c r="D397" s="36">
        <v>2312.36</v>
      </c>
      <c r="E397" s="43" t="s">
        <v>3596</v>
      </c>
    </row>
    <row r="398" spans="1:5" x14ac:dyDescent="0.35">
      <c r="A398" s="40">
        <v>45699</v>
      </c>
      <c r="B398" s="38">
        <v>-29.16</v>
      </c>
      <c r="C398" s="13" t="s">
        <v>3758</v>
      </c>
      <c r="D398" s="36">
        <v>2327.09</v>
      </c>
      <c r="E398" s="43" t="s">
        <v>3596</v>
      </c>
    </row>
    <row r="399" spans="1:5" x14ac:dyDescent="0.35">
      <c r="A399" s="40">
        <v>45699</v>
      </c>
      <c r="B399" s="38">
        <v>-10.42</v>
      </c>
      <c r="C399" s="13" t="s">
        <v>3759</v>
      </c>
      <c r="D399" s="36">
        <v>2356.25</v>
      </c>
      <c r="E399" s="43" t="s">
        <v>3596</v>
      </c>
    </row>
    <row r="400" spans="1:5" x14ac:dyDescent="0.35">
      <c r="A400" s="40">
        <v>45699</v>
      </c>
      <c r="B400" s="38">
        <v>-89</v>
      </c>
      <c r="C400" s="13" t="s">
        <v>3760</v>
      </c>
      <c r="D400" s="36">
        <v>2366.67</v>
      </c>
      <c r="E400" s="43" t="s">
        <v>3596</v>
      </c>
    </row>
    <row r="401" spans="1:5" x14ac:dyDescent="0.35">
      <c r="A401" s="40">
        <v>45694</v>
      </c>
      <c r="B401" s="38">
        <v>-90</v>
      </c>
      <c r="C401" s="13" t="s">
        <v>3738</v>
      </c>
      <c r="D401" s="36">
        <v>2455.67</v>
      </c>
      <c r="E401" s="43" t="s">
        <v>3596</v>
      </c>
    </row>
    <row r="402" spans="1:5" x14ac:dyDescent="0.35">
      <c r="A402" s="40">
        <v>45694</v>
      </c>
      <c r="B402" s="38">
        <v>24.63</v>
      </c>
      <c r="C402" s="13" t="s">
        <v>3761</v>
      </c>
      <c r="D402" s="36">
        <v>2545.67</v>
      </c>
      <c r="E402" s="43" t="s">
        <v>3596</v>
      </c>
    </row>
    <row r="403" spans="1:5" x14ac:dyDescent="0.35">
      <c r="A403" s="40">
        <v>45693</v>
      </c>
      <c r="B403" s="38">
        <v>-0.85</v>
      </c>
      <c r="C403" s="13" t="s">
        <v>3762</v>
      </c>
      <c r="D403" s="36">
        <v>2521.04</v>
      </c>
      <c r="E403" s="43" t="s">
        <v>3596</v>
      </c>
    </row>
    <row r="404" spans="1:5" x14ac:dyDescent="0.35">
      <c r="A404" s="40">
        <v>45693</v>
      </c>
      <c r="B404" s="38">
        <v>-24.19</v>
      </c>
      <c r="C404" s="13" t="s">
        <v>3763</v>
      </c>
      <c r="D404" s="36">
        <v>2521.89</v>
      </c>
      <c r="E404" s="43" t="s">
        <v>3596</v>
      </c>
    </row>
    <row r="405" spans="1:5" x14ac:dyDescent="0.35">
      <c r="A405" s="40">
        <v>45692</v>
      </c>
      <c r="B405" s="38">
        <v>-5.99</v>
      </c>
      <c r="C405" s="13" t="s">
        <v>3764</v>
      </c>
      <c r="D405" s="36">
        <v>2546.08</v>
      </c>
      <c r="E405" s="43" t="s">
        <v>3596</v>
      </c>
    </row>
    <row r="406" spans="1:5" x14ac:dyDescent="0.35">
      <c r="A406" s="40">
        <v>45692</v>
      </c>
      <c r="B406" s="38">
        <v>-15.35</v>
      </c>
      <c r="C406" s="13" t="s">
        <v>3765</v>
      </c>
      <c r="D406" s="36">
        <v>2552.0700000000002</v>
      </c>
      <c r="E406" s="43" t="s">
        <v>3596</v>
      </c>
    </row>
    <row r="407" spans="1:5" x14ac:dyDescent="0.35">
      <c r="A407" s="40">
        <v>45690</v>
      </c>
      <c r="B407" s="38">
        <v>-4.4000000000000004</v>
      </c>
      <c r="C407" s="13" t="s">
        <v>3753</v>
      </c>
      <c r="D407" s="36">
        <v>2567.42</v>
      </c>
      <c r="E407" s="43" t="s">
        <v>3596</v>
      </c>
    </row>
    <row r="408" spans="1:5" x14ac:dyDescent="0.35">
      <c r="A408" s="40">
        <v>45689</v>
      </c>
      <c r="B408" s="38">
        <v>-6.99</v>
      </c>
      <c r="C408" s="13" t="s">
        <v>3742</v>
      </c>
      <c r="D408" s="36">
        <v>2571.8200000000002</v>
      </c>
      <c r="E408" s="43" t="s">
        <v>3596</v>
      </c>
    </row>
    <row r="409" spans="1:5" x14ac:dyDescent="0.35">
      <c r="A409" s="40">
        <v>45689</v>
      </c>
      <c r="B409" s="38">
        <v>-41.77</v>
      </c>
      <c r="C409" s="13" t="s">
        <v>3753</v>
      </c>
      <c r="D409" s="36">
        <v>2578.81</v>
      </c>
      <c r="E409" s="43" t="s">
        <v>3596</v>
      </c>
    </row>
    <row r="410" spans="1:5" x14ac:dyDescent="0.35">
      <c r="A410" s="40">
        <v>45689</v>
      </c>
      <c r="B410" s="38">
        <v>-50.03</v>
      </c>
      <c r="C410" s="13" t="s">
        <v>3742</v>
      </c>
      <c r="D410" s="36">
        <v>2620.58</v>
      </c>
      <c r="E410" s="43" t="s">
        <v>3596</v>
      </c>
    </row>
    <row r="411" spans="1:5" x14ac:dyDescent="0.35">
      <c r="A411" s="40">
        <v>45687</v>
      </c>
      <c r="B411" s="38">
        <v>-37.35</v>
      </c>
      <c r="C411" s="13" t="s">
        <v>3670</v>
      </c>
      <c r="D411" s="36">
        <v>2670.61</v>
      </c>
      <c r="E411" s="43" t="s">
        <v>3596</v>
      </c>
    </row>
    <row r="412" spans="1:5" x14ac:dyDescent="0.35">
      <c r="A412" s="40">
        <v>45687</v>
      </c>
      <c r="B412" s="38">
        <v>-1408.62</v>
      </c>
      <c r="C412" s="13" t="s">
        <v>3668</v>
      </c>
      <c r="D412" s="36">
        <v>2707.96</v>
      </c>
      <c r="E412" s="43" t="s">
        <v>3596</v>
      </c>
    </row>
    <row r="413" spans="1:5" x14ac:dyDescent="0.35">
      <c r="A413" s="40">
        <v>45687</v>
      </c>
      <c r="B413" s="38">
        <v>2865.27</v>
      </c>
      <c r="C413" s="13" t="s">
        <v>3766</v>
      </c>
      <c r="D413" s="36">
        <v>4116.58</v>
      </c>
      <c r="E413" s="43" t="s">
        <v>3596</v>
      </c>
    </row>
    <row r="414" spans="1:5" x14ac:dyDescent="0.35">
      <c r="A414" s="40">
        <v>45686</v>
      </c>
      <c r="B414" s="38">
        <v>-79.569999999999993</v>
      </c>
      <c r="C414" s="13" t="s">
        <v>3664</v>
      </c>
      <c r="D414" s="36">
        <v>1251.31</v>
      </c>
      <c r="E414" s="43" t="s">
        <v>3596</v>
      </c>
    </row>
    <row r="415" spans="1:5" x14ac:dyDescent="0.35">
      <c r="A415" s="40">
        <v>45686</v>
      </c>
      <c r="B415" s="38">
        <v>-40.64</v>
      </c>
      <c r="C415" s="13" t="s">
        <v>3767</v>
      </c>
      <c r="D415" s="36">
        <v>1330.88</v>
      </c>
      <c r="E415" s="43" t="s">
        <v>3596</v>
      </c>
    </row>
    <row r="416" spans="1:5" x14ac:dyDescent="0.35">
      <c r="A416" s="40">
        <v>45686</v>
      </c>
      <c r="B416" s="38">
        <v>-20.64</v>
      </c>
      <c r="C416" s="13" t="s">
        <v>3768</v>
      </c>
      <c r="D416" s="36">
        <v>1371.52</v>
      </c>
      <c r="E416" s="43" t="s">
        <v>3596</v>
      </c>
    </row>
    <row r="417" spans="1:5" x14ac:dyDescent="0.35">
      <c r="A417" s="40">
        <v>45685</v>
      </c>
      <c r="B417" s="38">
        <v>-16</v>
      </c>
      <c r="C417" s="13" t="s">
        <v>3334</v>
      </c>
      <c r="D417" s="36">
        <v>1392.16</v>
      </c>
      <c r="E417" s="43" t="s">
        <v>3596</v>
      </c>
    </row>
    <row r="418" spans="1:5" x14ac:dyDescent="0.35">
      <c r="A418" s="40">
        <v>45683</v>
      </c>
      <c r="B418" s="38">
        <v>-14</v>
      </c>
      <c r="C418" s="13" t="s">
        <v>3730</v>
      </c>
      <c r="D418" s="36">
        <v>1408.16</v>
      </c>
      <c r="E418" s="43" t="s">
        <v>3596</v>
      </c>
    </row>
    <row r="419" spans="1:5" x14ac:dyDescent="0.35">
      <c r="A419" s="40">
        <v>45683</v>
      </c>
      <c r="B419" s="38">
        <v>-24.97</v>
      </c>
      <c r="C419" s="13" t="s">
        <v>3769</v>
      </c>
      <c r="D419" s="36">
        <v>1422.16</v>
      </c>
      <c r="E419" s="43" t="s">
        <v>3596</v>
      </c>
    </row>
    <row r="420" spans="1:5" x14ac:dyDescent="0.35">
      <c r="A420" s="40">
        <v>45683</v>
      </c>
      <c r="B420" s="38">
        <v>-50.5</v>
      </c>
      <c r="C420" s="13" t="s">
        <v>3732</v>
      </c>
      <c r="D420" s="36">
        <v>1447.13</v>
      </c>
      <c r="E420" s="43" t="s">
        <v>3596</v>
      </c>
    </row>
    <row r="421" spans="1:5" x14ac:dyDescent="0.35">
      <c r="A421" s="40">
        <v>45681</v>
      </c>
      <c r="B421" s="38">
        <v>-31</v>
      </c>
      <c r="C421" s="13" t="s">
        <v>3770</v>
      </c>
      <c r="D421" s="36">
        <v>1497.63</v>
      </c>
      <c r="E421" s="43" t="s">
        <v>3596</v>
      </c>
    </row>
    <row r="422" spans="1:5" x14ac:dyDescent="0.35">
      <c r="A422" s="40">
        <v>45680</v>
      </c>
      <c r="B422" s="38">
        <v>-138.87</v>
      </c>
      <c r="C422" s="13" t="s">
        <v>3771</v>
      </c>
      <c r="D422" s="36">
        <v>1528.63</v>
      </c>
      <c r="E422" s="43" t="s">
        <v>3596</v>
      </c>
    </row>
    <row r="423" spans="1:5" x14ac:dyDescent="0.35">
      <c r="A423" s="40">
        <v>45678</v>
      </c>
      <c r="B423" s="38">
        <v>-88</v>
      </c>
      <c r="C423" s="13" t="s">
        <v>3738</v>
      </c>
      <c r="D423" s="36">
        <v>1667.5</v>
      </c>
      <c r="E423" s="43" t="s">
        <v>3596</v>
      </c>
    </row>
    <row r="424" spans="1:5" x14ac:dyDescent="0.35">
      <c r="A424" s="40">
        <v>45678</v>
      </c>
      <c r="B424" s="38">
        <v>-7</v>
      </c>
      <c r="C424" s="13" t="s">
        <v>3739</v>
      </c>
      <c r="D424" s="36">
        <v>1755.5</v>
      </c>
      <c r="E424" s="43" t="s">
        <v>3596</v>
      </c>
    </row>
    <row r="425" spans="1:5" x14ac:dyDescent="0.35">
      <c r="A425" s="40">
        <v>45678</v>
      </c>
      <c r="B425" s="38">
        <v>-75</v>
      </c>
      <c r="C425" s="13" t="s">
        <v>3772</v>
      </c>
      <c r="D425" s="36">
        <v>1762.5</v>
      </c>
      <c r="E425" s="43" t="s">
        <v>3596</v>
      </c>
    </row>
    <row r="426" spans="1:5" x14ac:dyDescent="0.35">
      <c r="A426" s="40">
        <v>45678</v>
      </c>
      <c r="B426" s="38">
        <v>-827</v>
      </c>
      <c r="C426" s="13" t="s">
        <v>3773</v>
      </c>
      <c r="D426" s="36">
        <v>1837.5</v>
      </c>
      <c r="E426" s="43" t="s">
        <v>3596</v>
      </c>
    </row>
    <row r="427" spans="1:5" x14ac:dyDescent="0.35">
      <c r="A427" s="40">
        <v>45678</v>
      </c>
      <c r="B427" s="38">
        <v>-39.47</v>
      </c>
      <c r="C427" s="13" t="s">
        <v>3774</v>
      </c>
      <c r="D427" s="36">
        <v>2664.5</v>
      </c>
      <c r="E427" s="43" t="s">
        <v>3596</v>
      </c>
    </row>
    <row r="428" spans="1:5" x14ac:dyDescent="0.35">
      <c r="A428" s="40">
        <v>45677</v>
      </c>
      <c r="B428" s="38">
        <v>42.85</v>
      </c>
      <c r="C428" s="13" t="s">
        <v>3775</v>
      </c>
      <c r="D428" s="36">
        <v>2703.97</v>
      </c>
      <c r="E428" s="43" t="s">
        <v>3596</v>
      </c>
    </row>
    <row r="429" spans="1:5" x14ac:dyDescent="0.35">
      <c r="A429" s="40">
        <v>45676</v>
      </c>
      <c r="B429" s="38">
        <v>-21.33</v>
      </c>
      <c r="C429" s="13" t="s">
        <v>3739</v>
      </c>
      <c r="D429" s="36">
        <v>2661.12</v>
      </c>
      <c r="E429" s="43" t="s">
        <v>3596</v>
      </c>
    </row>
    <row r="430" spans="1:5" x14ac:dyDescent="0.35">
      <c r="A430" s="40">
        <v>45675</v>
      </c>
      <c r="B430" s="38">
        <v>-17.04</v>
      </c>
      <c r="C430" s="13" t="s">
        <v>3744</v>
      </c>
      <c r="D430" s="36">
        <v>2682.45</v>
      </c>
      <c r="E430" s="43" t="s">
        <v>3596</v>
      </c>
    </row>
    <row r="431" spans="1:5" x14ac:dyDescent="0.35">
      <c r="A431" s="40">
        <v>45675</v>
      </c>
      <c r="B431" s="38">
        <v>-18</v>
      </c>
      <c r="C431" s="13" t="s">
        <v>3733</v>
      </c>
      <c r="D431" s="36">
        <v>2699.49</v>
      </c>
      <c r="E431" s="43" t="s">
        <v>3596</v>
      </c>
    </row>
    <row r="432" spans="1:5" x14ac:dyDescent="0.35">
      <c r="A432" s="40">
        <v>45674</v>
      </c>
      <c r="B432" s="38">
        <v>-29</v>
      </c>
      <c r="C432" s="13" t="s">
        <v>3776</v>
      </c>
      <c r="D432" s="36">
        <v>2717.49</v>
      </c>
      <c r="E432" s="43" t="s">
        <v>3596</v>
      </c>
    </row>
    <row r="433" spans="1:5" x14ac:dyDescent="0.35">
      <c r="A433" s="40">
        <v>45674</v>
      </c>
      <c r="B433" s="38">
        <v>29</v>
      </c>
      <c r="C433" s="13" t="s">
        <v>3777</v>
      </c>
      <c r="D433" s="36">
        <v>2746.49</v>
      </c>
      <c r="E433" s="43" t="s">
        <v>3596</v>
      </c>
    </row>
    <row r="434" spans="1:5" x14ac:dyDescent="0.35">
      <c r="A434" s="40">
        <v>45673</v>
      </c>
      <c r="B434" s="38">
        <v>-40</v>
      </c>
      <c r="C434" s="13" t="s">
        <v>3778</v>
      </c>
      <c r="D434" s="36">
        <v>2717.49</v>
      </c>
      <c r="E434" s="43" t="s">
        <v>3596</v>
      </c>
    </row>
    <row r="435" spans="1:5" x14ac:dyDescent="0.35">
      <c r="A435" s="40">
        <v>45673</v>
      </c>
      <c r="B435" s="38">
        <v>-1408.62</v>
      </c>
      <c r="C435" s="13" t="s">
        <v>3668</v>
      </c>
      <c r="D435" s="36">
        <v>2757.49</v>
      </c>
      <c r="E435" s="43" t="s">
        <v>3596</v>
      </c>
    </row>
    <row r="436" spans="1:5" x14ac:dyDescent="0.35">
      <c r="A436" s="40">
        <v>45673</v>
      </c>
      <c r="B436" s="38">
        <v>2865.27</v>
      </c>
      <c r="C436" s="13" t="s">
        <v>3779</v>
      </c>
      <c r="D436" s="36">
        <v>4166.1099999999997</v>
      </c>
      <c r="E436" s="43" t="s">
        <v>3596</v>
      </c>
    </row>
    <row r="437" spans="1:5" x14ac:dyDescent="0.35">
      <c r="A437" s="40">
        <v>45671</v>
      </c>
      <c r="B437" s="38">
        <v>60.35</v>
      </c>
      <c r="C437" s="13" t="s">
        <v>3212</v>
      </c>
      <c r="D437" s="36">
        <v>1300.8399999999999</v>
      </c>
      <c r="E437" s="43" t="s">
        <v>3596</v>
      </c>
    </row>
    <row r="438" spans="1:5" x14ac:dyDescent="0.35">
      <c r="A438" s="40">
        <v>45671</v>
      </c>
      <c r="B438" s="38">
        <v>-16</v>
      </c>
      <c r="C438" s="13" t="s">
        <v>3334</v>
      </c>
      <c r="D438" s="36">
        <v>1240.49</v>
      </c>
      <c r="E438" s="43" t="s">
        <v>3596</v>
      </c>
    </row>
    <row r="439" spans="1:5" x14ac:dyDescent="0.35">
      <c r="A439" s="40">
        <v>45671</v>
      </c>
      <c r="B439" s="38">
        <v>-89</v>
      </c>
      <c r="C439" s="13" t="s">
        <v>3780</v>
      </c>
      <c r="D439" s="36">
        <v>1256.49</v>
      </c>
      <c r="E439" s="43" t="s">
        <v>3596</v>
      </c>
    </row>
    <row r="440" spans="1:5" x14ac:dyDescent="0.35">
      <c r="A440" s="40">
        <v>45671</v>
      </c>
      <c r="B440" s="38">
        <v>-1.25</v>
      </c>
      <c r="C440" s="13" t="s">
        <v>3781</v>
      </c>
      <c r="D440" s="36">
        <v>1345.49</v>
      </c>
      <c r="E440" s="43" t="s">
        <v>3596</v>
      </c>
    </row>
    <row r="441" spans="1:5" x14ac:dyDescent="0.35">
      <c r="A441" s="40">
        <v>45671</v>
      </c>
      <c r="B441" s="38">
        <v>-35.840000000000003</v>
      </c>
      <c r="C441" s="13" t="s">
        <v>3782</v>
      </c>
      <c r="D441" s="36">
        <v>1346.74</v>
      </c>
      <c r="E441" s="43" t="s">
        <v>3596</v>
      </c>
    </row>
    <row r="442" spans="1:5" x14ac:dyDescent="0.35">
      <c r="A442" s="40">
        <v>45668</v>
      </c>
      <c r="B442" s="38">
        <v>-6.99</v>
      </c>
      <c r="C442" s="13" t="s">
        <v>3783</v>
      </c>
      <c r="D442" s="36">
        <v>1382.58</v>
      </c>
      <c r="E442" s="43" t="s">
        <v>3596</v>
      </c>
    </row>
    <row r="443" spans="1:5" x14ac:dyDescent="0.35">
      <c r="A443" s="40">
        <v>45668</v>
      </c>
      <c r="B443" s="38">
        <v>-2.99</v>
      </c>
      <c r="C443" s="13" t="s">
        <v>3784</v>
      </c>
      <c r="D443" s="36">
        <v>1389.57</v>
      </c>
      <c r="E443" s="43" t="s">
        <v>3596</v>
      </c>
    </row>
    <row r="444" spans="1:5" x14ac:dyDescent="0.35">
      <c r="A444" s="40">
        <v>45668</v>
      </c>
      <c r="B444" s="38">
        <v>-29.95</v>
      </c>
      <c r="C444" s="13" t="s">
        <v>3785</v>
      </c>
      <c r="D444" s="36">
        <v>1392.56</v>
      </c>
      <c r="E444" s="43" t="s">
        <v>3596</v>
      </c>
    </row>
    <row r="445" spans="1:5" x14ac:dyDescent="0.35">
      <c r="A445" s="40">
        <v>45667</v>
      </c>
      <c r="B445" s="38">
        <v>-39.950000000000003</v>
      </c>
      <c r="C445" s="13" t="s">
        <v>3786</v>
      </c>
      <c r="D445" s="36">
        <v>1422.51</v>
      </c>
      <c r="E445" s="43" t="s">
        <v>3596</v>
      </c>
    </row>
    <row r="446" spans="1:5" x14ac:dyDescent="0.35">
      <c r="A446" s="40">
        <v>45667</v>
      </c>
      <c r="B446" s="38">
        <v>-90</v>
      </c>
      <c r="C446" s="13" t="s">
        <v>3787</v>
      </c>
      <c r="D446" s="36">
        <v>1462.46</v>
      </c>
      <c r="E446" s="43" t="s">
        <v>3596</v>
      </c>
    </row>
    <row r="447" spans="1:5" x14ac:dyDescent="0.35">
      <c r="A447" s="40">
        <v>45666</v>
      </c>
      <c r="B447" s="38">
        <v>39.950000000000003</v>
      </c>
      <c r="C447" s="13" t="s">
        <v>3788</v>
      </c>
      <c r="D447" s="36">
        <v>1552.46</v>
      </c>
      <c r="E447" s="43" t="s">
        <v>3596</v>
      </c>
    </row>
    <row r="448" spans="1:5" x14ac:dyDescent="0.35">
      <c r="A448" s="40">
        <v>45666</v>
      </c>
      <c r="B448" s="38">
        <v>-42.38</v>
      </c>
      <c r="C448" s="13" t="s">
        <v>3789</v>
      </c>
      <c r="D448" s="36">
        <v>1512.51</v>
      </c>
      <c r="E448" s="43" t="s">
        <v>3596</v>
      </c>
    </row>
    <row r="449" spans="1:5" x14ac:dyDescent="0.35">
      <c r="A449" s="40">
        <v>45664</v>
      </c>
      <c r="B449" s="38">
        <v>-0.85</v>
      </c>
      <c r="C449" s="13" t="s">
        <v>3790</v>
      </c>
      <c r="D449" s="36">
        <v>1554.89</v>
      </c>
      <c r="E449" s="43" t="s">
        <v>3596</v>
      </c>
    </row>
    <row r="450" spans="1:5" x14ac:dyDescent="0.35">
      <c r="A450" s="40">
        <v>45664</v>
      </c>
      <c r="B450" s="38">
        <v>-24.26</v>
      </c>
      <c r="C450" s="13" t="s">
        <v>3791</v>
      </c>
      <c r="D450" s="36">
        <v>1555.74</v>
      </c>
      <c r="E450" s="43" t="s">
        <v>3596</v>
      </c>
    </row>
    <row r="451" spans="1:5" x14ac:dyDescent="0.35">
      <c r="A451" s="40">
        <v>45664</v>
      </c>
      <c r="B451" s="38">
        <v>-364.17</v>
      </c>
      <c r="C451" s="13" t="s">
        <v>3792</v>
      </c>
      <c r="D451" s="36">
        <v>1580</v>
      </c>
      <c r="E451" s="43" t="s">
        <v>3596</v>
      </c>
    </row>
    <row r="452" spans="1:5" x14ac:dyDescent="0.35">
      <c r="A452" s="40">
        <v>45664</v>
      </c>
      <c r="B452" s="38">
        <v>-83.45</v>
      </c>
      <c r="C452" s="13" t="s">
        <v>3793</v>
      </c>
      <c r="D452" s="36">
        <v>1944.17</v>
      </c>
      <c r="E452" s="43" t="s">
        <v>3596</v>
      </c>
    </row>
    <row r="453" spans="1:5" x14ac:dyDescent="0.35">
      <c r="A453" s="40">
        <v>45661</v>
      </c>
      <c r="B453" s="38">
        <v>-0.95</v>
      </c>
      <c r="C453" s="13" t="s">
        <v>3739</v>
      </c>
      <c r="D453" s="36">
        <v>2027.62</v>
      </c>
      <c r="E453" s="43" t="s">
        <v>3596</v>
      </c>
    </row>
    <row r="454" spans="1:5" x14ac:dyDescent="0.35">
      <c r="A454" s="40">
        <v>45661</v>
      </c>
      <c r="B454" s="38">
        <v>-13.99</v>
      </c>
      <c r="C454" s="13" t="s">
        <v>3664</v>
      </c>
      <c r="D454" s="36">
        <v>2028.57</v>
      </c>
      <c r="E454" s="43" t="s">
        <v>3596</v>
      </c>
    </row>
    <row r="455" spans="1:5" x14ac:dyDescent="0.35">
      <c r="A455" s="40">
        <v>45661</v>
      </c>
      <c r="B455" s="38">
        <v>-14</v>
      </c>
      <c r="C455" s="13" t="s">
        <v>3794</v>
      </c>
      <c r="D455" s="36">
        <v>2042.56</v>
      </c>
      <c r="E455" s="43" t="s">
        <v>3596</v>
      </c>
    </row>
    <row r="456" spans="1:5" x14ac:dyDescent="0.35">
      <c r="A456" s="40">
        <v>45661</v>
      </c>
      <c r="B456" s="38">
        <v>-13.66</v>
      </c>
      <c r="C456" s="13" t="s">
        <v>3795</v>
      </c>
      <c r="D456" s="36">
        <v>2056.56</v>
      </c>
      <c r="E456" s="43" t="s">
        <v>3596</v>
      </c>
    </row>
    <row r="457" spans="1:5" x14ac:dyDescent="0.35">
      <c r="A457" s="40">
        <v>45661</v>
      </c>
      <c r="B457" s="38">
        <v>-39.47</v>
      </c>
      <c r="C457" s="13" t="s">
        <v>3795</v>
      </c>
      <c r="D457" s="36">
        <v>2070.2199999999998</v>
      </c>
      <c r="E457" s="43" t="s">
        <v>3596</v>
      </c>
    </row>
    <row r="458" spans="1:5" x14ac:dyDescent="0.35">
      <c r="A458" s="40">
        <v>45660</v>
      </c>
      <c r="B458" s="38">
        <v>-5</v>
      </c>
      <c r="C458" s="13" t="s">
        <v>3796</v>
      </c>
      <c r="D458" s="36">
        <v>2109.69</v>
      </c>
      <c r="E458" s="43" t="s">
        <v>3596</v>
      </c>
    </row>
    <row r="459" spans="1:5" x14ac:dyDescent="0.35">
      <c r="A459" s="40">
        <v>45660</v>
      </c>
      <c r="B459" s="38">
        <v>-5</v>
      </c>
      <c r="C459" s="13" t="s">
        <v>3796</v>
      </c>
      <c r="D459" s="36">
        <v>2114.69</v>
      </c>
      <c r="E459" s="43" t="s">
        <v>3596</v>
      </c>
    </row>
    <row r="460" spans="1:5" x14ac:dyDescent="0.35">
      <c r="A460" s="40">
        <v>45660</v>
      </c>
      <c r="B460" s="38">
        <v>-105</v>
      </c>
      <c r="C460" s="13" t="s">
        <v>3797</v>
      </c>
      <c r="D460" s="36">
        <v>2119.69</v>
      </c>
      <c r="E460" s="43" t="s">
        <v>3596</v>
      </c>
    </row>
    <row r="461" spans="1:5" x14ac:dyDescent="0.35">
      <c r="A461" s="40">
        <v>45660</v>
      </c>
      <c r="B461" s="38">
        <v>-90</v>
      </c>
      <c r="C461" s="13" t="s">
        <v>3787</v>
      </c>
      <c r="D461" s="36">
        <v>2224.69</v>
      </c>
      <c r="E461" s="43" t="s">
        <v>3596</v>
      </c>
    </row>
    <row r="462" spans="1:5" x14ac:dyDescent="0.35">
      <c r="A462" s="40">
        <v>45659</v>
      </c>
      <c r="B462" s="38">
        <v>-12</v>
      </c>
      <c r="C462" s="13" t="s">
        <v>3798</v>
      </c>
      <c r="D462" s="36">
        <v>2314.69</v>
      </c>
      <c r="E462" s="43" t="s">
        <v>3596</v>
      </c>
    </row>
    <row r="463" spans="1:5" x14ac:dyDescent="0.35">
      <c r="A463" s="40">
        <v>45659</v>
      </c>
      <c r="B463" s="38">
        <v>4.5</v>
      </c>
      <c r="C463" s="13" t="s">
        <v>3799</v>
      </c>
      <c r="D463" s="36">
        <v>2326.69</v>
      </c>
      <c r="E463" s="43" t="s">
        <v>3596</v>
      </c>
    </row>
    <row r="464" spans="1:5" x14ac:dyDescent="0.35">
      <c r="A464" s="40">
        <v>45659</v>
      </c>
      <c r="B464" s="38">
        <v>-20</v>
      </c>
      <c r="C464" s="13" t="s">
        <v>3800</v>
      </c>
      <c r="D464" s="36">
        <v>2322.19</v>
      </c>
      <c r="E464" s="43" t="s">
        <v>3596</v>
      </c>
    </row>
    <row r="465" spans="1:5" x14ac:dyDescent="0.35">
      <c r="A465" s="40">
        <v>45659</v>
      </c>
      <c r="B465" s="38">
        <v>-40</v>
      </c>
      <c r="C465" s="13" t="s">
        <v>3800</v>
      </c>
      <c r="D465" s="36">
        <v>2342.19</v>
      </c>
      <c r="E465" s="43" t="s">
        <v>3596</v>
      </c>
    </row>
    <row r="466" spans="1:5" x14ac:dyDescent="0.35">
      <c r="A466" s="40">
        <v>45659</v>
      </c>
      <c r="B466" s="38">
        <v>-5</v>
      </c>
      <c r="C466" s="13" t="s">
        <v>1571</v>
      </c>
      <c r="D466" s="36">
        <v>2382.19</v>
      </c>
      <c r="E466" s="43" t="s">
        <v>3596</v>
      </c>
    </row>
    <row r="467" spans="1:5" x14ac:dyDescent="0.35">
      <c r="A467" s="40">
        <v>45659</v>
      </c>
      <c r="B467" s="38">
        <v>-1408.62</v>
      </c>
      <c r="C467" s="13" t="s">
        <v>3668</v>
      </c>
      <c r="D467" s="36">
        <v>2387.19</v>
      </c>
      <c r="E467" s="43" t="s">
        <v>3596</v>
      </c>
    </row>
    <row r="468" spans="1:5" x14ac:dyDescent="0.35">
      <c r="A468" s="40">
        <v>45658</v>
      </c>
      <c r="B468" s="38">
        <v>-33.33</v>
      </c>
      <c r="C468" s="13" t="s">
        <v>3801</v>
      </c>
      <c r="D468" s="36">
        <v>3795.81</v>
      </c>
      <c r="E468" s="43" t="s">
        <v>3596</v>
      </c>
    </row>
    <row r="469" spans="1:5" x14ac:dyDescent="0.35">
      <c r="A469" s="40">
        <v>45658</v>
      </c>
      <c r="B469" s="38">
        <v>2865.27</v>
      </c>
      <c r="C469" s="13" t="s">
        <v>3802</v>
      </c>
      <c r="D469" s="36">
        <v>3829.14</v>
      </c>
      <c r="E469" s="43" t="s">
        <v>3596</v>
      </c>
    </row>
    <row r="470" spans="1:5" x14ac:dyDescent="0.35">
      <c r="A470" s="40">
        <v>45657</v>
      </c>
      <c r="B470" s="38">
        <v>-3</v>
      </c>
      <c r="C470" s="13" t="s">
        <v>24</v>
      </c>
      <c r="D470" s="36">
        <v>963.87</v>
      </c>
      <c r="E470" s="43" t="s">
        <v>3596</v>
      </c>
    </row>
    <row r="471" spans="1:5" x14ac:dyDescent="0.35">
      <c r="A471" s="40">
        <v>45657</v>
      </c>
      <c r="B471" s="38">
        <v>-300</v>
      </c>
      <c r="C471" s="13" t="s">
        <v>3803</v>
      </c>
      <c r="D471" s="36">
        <v>966.87</v>
      </c>
      <c r="E471" s="43" t="s">
        <v>3596</v>
      </c>
    </row>
    <row r="472" spans="1:5" x14ac:dyDescent="0.35">
      <c r="A472" s="40">
        <v>45657</v>
      </c>
      <c r="B472" s="38">
        <v>-9</v>
      </c>
      <c r="C472" s="13" t="s">
        <v>3730</v>
      </c>
      <c r="D472" s="36">
        <v>1266.8699999999999</v>
      </c>
      <c r="E472" s="43" t="s">
        <v>3596</v>
      </c>
    </row>
    <row r="473" spans="1:5" x14ac:dyDescent="0.35">
      <c r="A473" s="40">
        <v>45657</v>
      </c>
      <c r="B473" s="38">
        <v>-32.159999999999997</v>
      </c>
      <c r="C473" s="13" t="s">
        <v>3744</v>
      </c>
      <c r="D473" s="36">
        <v>1275.8699999999999</v>
      </c>
      <c r="E473" s="43" t="s">
        <v>3596</v>
      </c>
    </row>
    <row r="474" spans="1:5" x14ac:dyDescent="0.35">
      <c r="A474" s="40">
        <v>45657</v>
      </c>
      <c r="B474" s="38">
        <v>-14.99</v>
      </c>
      <c r="C474" s="13" t="s">
        <v>3804</v>
      </c>
      <c r="D474" s="36">
        <v>1308.03</v>
      </c>
      <c r="E474" s="43" t="s">
        <v>3596</v>
      </c>
    </row>
    <row r="475" spans="1:5" x14ac:dyDescent="0.35">
      <c r="A475" s="40">
        <v>45657</v>
      </c>
      <c r="B475" s="38">
        <v>-16</v>
      </c>
      <c r="C475" s="13" t="s">
        <v>3805</v>
      </c>
      <c r="D475" s="36">
        <v>1323.02</v>
      </c>
      <c r="E475" s="43" t="s">
        <v>3596</v>
      </c>
    </row>
    <row r="476" spans="1:5" x14ac:dyDescent="0.35">
      <c r="A476" s="40">
        <v>45655</v>
      </c>
      <c r="B476" s="38">
        <v>-5</v>
      </c>
      <c r="C476" s="13" t="s">
        <v>3806</v>
      </c>
      <c r="D476" s="36">
        <v>1339.02</v>
      </c>
      <c r="E476" s="43" t="s">
        <v>3596</v>
      </c>
    </row>
    <row r="477" spans="1:5" x14ac:dyDescent="0.35">
      <c r="A477" s="40">
        <v>45655</v>
      </c>
      <c r="B477" s="38">
        <v>-18.899999999999999</v>
      </c>
      <c r="C477" s="13" t="s">
        <v>3806</v>
      </c>
      <c r="D477" s="36">
        <v>1344.02</v>
      </c>
      <c r="E477" s="43" t="s">
        <v>3596</v>
      </c>
    </row>
    <row r="478" spans="1:5" x14ac:dyDescent="0.35">
      <c r="A478" s="40">
        <v>45655</v>
      </c>
      <c r="B478" s="38">
        <v>-41.56</v>
      </c>
      <c r="C478" s="13" t="s">
        <v>3742</v>
      </c>
      <c r="D478" s="36">
        <v>1362.92</v>
      </c>
      <c r="E478" s="43" t="s">
        <v>3596</v>
      </c>
    </row>
    <row r="479" spans="1:5" x14ac:dyDescent="0.35">
      <c r="A479" s="40">
        <v>45654</v>
      </c>
      <c r="B479" s="38">
        <v>-391.65</v>
      </c>
      <c r="C479" s="13" t="s">
        <v>3807</v>
      </c>
      <c r="D479" s="36">
        <v>1404.48</v>
      </c>
      <c r="E479" s="43" t="s">
        <v>3596</v>
      </c>
    </row>
    <row r="480" spans="1:5" x14ac:dyDescent="0.35">
      <c r="A480" s="40">
        <v>45654</v>
      </c>
      <c r="B480" s="38">
        <v>-40</v>
      </c>
      <c r="C480" s="13" t="s">
        <v>3808</v>
      </c>
      <c r="D480" s="36">
        <v>1796.13</v>
      </c>
      <c r="E480" s="43" t="s">
        <v>3596</v>
      </c>
    </row>
    <row r="481" spans="1:5" x14ac:dyDescent="0.35">
      <c r="A481" s="40">
        <v>45654</v>
      </c>
      <c r="B481" s="38">
        <v>-0.84</v>
      </c>
      <c r="C481" s="13" t="s">
        <v>3809</v>
      </c>
      <c r="D481" s="36">
        <v>1836.13</v>
      </c>
      <c r="E481" s="43" t="s">
        <v>3596</v>
      </c>
    </row>
    <row r="482" spans="1:5" x14ac:dyDescent="0.35">
      <c r="A482" s="40">
        <v>45654</v>
      </c>
      <c r="B482" s="38">
        <v>-24.05</v>
      </c>
      <c r="C482" s="13" t="s">
        <v>3810</v>
      </c>
      <c r="D482" s="36">
        <v>1836.97</v>
      </c>
      <c r="E482" s="43" t="s">
        <v>3596</v>
      </c>
    </row>
    <row r="483" spans="1:5" x14ac:dyDescent="0.35">
      <c r="A483" s="40">
        <v>45654</v>
      </c>
      <c r="B483" s="38">
        <v>-57.36</v>
      </c>
      <c r="C483" s="13" t="s">
        <v>3811</v>
      </c>
      <c r="D483" s="36">
        <v>1861.02</v>
      </c>
      <c r="E483" s="43" t="s">
        <v>3596</v>
      </c>
    </row>
    <row r="484" spans="1:5" x14ac:dyDescent="0.35">
      <c r="A484" s="40">
        <v>45653</v>
      </c>
      <c r="B484" s="38">
        <v>-90</v>
      </c>
      <c r="C484" s="13" t="s">
        <v>3787</v>
      </c>
      <c r="D484" s="36">
        <v>1918.38</v>
      </c>
      <c r="E484" s="43" t="s">
        <v>3596</v>
      </c>
    </row>
    <row r="485" spans="1:5" x14ac:dyDescent="0.35">
      <c r="A485" s="40">
        <v>45652</v>
      </c>
      <c r="B485" s="38">
        <v>-12</v>
      </c>
      <c r="C485" s="13" t="s">
        <v>3812</v>
      </c>
      <c r="D485" s="36">
        <v>2008.38</v>
      </c>
      <c r="E485" s="43" t="s">
        <v>3596</v>
      </c>
    </row>
    <row r="486" spans="1:5" x14ac:dyDescent="0.35">
      <c r="A486" s="40">
        <v>45651</v>
      </c>
      <c r="B486" s="38">
        <v>-3</v>
      </c>
      <c r="C486" s="13" t="s">
        <v>24</v>
      </c>
      <c r="D486" s="36">
        <v>2020.38</v>
      </c>
      <c r="E486" s="43" t="s">
        <v>3596</v>
      </c>
    </row>
    <row r="487" spans="1:5" x14ac:dyDescent="0.35">
      <c r="A487" s="40">
        <v>45651</v>
      </c>
      <c r="B487" s="38">
        <v>-100</v>
      </c>
      <c r="C487" s="13" t="s">
        <v>3803</v>
      </c>
      <c r="D487" s="36">
        <v>2023.38</v>
      </c>
      <c r="E487" s="43" t="s">
        <v>3596</v>
      </c>
    </row>
    <row r="488" spans="1:5" x14ac:dyDescent="0.35">
      <c r="A488" s="40">
        <v>45651</v>
      </c>
      <c r="B488" s="38">
        <v>-31</v>
      </c>
      <c r="C488" s="13" t="s">
        <v>3813</v>
      </c>
      <c r="D488" s="36">
        <v>2123.38</v>
      </c>
      <c r="E488" s="43" t="s">
        <v>3596</v>
      </c>
    </row>
    <row r="489" spans="1:5" x14ac:dyDescent="0.35">
      <c r="A489" s="40">
        <v>45651</v>
      </c>
      <c r="B489" s="38">
        <v>200</v>
      </c>
      <c r="C489" s="13" t="s">
        <v>3814</v>
      </c>
      <c r="D489" s="36">
        <v>2154.38</v>
      </c>
      <c r="E489" s="43" t="s">
        <v>3596</v>
      </c>
    </row>
    <row r="490" spans="1:5" x14ac:dyDescent="0.35">
      <c r="A490" s="40">
        <v>45650</v>
      </c>
      <c r="B490" s="38">
        <v>-148</v>
      </c>
      <c r="C490" s="13" t="s">
        <v>3815</v>
      </c>
      <c r="D490" s="36">
        <v>1954.38</v>
      </c>
      <c r="E490" s="43" t="s">
        <v>3596</v>
      </c>
    </row>
    <row r="491" spans="1:5" x14ac:dyDescent="0.35">
      <c r="A491" s="40">
        <v>45647</v>
      </c>
      <c r="B491" s="38">
        <v>-7.78</v>
      </c>
      <c r="C491" s="13" t="s">
        <v>3664</v>
      </c>
      <c r="D491" s="36">
        <v>2102.38</v>
      </c>
      <c r="E491" s="43" t="s">
        <v>3596</v>
      </c>
    </row>
    <row r="492" spans="1:5" x14ac:dyDescent="0.35">
      <c r="A492" s="40">
        <v>45647</v>
      </c>
      <c r="B492" s="38">
        <v>-4.04</v>
      </c>
      <c r="C492" s="13" t="s">
        <v>3816</v>
      </c>
      <c r="D492" s="36">
        <v>2110.16</v>
      </c>
      <c r="E492" s="43" t="s">
        <v>3596</v>
      </c>
    </row>
    <row r="493" spans="1:5" x14ac:dyDescent="0.35">
      <c r="A493" s="40">
        <v>45647</v>
      </c>
      <c r="B493" s="38">
        <v>-12</v>
      </c>
      <c r="C493" s="13" t="s">
        <v>3730</v>
      </c>
      <c r="D493" s="36">
        <v>2114.1999999999998</v>
      </c>
      <c r="E493" s="43" t="s">
        <v>3596</v>
      </c>
    </row>
    <row r="494" spans="1:5" x14ac:dyDescent="0.35">
      <c r="A494" s="40">
        <v>45647</v>
      </c>
      <c r="B494" s="38">
        <v>-40.19</v>
      </c>
      <c r="C494" s="13" t="s">
        <v>3817</v>
      </c>
      <c r="D494" s="36">
        <v>2126.1999999999998</v>
      </c>
      <c r="E494" s="43" t="s">
        <v>3596</v>
      </c>
    </row>
    <row r="495" spans="1:5" x14ac:dyDescent="0.35">
      <c r="A495" s="40">
        <v>45647</v>
      </c>
      <c r="B495" s="38">
        <v>-3.4</v>
      </c>
      <c r="C495" s="13" t="s">
        <v>3818</v>
      </c>
      <c r="D495" s="36">
        <v>2166.39</v>
      </c>
      <c r="E495" s="43" t="s">
        <v>3596</v>
      </c>
    </row>
    <row r="496" spans="1:5" x14ac:dyDescent="0.35">
      <c r="A496" s="40">
        <v>45647</v>
      </c>
      <c r="B496" s="38">
        <v>-3.4</v>
      </c>
      <c r="C496" s="13" t="s">
        <v>3818</v>
      </c>
      <c r="D496" s="36">
        <v>2169.79</v>
      </c>
      <c r="E496" s="43" t="s">
        <v>3596</v>
      </c>
    </row>
    <row r="497" spans="1:5" x14ac:dyDescent="0.35">
      <c r="A497" s="40">
        <v>45647</v>
      </c>
      <c r="B497" s="38">
        <v>-379</v>
      </c>
      <c r="C497" s="13" t="s">
        <v>3819</v>
      </c>
      <c r="D497" s="36">
        <v>2173.19</v>
      </c>
      <c r="E497" s="43" t="s">
        <v>3596</v>
      </c>
    </row>
    <row r="498" spans="1:5" x14ac:dyDescent="0.35">
      <c r="A498" s="40">
        <v>45647</v>
      </c>
      <c r="B498" s="38">
        <v>-138.87</v>
      </c>
      <c r="C498" s="13" t="s">
        <v>3820</v>
      </c>
      <c r="D498" s="36">
        <v>2552.19</v>
      </c>
      <c r="E498" s="43" t="s">
        <v>3596</v>
      </c>
    </row>
    <row r="499" spans="1:5" x14ac:dyDescent="0.35">
      <c r="A499" s="40">
        <v>45646</v>
      </c>
      <c r="B499" s="38">
        <v>-90</v>
      </c>
      <c r="C499" s="13" t="s">
        <v>3787</v>
      </c>
      <c r="D499" s="36">
        <v>2691.06</v>
      </c>
      <c r="E499" s="43" t="s">
        <v>3596</v>
      </c>
    </row>
    <row r="500" spans="1:5" x14ac:dyDescent="0.35">
      <c r="A500" s="40">
        <v>45645</v>
      </c>
      <c r="B500" s="38">
        <v>-200</v>
      </c>
      <c r="C500" s="13" t="s">
        <v>3821</v>
      </c>
      <c r="D500" s="36">
        <v>2781.06</v>
      </c>
      <c r="E500" s="43" t="s">
        <v>3596</v>
      </c>
    </row>
    <row r="501" spans="1:5" x14ac:dyDescent="0.35">
      <c r="A501" s="40">
        <v>45645</v>
      </c>
      <c r="B501" s="38">
        <v>-1408.62</v>
      </c>
      <c r="C501" s="13" t="s">
        <v>3668</v>
      </c>
      <c r="D501" s="36">
        <v>2981.06</v>
      </c>
      <c r="E501" s="43" t="s">
        <v>3596</v>
      </c>
    </row>
    <row r="502" spans="1:5" x14ac:dyDescent="0.35">
      <c r="A502" s="40">
        <v>45645</v>
      </c>
      <c r="B502" s="38">
        <v>2865.27</v>
      </c>
      <c r="C502" s="13" t="s">
        <v>3822</v>
      </c>
      <c r="D502" s="36">
        <v>4389.68</v>
      </c>
      <c r="E502" s="43" t="s">
        <v>3596</v>
      </c>
    </row>
    <row r="503" spans="1:5" x14ac:dyDescent="0.35">
      <c r="A503" s="40">
        <v>45643</v>
      </c>
      <c r="B503" s="38">
        <v>-35.4</v>
      </c>
      <c r="C503" s="13" t="s">
        <v>3823</v>
      </c>
      <c r="D503" s="36">
        <v>1524.41</v>
      </c>
      <c r="E503" s="43" t="s">
        <v>3596</v>
      </c>
    </row>
    <row r="504" spans="1:5" x14ac:dyDescent="0.35">
      <c r="A504" s="40">
        <v>45643</v>
      </c>
      <c r="B504" s="38">
        <v>-34.94</v>
      </c>
      <c r="C504" s="13" t="s">
        <v>3824</v>
      </c>
      <c r="D504" s="36">
        <v>1559.81</v>
      </c>
      <c r="E504" s="43" t="s">
        <v>3596</v>
      </c>
    </row>
    <row r="505" spans="1:5" x14ac:dyDescent="0.35">
      <c r="A505" s="40">
        <v>45642</v>
      </c>
      <c r="B505" s="38">
        <v>-2.9</v>
      </c>
      <c r="C505" s="13" t="s">
        <v>3739</v>
      </c>
      <c r="D505" s="36">
        <v>1594.75</v>
      </c>
      <c r="E505" s="43" t="s">
        <v>3596</v>
      </c>
    </row>
    <row r="506" spans="1:5" x14ac:dyDescent="0.35">
      <c r="A506" s="40">
        <v>45642</v>
      </c>
      <c r="B506" s="38">
        <v>-180</v>
      </c>
      <c r="C506" s="13" t="s">
        <v>3741</v>
      </c>
      <c r="D506" s="36">
        <v>1597.65</v>
      </c>
      <c r="E506" s="43" t="s">
        <v>3596</v>
      </c>
    </row>
    <row r="507" spans="1:5" x14ac:dyDescent="0.35">
      <c r="A507" s="40">
        <v>45641</v>
      </c>
      <c r="B507" s="38">
        <v>-29</v>
      </c>
      <c r="C507" s="13" t="s">
        <v>1584</v>
      </c>
      <c r="D507" s="36">
        <v>1777.65</v>
      </c>
      <c r="E507" s="43" t="s">
        <v>3596</v>
      </c>
    </row>
    <row r="508" spans="1:5" x14ac:dyDescent="0.35">
      <c r="A508" s="40">
        <v>45640</v>
      </c>
      <c r="B508" s="38">
        <v>-11.17</v>
      </c>
      <c r="C508" s="13" t="s">
        <v>3825</v>
      </c>
      <c r="D508" s="36">
        <v>1806.65</v>
      </c>
      <c r="E508" s="43" t="s">
        <v>3596</v>
      </c>
    </row>
    <row r="509" spans="1:5" x14ac:dyDescent="0.35">
      <c r="A509" s="40">
        <v>45640</v>
      </c>
      <c r="B509" s="38">
        <v>-33.5</v>
      </c>
      <c r="C509" s="13" t="s">
        <v>3826</v>
      </c>
      <c r="D509" s="36">
        <v>1817.82</v>
      </c>
      <c r="E509" s="43" t="s">
        <v>3596</v>
      </c>
    </row>
    <row r="510" spans="1:5" x14ac:dyDescent="0.35">
      <c r="A510" s="40">
        <v>45640</v>
      </c>
      <c r="B510" s="38">
        <v>-33.5</v>
      </c>
      <c r="C510" s="13" t="s">
        <v>3826</v>
      </c>
      <c r="D510" s="36">
        <v>1851.32</v>
      </c>
      <c r="E510" s="43" t="s">
        <v>3596</v>
      </c>
    </row>
    <row r="511" spans="1:5" x14ac:dyDescent="0.35">
      <c r="A511" s="40">
        <v>45639</v>
      </c>
      <c r="B511" s="38">
        <v>-1.21</v>
      </c>
      <c r="C511" s="13" t="s">
        <v>3827</v>
      </c>
      <c r="D511" s="36">
        <v>1884.82</v>
      </c>
      <c r="E511" s="43" t="s">
        <v>3596</v>
      </c>
    </row>
    <row r="512" spans="1:5" x14ac:dyDescent="0.35">
      <c r="A512" s="40">
        <v>45639</v>
      </c>
      <c r="B512" s="38">
        <v>-34.57</v>
      </c>
      <c r="C512" s="13" t="s">
        <v>3828</v>
      </c>
      <c r="D512" s="36">
        <v>1886.03</v>
      </c>
      <c r="E512" s="43" t="s">
        <v>3596</v>
      </c>
    </row>
    <row r="513" spans="1:5" x14ac:dyDescent="0.35">
      <c r="A513" s="40">
        <v>45637</v>
      </c>
      <c r="B513" s="38">
        <v>-40</v>
      </c>
      <c r="C513" s="13" t="s">
        <v>3829</v>
      </c>
      <c r="D513" s="36">
        <v>1920.6</v>
      </c>
      <c r="E513" s="43" t="s">
        <v>3596</v>
      </c>
    </row>
    <row r="514" spans="1:5" x14ac:dyDescent="0.35">
      <c r="A514" s="40">
        <v>45636</v>
      </c>
      <c r="B514" s="38">
        <v>-33.36</v>
      </c>
      <c r="C514" s="13" t="s">
        <v>3830</v>
      </c>
      <c r="D514" s="36">
        <v>1960.6</v>
      </c>
      <c r="E514" s="43" t="s">
        <v>3596</v>
      </c>
    </row>
    <row r="515" spans="1:5" x14ac:dyDescent="0.35">
      <c r="A515" s="40">
        <v>45636</v>
      </c>
      <c r="B515" s="38">
        <v>-89</v>
      </c>
      <c r="C515" s="13" t="s">
        <v>3831</v>
      </c>
      <c r="D515" s="36">
        <v>1993.96</v>
      </c>
      <c r="E515" s="43" t="s">
        <v>3596</v>
      </c>
    </row>
    <row r="516" spans="1:5" x14ac:dyDescent="0.35">
      <c r="A516" s="40">
        <v>45633</v>
      </c>
      <c r="B516" s="38">
        <v>-12.65</v>
      </c>
      <c r="C516" s="13" t="s">
        <v>3739</v>
      </c>
      <c r="D516" s="36">
        <v>2082.96</v>
      </c>
      <c r="E516" s="43" t="s">
        <v>3596</v>
      </c>
    </row>
    <row r="517" spans="1:5" x14ac:dyDescent="0.35">
      <c r="A517" s="40">
        <v>45633</v>
      </c>
      <c r="B517" s="38">
        <v>-62</v>
      </c>
      <c r="C517" s="13" t="s">
        <v>3743</v>
      </c>
      <c r="D517" s="36">
        <v>2095.61</v>
      </c>
      <c r="E517" s="43" t="s">
        <v>3596</v>
      </c>
    </row>
    <row r="518" spans="1:5" x14ac:dyDescent="0.35">
      <c r="A518" s="40">
        <v>45631</v>
      </c>
      <c r="B518" s="38">
        <v>-18</v>
      </c>
      <c r="C518" s="13" t="s">
        <v>3739</v>
      </c>
      <c r="D518" s="36">
        <v>2157.61</v>
      </c>
      <c r="E518" s="43" t="s">
        <v>3596</v>
      </c>
    </row>
    <row r="519" spans="1:5" x14ac:dyDescent="0.35">
      <c r="A519" s="40">
        <v>45631</v>
      </c>
      <c r="B519" s="38">
        <v>-0.81</v>
      </c>
      <c r="C519" s="13" t="s">
        <v>3832</v>
      </c>
      <c r="D519" s="36">
        <v>2175.61</v>
      </c>
      <c r="E519" s="43" t="s">
        <v>3596</v>
      </c>
    </row>
    <row r="520" spans="1:5" x14ac:dyDescent="0.35">
      <c r="A520" s="40">
        <v>45631</v>
      </c>
      <c r="B520" s="38">
        <v>-23.09</v>
      </c>
      <c r="C520" s="13" t="s">
        <v>3833</v>
      </c>
      <c r="D520" s="36">
        <v>2176.42</v>
      </c>
      <c r="E520" s="43" t="s">
        <v>3596</v>
      </c>
    </row>
    <row r="521" spans="1:5" x14ac:dyDescent="0.35">
      <c r="A521" s="40">
        <v>45631</v>
      </c>
      <c r="B521" s="38">
        <v>-28.21</v>
      </c>
      <c r="C521" s="13" t="s">
        <v>3834</v>
      </c>
      <c r="D521" s="36">
        <v>2199.5100000000002</v>
      </c>
      <c r="E521" s="43" t="s">
        <v>3596</v>
      </c>
    </row>
    <row r="522" spans="1:5" x14ac:dyDescent="0.35">
      <c r="A522" s="40">
        <v>45631</v>
      </c>
      <c r="B522" s="38">
        <v>-272.64</v>
      </c>
      <c r="C522" s="13" t="s">
        <v>3835</v>
      </c>
      <c r="D522" s="36">
        <v>2227.7199999999998</v>
      </c>
      <c r="E522" s="43" t="s">
        <v>3596</v>
      </c>
    </row>
    <row r="523" spans="1:5" x14ac:dyDescent="0.35">
      <c r="A523" s="40">
        <v>45631</v>
      </c>
      <c r="B523" s="38">
        <v>-1408.62</v>
      </c>
      <c r="C523" s="13" t="s">
        <v>3668</v>
      </c>
      <c r="D523" s="36">
        <v>2500.36</v>
      </c>
      <c r="E523" s="43" t="s">
        <v>3596</v>
      </c>
    </row>
    <row r="524" spans="1:5" x14ac:dyDescent="0.35">
      <c r="A524" s="40">
        <v>45631</v>
      </c>
      <c r="B524" s="38">
        <v>2865.27</v>
      </c>
      <c r="C524" s="13" t="s">
        <v>3836</v>
      </c>
      <c r="D524" s="36">
        <v>3908.98</v>
      </c>
      <c r="E524" s="43" t="s">
        <v>3596</v>
      </c>
    </row>
    <row r="525" spans="1:5" x14ac:dyDescent="0.35">
      <c r="A525" s="40">
        <v>45630</v>
      </c>
      <c r="B525" s="38">
        <v>185</v>
      </c>
      <c r="C525" s="13" t="s">
        <v>3731</v>
      </c>
      <c r="D525" s="36">
        <v>1043.71</v>
      </c>
      <c r="E525" s="43" t="s">
        <v>3596</v>
      </c>
    </row>
    <row r="526" spans="1:5" x14ac:dyDescent="0.35">
      <c r="A526" s="40">
        <v>45629</v>
      </c>
      <c r="B526" s="38">
        <v>250</v>
      </c>
      <c r="C526" s="13" t="s">
        <v>3837</v>
      </c>
      <c r="D526" s="36">
        <v>858.71</v>
      </c>
      <c r="E526" s="43" t="s">
        <v>3596</v>
      </c>
    </row>
    <row r="527" spans="1:5" x14ac:dyDescent="0.35">
      <c r="A527" s="40">
        <v>45629</v>
      </c>
      <c r="B527" s="38">
        <v>-16.5</v>
      </c>
      <c r="C527" s="13" t="s">
        <v>3334</v>
      </c>
      <c r="D527" s="36">
        <v>608.71</v>
      </c>
      <c r="E527" s="43" t="s">
        <v>3596</v>
      </c>
    </row>
    <row r="528" spans="1:5" x14ac:dyDescent="0.35">
      <c r="A528" s="40">
        <v>45627</v>
      </c>
      <c r="B528" s="38">
        <v>-185</v>
      </c>
      <c r="C528" s="13" t="s">
        <v>2857</v>
      </c>
      <c r="D528" s="36">
        <v>625.21</v>
      </c>
      <c r="E528" s="43" t="s">
        <v>3596</v>
      </c>
    </row>
    <row r="529" spans="1:5" x14ac:dyDescent="0.35">
      <c r="A529" s="40">
        <v>45626</v>
      </c>
      <c r="B529" s="38">
        <v>-90</v>
      </c>
      <c r="C529" s="13" t="s">
        <v>3738</v>
      </c>
      <c r="D529" s="36">
        <v>810.21</v>
      </c>
      <c r="E529" s="43" t="s">
        <v>3596</v>
      </c>
    </row>
    <row r="530" spans="1:5" x14ac:dyDescent="0.35">
      <c r="A530" s="40">
        <v>45624</v>
      </c>
      <c r="B530" s="38">
        <v>-60.74</v>
      </c>
      <c r="C530" s="13" t="s">
        <v>3838</v>
      </c>
      <c r="D530" s="36">
        <v>900.21</v>
      </c>
      <c r="E530" s="43" t="s">
        <v>3596</v>
      </c>
    </row>
    <row r="531" spans="1:5" x14ac:dyDescent="0.35">
      <c r="A531" s="40">
        <v>45623</v>
      </c>
      <c r="B531" s="38">
        <v>-19</v>
      </c>
      <c r="C531" s="13" t="s">
        <v>3984</v>
      </c>
      <c r="D531" s="36">
        <v>960.95</v>
      </c>
      <c r="E531" s="43" t="s">
        <v>3596</v>
      </c>
    </row>
    <row r="532" spans="1:5" x14ac:dyDescent="0.35">
      <c r="A532" s="40">
        <v>45622</v>
      </c>
      <c r="B532" s="38">
        <v>-19</v>
      </c>
      <c r="C532" s="13" t="s">
        <v>3730</v>
      </c>
      <c r="D532" s="36">
        <v>979.95</v>
      </c>
      <c r="E532" s="43" t="s">
        <v>3596</v>
      </c>
    </row>
    <row r="533" spans="1:5" x14ac:dyDescent="0.35">
      <c r="A533" s="40">
        <v>45622</v>
      </c>
      <c r="B533" s="38">
        <v>-13.11</v>
      </c>
      <c r="C533" s="13" t="s">
        <v>3111</v>
      </c>
      <c r="D533" s="36">
        <v>998.95</v>
      </c>
      <c r="E533" s="43" t="s">
        <v>3596</v>
      </c>
    </row>
    <row r="534" spans="1:5" x14ac:dyDescent="0.35">
      <c r="A534" s="40">
        <v>45622</v>
      </c>
      <c r="B534" s="38">
        <v>-31</v>
      </c>
      <c r="C534" s="13" t="s">
        <v>3839</v>
      </c>
      <c r="D534" s="36">
        <v>1012.06</v>
      </c>
      <c r="E534" s="43" t="s">
        <v>3596</v>
      </c>
    </row>
    <row r="535" spans="1:5" x14ac:dyDescent="0.35">
      <c r="A535" s="40">
        <v>45622</v>
      </c>
      <c r="B535" s="38">
        <v>-142</v>
      </c>
      <c r="C535" s="13" t="s">
        <v>3840</v>
      </c>
      <c r="D535" s="36">
        <v>1043.06</v>
      </c>
      <c r="E535" s="43" t="s">
        <v>3596</v>
      </c>
    </row>
    <row r="536" spans="1:5" x14ac:dyDescent="0.35">
      <c r="A536" s="40">
        <v>45621</v>
      </c>
      <c r="B536" s="38">
        <v>-17.010000000000002</v>
      </c>
      <c r="C536" s="13" t="s">
        <v>3739</v>
      </c>
      <c r="D536" s="36">
        <v>1185.06</v>
      </c>
      <c r="E536" s="43" t="s">
        <v>3596</v>
      </c>
    </row>
    <row r="537" spans="1:5" x14ac:dyDescent="0.35">
      <c r="A537" s="40">
        <v>45620</v>
      </c>
      <c r="B537" s="38">
        <v>300</v>
      </c>
      <c r="C537" s="13" t="s">
        <v>3841</v>
      </c>
      <c r="D537" s="36">
        <v>1202.07</v>
      </c>
      <c r="E537" s="43" t="s">
        <v>3596</v>
      </c>
    </row>
    <row r="538" spans="1:5" x14ac:dyDescent="0.35">
      <c r="A538" s="40">
        <v>45620</v>
      </c>
      <c r="B538" s="38">
        <v>0.04</v>
      </c>
      <c r="C538" s="13" t="s">
        <v>3842</v>
      </c>
      <c r="D538" s="36">
        <v>902.07</v>
      </c>
      <c r="E538" s="43" t="s">
        <v>3596</v>
      </c>
    </row>
    <row r="539" spans="1:5" x14ac:dyDescent="0.35">
      <c r="A539" s="40">
        <v>45620</v>
      </c>
      <c r="B539" s="38">
        <v>-47.2</v>
      </c>
      <c r="C539" s="13" t="s">
        <v>3843</v>
      </c>
      <c r="D539" s="36">
        <v>902.03</v>
      </c>
      <c r="E539" s="43" t="s">
        <v>3596</v>
      </c>
    </row>
    <row r="540" spans="1:5" x14ac:dyDescent="0.35">
      <c r="A540" s="40">
        <v>45620</v>
      </c>
      <c r="B540" s="38">
        <v>-15.22</v>
      </c>
      <c r="C540" s="13" t="s">
        <v>3844</v>
      </c>
      <c r="D540" s="36">
        <v>949.23</v>
      </c>
      <c r="E540" s="43" t="s">
        <v>3596</v>
      </c>
    </row>
    <row r="541" spans="1:5" x14ac:dyDescent="0.35">
      <c r="A541" s="40">
        <v>45620</v>
      </c>
      <c r="B541" s="38">
        <v>-14.11</v>
      </c>
      <c r="C541" s="13" t="s">
        <v>3844</v>
      </c>
      <c r="D541" s="36">
        <v>964.45</v>
      </c>
      <c r="E541" s="43" t="s">
        <v>3596</v>
      </c>
    </row>
    <row r="542" spans="1:5" x14ac:dyDescent="0.35">
      <c r="A542" s="40">
        <v>45619</v>
      </c>
      <c r="B542" s="38">
        <v>-38.799999999999997</v>
      </c>
      <c r="C542" s="13" t="s">
        <v>3845</v>
      </c>
      <c r="D542" s="36">
        <v>978.56</v>
      </c>
      <c r="E542" s="43" t="s">
        <v>3596</v>
      </c>
    </row>
    <row r="543" spans="1:5" x14ac:dyDescent="0.35">
      <c r="A543" s="40">
        <v>45619</v>
      </c>
      <c r="B543" s="38">
        <v>-14.85</v>
      </c>
      <c r="C543" s="13" t="s">
        <v>3845</v>
      </c>
      <c r="D543" s="36">
        <v>1017.36</v>
      </c>
      <c r="E543" s="43" t="s">
        <v>3596</v>
      </c>
    </row>
    <row r="544" spans="1:5" x14ac:dyDescent="0.35">
      <c r="A544" s="40">
        <v>45619</v>
      </c>
      <c r="B544" s="38">
        <v>-134</v>
      </c>
      <c r="C544" s="13" t="s">
        <v>3846</v>
      </c>
      <c r="D544" s="36">
        <v>1032.21</v>
      </c>
      <c r="E544" s="43" t="s">
        <v>3596</v>
      </c>
    </row>
    <row r="545" spans="1:5" x14ac:dyDescent="0.35">
      <c r="A545" s="40">
        <v>45619</v>
      </c>
      <c r="B545" s="38">
        <v>-3</v>
      </c>
      <c r="C545" s="13" t="s">
        <v>24</v>
      </c>
      <c r="D545" s="36">
        <v>1166.21</v>
      </c>
      <c r="E545" s="43" t="s">
        <v>3596</v>
      </c>
    </row>
    <row r="546" spans="1:5" x14ac:dyDescent="0.35">
      <c r="A546" s="40">
        <v>45619</v>
      </c>
      <c r="B546" s="38">
        <v>-600</v>
      </c>
      <c r="C546" s="13" t="s">
        <v>3803</v>
      </c>
      <c r="D546" s="36">
        <v>1169.21</v>
      </c>
      <c r="E546" s="43" t="s">
        <v>3596</v>
      </c>
    </row>
    <row r="547" spans="1:5" x14ac:dyDescent="0.35">
      <c r="A547" s="40">
        <v>45617</v>
      </c>
      <c r="B547" s="38">
        <v>-138.87</v>
      </c>
      <c r="C547" s="13" t="s">
        <v>3847</v>
      </c>
      <c r="D547" s="36">
        <v>1769.21</v>
      </c>
      <c r="E547" s="43" t="s">
        <v>3596</v>
      </c>
    </row>
    <row r="548" spans="1:5" x14ac:dyDescent="0.35">
      <c r="A548" s="40">
        <v>45617</v>
      </c>
      <c r="B548" s="38">
        <v>-40</v>
      </c>
      <c r="C548" s="13" t="s">
        <v>3848</v>
      </c>
      <c r="D548" s="36">
        <v>1908.08</v>
      </c>
      <c r="E548" s="43" t="s">
        <v>3596</v>
      </c>
    </row>
    <row r="549" spans="1:5" x14ac:dyDescent="0.35">
      <c r="A549" s="40">
        <v>45617</v>
      </c>
      <c r="B549" s="38">
        <v>-1408.62</v>
      </c>
      <c r="C549" s="13" t="s">
        <v>3668</v>
      </c>
      <c r="D549" s="36">
        <v>1948.08</v>
      </c>
      <c r="E549" s="43" t="s">
        <v>3596</v>
      </c>
    </row>
    <row r="550" spans="1:5" x14ac:dyDescent="0.35">
      <c r="A550" s="40">
        <v>45617</v>
      </c>
      <c r="B550" s="38">
        <v>2865.28</v>
      </c>
      <c r="C550" s="13" t="s">
        <v>3849</v>
      </c>
      <c r="D550" s="36">
        <v>3356.7</v>
      </c>
      <c r="E550" s="43" t="s">
        <v>3596</v>
      </c>
    </row>
    <row r="551" spans="1:5" x14ac:dyDescent="0.35">
      <c r="A551" s="40">
        <v>45615</v>
      </c>
      <c r="B551" s="38">
        <v>-90</v>
      </c>
      <c r="C551" s="13" t="s">
        <v>3738</v>
      </c>
      <c r="D551" s="36">
        <v>491.42</v>
      </c>
      <c r="E551" s="43" t="s">
        <v>3596</v>
      </c>
    </row>
    <row r="552" spans="1:5" x14ac:dyDescent="0.35">
      <c r="A552" s="40">
        <v>45614</v>
      </c>
      <c r="B552" s="38">
        <v>82.9</v>
      </c>
      <c r="C552" s="13" t="s">
        <v>3850</v>
      </c>
      <c r="D552" s="36">
        <v>581.41999999999996</v>
      </c>
      <c r="E552" s="43" t="s">
        <v>3596</v>
      </c>
    </row>
    <row r="553" spans="1:5" x14ac:dyDescent="0.35">
      <c r="A553" s="40">
        <v>45614</v>
      </c>
      <c r="B553" s="38">
        <v>-107.9</v>
      </c>
      <c r="C553" s="13" t="s">
        <v>3851</v>
      </c>
      <c r="D553" s="36">
        <v>498.52</v>
      </c>
      <c r="E553" s="43" t="s">
        <v>3596</v>
      </c>
    </row>
    <row r="554" spans="1:5" x14ac:dyDescent="0.35">
      <c r="A554" s="40">
        <v>45613</v>
      </c>
      <c r="B554" s="38">
        <v>-5600</v>
      </c>
      <c r="C554" s="13" t="s">
        <v>3852</v>
      </c>
      <c r="D554" s="36">
        <v>606.41999999999996</v>
      </c>
      <c r="E554" s="43" t="s">
        <v>3596</v>
      </c>
    </row>
    <row r="555" spans="1:5" x14ac:dyDescent="0.35">
      <c r="A555" s="40">
        <v>45612</v>
      </c>
      <c r="B555" s="38">
        <v>-29</v>
      </c>
      <c r="C555" s="13" t="s">
        <v>3674</v>
      </c>
      <c r="D555" s="36">
        <v>6206.42</v>
      </c>
      <c r="E555" s="43" t="s">
        <v>3596</v>
      </c>
    </row>
    <row r="556" spans="1:5" x14ac:dyDescent="0.35">
      <c r="A556" s="40">
        <v>45612</v>
      </c>
      <c r="B556" s="38">
        <v>-3.95</v>
      </c>
      <c r="C556" s="13" t="s">
        <v>3853</v>
      </c>
      <c r="D556" s="36">
        <v>6235.42</v>
      </c>
      <c r="E556" s="43" t="s">
        <v>3596</v>
      </c>
    </row>
    <row r="557" spans="1:5" x14ac:dyDescent="0.35">
      <c r="A557" s="40">
        <v>45611</v>
      </c>
      <c r="B557" s="38">
        <v>-1407</v>
      </c>
      <c r="C557" s="13" t="s">
        <v>3740</v>
      </c>
      <c r="D557" s="36">
        <v>6239.37</v>
      </c>
      <c r="E557" s="43" t="s">
        <v>3596</v>
      </c>
    </row>
    <row r="558" spans="1:5" x14ac:dyDescent="0.35">
      <c r="A558" s="40">
        <v>45611</v>
      </c>
      <c r="B558" s="38">
        <v>40</v>
      </c>
      <c r="C558" s="13" t="s">
        <v>3854</v>
      </c>
      <c r="D558" s="36">
        <v>7646.37</v>
      </c>
      <c r="E558" s="43" t="s">
        <v>3596</v>
      </c>
    </row>
    <row r="559" spans="1:5" x14ac:dyDescent="0.35">
      <c r="A559" s="40">
        <v>45610</v>
      </c>
      <c r="B559" s="38">
        <v>7496.1</v>
      </c>
      <c r="C559" s="13" t="s">
        <v>3855</v>
      </c>
      <c r="D559" s="36">
        <v>7606.37</v>
      </c>
      <c r="E559" s="43" t="s">
        <v>3596</v>
      </c>
    </row>
    <row r="560" spans="1:5" x14ac:dyDescent="0.35">
      <c r="A560" s="40">
        <v>45610</v>
      </c>
      <c r="B560" s="38">
        <v>-50.19</v>
      </c>
      <c r="C560" s="13" t="s">
        <v>3856</v>
      </c>
      <c r="D560" s="36">
        <v>110.27</v>
      </c>
      <c r="E560" s="43" t="s">
        <v>3596</v>
      </c>
    </row>
    <row r="561" spans="1:5" x14ac:dyDescent="0.35">
      <c r="A561" s="40">
        <v>45609</v>
      </c>
      <c r="B561" s="38">
        <v>-1.17</v>
      </c>
      <c r="C561" s="13" t="s">
        <v>3857</v>
      </c>
      <c r="D561" s="36">
        <v>160.46</v>
      </c>
      <c r="E561" s="43" t="s">
        <v>3596</v>
      </c>
    </row>
    <row r="562" spans="1:5" x14ac:dyDescent="0.35">
      <c r="A562" s="40">
        <v>45609</v>
      </c>
      <c r="B562" s="38">
        <v>-33.49</v>
      </c>
      <c r="C562" s="13" t="s">
        <v>3858</v>
      </c>
      <c r="D562" s="36">
        <v>161.63</v>
      </c>
      <c r="E562" s="43" t="s">
        <v>3596</v>
      </c>
    </row>
    <row r="563" spans="1:5" x14ac:dyDescent="0.35">
      <c r="A563" s="40">
        <v>45608</v>
      </c>
      <c r="B563" s="38">
        <v>-154.76</v>
      </c>
      <c r="C563" s="13" t="s">
        <v>3859</v>
      </c>
      <c r="D563" s="36">
        <v>195.12</v>
      </c>
      <c r="E563" s="43" t="s">
        <v>3596</v>
      </c>
    </row>
    <row r="564" spans="1:5" x14ac:dyDescent="0.35">
      <c r="A564" s="40">
        <v>45608</v>
      </c>
      <c r="B564" s="38">
        <v>-9.57</v>
      </c>
      <c r="C564" s="13" t="s">
        <v>3860</v>
      </c>
      <c r="D564" s="36">
        <v>349.88</v>
      </c>
      <c r="E564" s="43" t="s">
        <v>3596</v>
      </c>
    </row>
    <row r="565" spans="1:5" x14ac:dyDescent="0.35">
      <c r="A565" s="40">
        <v>45607</v>
      </c>
      <c r="B565" s="38">
        <v>-21.64</v>
      </c>
      <c r="C565" s="13" t="s">
        <v>3739</v>
      </c>
      <c r="D565" s="36">
        <v>359.45</v>
      </c>
      <c r="E565" s="43" t="s">
        <v>3596</v>
      </c>
    </row>
    <row r="566" spans="1:5" x14ac:dyDescent="0.35">
      <c r="A566" s="40">
        <v>45607</v>
      </c>
      <c r="B566" s="38">
        <v>-1000</v>
      </c>
      <c r="C566" s="13" t="s">
        <v>3852</v>
      </c>
      <c r="D566" s="36">
        <v>381.09</v>
      </c>
      <c r="E566" s="43" t="s">
        <v>3596</v>
      </c>
    </row>
    <row r="567" spans="1:5" x14ac:dyDescent="0.35">
      <c r="A567" s="40">
        <v>45606</v>
      </c>
      <c r="B567" s="38">
        <v>68.92</v>
      </c>
      <c r="C567" s="13" t="s">
        <v>3861</v>
      </c>
      <c r="D567" s="36">
        <v>1381.09</v>
      </c>
      <c r="E567" s="43" t="s">
        <v>3596</v>
      </c>
    </row>
    <row r="568" spans="1:5" x14ac:dyDescent="0.35">
      <c r="A568" s="40">
        <v>45606</v>
      </c>
      <c r="B568" s="38">
        <v>47.02</v>
      </c>
      <c r="C568" s="13" t="s">
        <v>3862</v>
      </c>
      <c r="D568" s="36">
        <v>1312.17</v>
      </c>
      <c r="E568" s="43" t="s">
        <v>3596</v>
      </c>
    </row>
    <row r="569" spans="1:5" x14ac:dyDescent="0.35">
      <c r="A569" s="40">
        <v>45605</v>
      </c>
      <c r="B569" s="38">
        <v>-8.1999999999999993</v>
      </c>
      <c r="C569" s="13" t="s">
        <v>3863</v>
      </c>
      <c r="D569" s="36">
        <v>1265.1500000000001</v>
      </c>
      <c r="E569" s="43" t="s">
        <v>3596</v>
      </c>
    </row>
    <row r="570" spans="1:5" x14ac:dyDescent="0.35">
      <c r="A570" s="40">
        <v>45605</v>
      </c>
      <c r="B570" s="38">
        <v>-344.59</v>
      </c>
      <c r="C570" s="13" t="s">
        <v>3864</v>
      </c>
      <c r="D570" s="36">
        <v>1273.3499999999999</v>
      </c>
      <c r="E570" s="43" t="s">
        <v>3596</v>
      </c>
    </row>
    <row r="571" spans="1:5" x14ac:dyDescent="0.35">
      <c r="A571" s="40">
        <v>45605</v>
      </c>
      <c r="B571" s="38">
        <v>-29.95</v>
      </c>
      <c r="C571" s="13" t="s">
        <v>3743</v>
      </c>
      <c r="D571" s="36">
        <v>1617.94</v>
      </c>
      <c r="E571" s="43" t="s">
        <v>3596</v>
      </c>
    </row>
    <row r="572" spans="1:5" x14ac:dyDescent="0.35">
      <c r="A572" s="40">
        <v>45605</v>
      </c>
      <c r="B572" s="38">
        <v>-89</v>
      </c>
      <c r="C572" s="13" t="s">
        <v>3865</v>
      </c>
      <c r="D572" s="36">
        <v>1647.89</v>
      </c>
      <c r="E572" s="43" t="s">
        <v>3596</v>
      </c>
    </row>
    <row r="573" spans="1:5" x14ac:dyDescent="0.35">
      <c r="A573" s="40">
        <v>45605</v>
      </c>
      <c r="B573" s="38">
        <v>-4.5</v>
      </c>
      <c r="C573" s="13" t="s">
        <v>3866</v>
      </c>
      <c r="D573" s="36">
        <v>1736.89</v>
      </c>
      <c r="E573" s="43" t="s">
        <v>3596</v>
      </c>
    </row>
    <row r="574" spans="1:5" x14ac:dyDescent="0.35">
      <c r="A574" s="40">
        <v>45604</v>
      </c>
      <c r="B574" s="38">
        <v>-603</v>
      </c>
      <c r="C574" s="13" t="s">
        <v>3740</v>
      </c>
      <c r="D574" s="36">
        <v>1741.39</v>
      </c>
      <c r="E574" s="43" t="s">
        <v>3596</v>
      </c>
    </row>
    <row r="575" spans="1:5" x14ac:dyDescent="0.35">
      <c r="A575" s="40">
        <v>45604</v>
      </c>
      <c r="B575" s="38">
        <v>-376.2</v>
      </c>
      <c r="C575" s="13" t="s">
        <v>3867</v>
      </c>
      <c r="D575" s="36">
        <v>2344.39</v>
      </c>
      <c r="E575" s="43" t="s">
        <v>3596</v>
      </c>
    </row>
    <row r="576" spans="1:5" x14ac:dyDescent="0.35">
      <c r="A576" s="40">
        <v>45603</v>
      </c>
      <c r="B576" s="38">
        <v>-18.2</v>
      </c>
      <c r="C576" s="13" t="s">
        <v>3739</v>
      </c>
      <c r="D576" s="36">
        <v>2720.59</v>
      </c>
      <c r="E576" s="43" t="s">
        <v>3596</v>
      </c>
    </row>
    <row r="577" spans="1:5" x14ac:dyDescent="0.35">
      <c r="A577" s="40">
        <v>45603</v>
      </c>
      <c r="B577" s="38">
        <v>-165</v>
      </c>
      <c r="C577" s="13" t="s">
        <v>3868</v>
      </c>
      <c r="D577" s="36">
        <v>2738.79</v>
      </c>
      <c r="E577" s="43" t="s">
        <v>3596</v>
      </c>
    </row>
    <row r="578" spans="1:5" x14ac:dyDescent="0.35">
      <c r="A578" s="40">
        <v>45603</v>
      </c>
      <c r="B578" s="38">
        <v>2865.26</v>
      </c>
      <c r="C578" s="13" t="s">
        <v>3869</v>
      </c>
      <c r="D578" s="36">
        <v>2903.79</v>
      </c>
      <c r="E578" s="43" t="s">
        <v>3596</v>
      </c>
    </row>
    <row r="579" spans="1:5" x14ac:dyDescent="0.35">
      <c r="A579" s="40">
        <v>45601</v>
      </c>
      <c r="B579" s="38">
        <v>-6</v>
      </c>
      <c r="C579" s="13" t="s">
        <v>3870</v>
      </c>
      <c r="D579" s="36">
        <v>38.53</v>
      </c>
      <c r="E579" s="43" t="s">
        <v>3596</v>
      </c>
    </row>
    <row r="580" spans="1:5" x14ac:dyDescent="0.35">
      <c r="A580" s="40">
        <v>45601</v>
      </c>
      <c r="B580" s="38">
        <v>-30.23</v>
      </c>
      <c r="C580" s="13" t="s">
        <v>3871</v>
      </c>
      <c r="D580" s="36">
        <v>44.53</v>
      </c>
      <c r="E580" s="43" t="s">
        <v>3596</v>
      </c>
    </row>
    <row r="581" spans="1:5" x14ac:dyDescent="0.35">
      <c r="A581" s="40">
        <v>45601</v>
      </c>
      <c r="B581" s="38">
        <v>-0.8</v>
      </c>
      <c r="C581" s="13" t="s">
        <v>3872</v>
      </c>
      <c r="D581" s="36">
        <v>74.760000000000005</v>
      </c>
      <c r="E581" s="43" t="s">
        <v>3596</v>
      </c>
    </row>
    <row r="582" spans="1:5" x14ac:dyDescent="0.35">
      <c r="A582" s="40">
        <v>45601</v>
      </c>
      <c r="B582" s="38">
        <v>-22.9</v>
      </c>
      <c r="C582" s="13" t="s">
        <v>3873</v>
      </c>
      <c r="D582" s="36">
        <v>75.56</v>
      </c>
      <c r="E582" s="43" t="s">
        <v>3596</v>
      </c>
    </row>
    <row r="583" spans="1:5" x14ac:dyDescent="0.35">
      <c r="A583" s="40">
        <v>45598</v>
      </c>
      <c r="B583" s="38">
        <v>-30.7</v>
      </c>
      <c r="C583" s="13" t="s">
        <v>3874</v>
      </c>
      <c r="D583" s="36">
        <v>98.46</v>
      </c>
      <c r="E583" s="43" t="s">
        <v>3596</v>
      </c>
    </row>
    <row r="584" spans="1:5" x14ac:dyDescent="0.35">
      <c r="A584" s="40">
        <v>45598</v>
      </c>
      <c r="B584" s="38">
        <v>-17</v>
      </c>
      <c r="C584" s="13" t="s">
        <v>3875</v>
      </c>
      <c r="D584" s="36">
        <v>129.16</v>
      </c>
      <c r="E584" s="43" t="s">
        <v>3596</v>
      </c>
    </row>
    <row r="585" spans="1:5" x14ac:dyDescent="0.35">
      <c r="A585" s="40">
        <v>45596</v>
      </c>
      <c r="B585" s="38">
        <v>-40</v>
      </c>
      <c r="C585" s="13" t="s">
        <v>3876</v>
      </c>
      <c r="D585" s="36">
        <v>146.16</v>
      </c>
      <c r="E585" s="43" t="s">
        <v>3596</v>
      </c>
    </row>
    <row r="586" spans="1:5" x14ac:dyDescent="0.35">
      <c r="A586" s="40">
        <v>45595</v>
      </c>
      <c r="B586" s="38">
        <v>-15.5</v>
      </c>
      <c r="C586" s="13" t="s">
        <v>3673</v>
      </c>
      <c r="D586" s="36">
        <v>186.16</v>
      </c>
      <c r="E586" s="43" t="s">
        <v>3596</v>
      </c>
    </row>
    <row r="587" spans="1:5" x14ac:dyDescent="0.35">
      <c r="A587" s="40">
        <v>45595</v>
      </c>
      <c r="B587" s="38">
        <v>-6630.76</v>
      </c>
      <c r="C587" s="13" t="s">
        <v>3877</v>
      </c>
      <c r="D587" s="36">
        <v>201.66</v>
      </c>
      <c r="E587" s="43" t="s">
        <v>3596</v>
      </c>
    </row>
    <row r="588" spans="1:5" x14ac:dyDescent="0.35">
      <c r="A588" s="40">
        <v>45594</v>
      </c>
      <c r="B588" s="38">
        <v>-4.97</v>
      </c>
      <c r="C588" s="13" t="s">
        <v>3739</v>
      </c>
      <c r="D588" s="36">
        <v>6832.42</v>
      </c>
      <c r="E588" s="43" t="s">
        <v>3596</v>
      </c>
    </row>
    <row r="589" spans="1:5" x14ac:dyDescent="0.35">
      <c r="A589" s="40">
        <v>45594</v>
      </c>
      <c r="B589" s="38">
        <v>-14.73</v>
      </c>
      <c r="C589" s="13" t="s">
        <v>3111</v>
      </c>
      <c r="D589" s="36">
        <v>6837.39</v>
      </c>
      <c r="E589" s="43" t="s">
        <v>3596</v>
      </c>
    </row>
    <row r="590" spans="1:5" x14ac:dyDescent="0.35">
      <c r="A590" s="40">
        <v>45594</v>
      </c>
      <c r="B590" s="38">
        <v>-32.17</v>
      </c>
      <c r="C590" s="13" t="s">
        <v>3878</v>
      </c>
      <c r="D590" s="36">
        <v>6852.12</v>
      </c>
      <c r="E590" s="43" t="s">
        <v>3596</v>
      </c>
    </row>
    <row r="591" spans="1:5" x14ac:dyDescent="0.35">
      <c r="A591" s="40">
        <v>45594</v>
      </c>
      <c r="B591" s="38">
        <v>-11</v>
      </c>
      <c r="C591" s="13" t="s">
        <v>3879</v>
      </c>
      <c r="D591" s="36">
        <v>6884.29</v>
      </c>
      <c r="E591" s="43" t="s">
        <v>3596</v>
      </c>
    </row>
    <row r="592" spans="1:5" x14ac:dyDescent="0.35">
      <c r="A592" s="40">
        <v>45594</v>
      </c>
      <c r="B592" s="38">
        <v>-22.84</v>
      </c>
      <c r="C592" s="13" t="s">
        <v>3880</v>
      </c>
      <c r="D592" s="36">
        <v>6895.29</v>
      </c>
      <c r="E592" s="43" t="s">
        <v>3596</v>
      </c>
    </row>
    <row r="593" spans="1:5" x14ac:dyDescent="0.35">
      <c r="A593" s="40">
        <v>45594</v>
      </c>
      <c r="B593" s="38">
        <v>-26.66</v>
      </c>
      <c r="C593" s="13" t="s">
        <v>3881</v>
      </c>
      <c r="D593" s="36">
        <v>6918.13</v>
      </c>
      <c r="E593" s="43" t="s">
        <v>3596</v>
      </c>
    </row>
    <row r="594" spans="1:5" x14ac:dyDescent="0.35">
      <c r="A594" s="40">
        <v>45593</v>
      </c>
      <c r="B594" s="38">
        <v>-16.239999999999998</v>
      </c>
      <c r="C594" s="13" t="s">
        <v>3882</v>
      </c>
      <c r="D594" s="36">
        <v>6944.79</v>
      </c>
      <c r="E594" s="43" t="s">
        <v>3596</v>
      </c>
    </row>
    <row r="595" spans="1:5" x14ac:dyDescent="0.35">
      <c r="A595" s="40">
        <v>45593</v>
      </c>
      <c r="B595" s="38">
        <v>5600</v>
      </c>
      <c r="C595" s="13" t="s">
        <v>3883</v>
      </c>
      <c r="D595" s="36">
        <v>6961.03</v>
      </c>
      <c r="E595" s="43" t="s">
        <v>3596</v>
      </c>
    </row>
    <row r="596" spans="1:5" x14ac:dyDescent="0.35">
      <c r="A596" s="40">
        <v>45593</v>
      </c>
      <c r="B596" s="38">
        <v>-12.95</v>
      </c>
      <c r="C596" s="13" t="s">
        <v>3884</v>
      </c>
      <c r="D596" s="36">
        <v>1361.03</v>
      </c>
      <c r="E596" s="43" t="s">
        <v>3596</v>
      </c>
    </row>
    <row r="597" spans="1:5" x14ac:dyDescent="0.35">
      <c r="A597" s="40">
        <v>45591</v>
      </c>
      <c r="B597" s="38">
        <v>-31.8</v>
      </c>
      <c r="C597" s="13" t="s">
        <v>3885</v>
      </c>
      <c r="D597" s="36">
        <v>1373.98</v>
      </c>
      <c r="E597" s="43" t="s">
        <v>3596</v>
      </c>
    </row>
    <row r="598" spans="1:5" x14ac:dyDescent="0.35">
      <c r="A598" s="40">
        <v>45591</v>
      </c>
      <c r="B598" s="38">
        <v>-5</v>
      </c>
      <c r="C598" s="13" t="s">
        <v>3886</v>
      </c>
      <c r="D598" s="36">
        <v>1405.78</v>
      </c>
      <c r="E598" s="43" t="s">
        <v>3596</v>
      </c>
    </row>
    <row r="599" spans="1:5" x14ac:dyDescent="0.35">
      <c r="A599" s="40">
        <v>45591</v>
      </c>
      <c r="B599" s="38">
        <v>-3.5</v>
      </c>
      <c r="C599" s="13" t="s">
        <v>3886</v>
      </c>
      <c r="D599" s="36">
        <v>1410.78</v>
      </c>
      <c r="E599" s="43" t="s">
        <v>3596</v>
      </c>
    </row>
    <row r="600" spans="1:5" x14ac:dyDescent="0.35">
      <c r="A600" s="40">
        <v>45590</v>
      </c>
      <c r="B600" s="38">
        <v>-8.1199999999999992</v>
      </c>
      <c r="C600" s="13" t="s">
        <v>3887</v>
      </c>
      <c r="D600" s="36">
        <v>1414.28</v>
      </c>
      <c r="E600" s="43" t="s">
        <v>3596</v>
      </c>
    </row>
    <row r="601" spans="1:5" x14ac:dyDescent="0.35">
      <c r="A601" s="40">
        <v>45590</v>
      </c>
      <c r="B601" s="38">
        <v>-4.3</v>
      </c>
      <c r="C601" s="13" t="s">
        <v>3730</v>
      </c>
      <c r="D601" s="36">
        <v>1422.4</v>
      </c>
      <c r="E601" s="43" t="s">
        <v>3596</v>
      </c>
    </row>
    <row r="602" spans="1:5" x14ac:dyDescent="0.35">
      <c r="A602" s="40">
        <v>45590</v>
      </c>
      <c r="B602" s="38">
        <v>-16</v>
      </c>
      <c r="C602" s="13" t="s">
        <v>3334</v>
      </c>
      <c r="D602" s="36">
        <v>1426.7</v>
      </c>
      <c r="E602" s="43" t="s">
        <v>3596</v>
      </c>
    </row>
    <row r="603" spans="1:5" x14ac:dyDescent="0.35">
      <c r="A603" s="40">
        <v>45590</v>
      </c>
      <c r="B603" s="38">
        <v>-11.95</v>
      </c>
      <c r="C603" s="13" t="s">
        <v>3888</v>
      </c>
      <c r="D603" s="36">
        <v>1442.7</v>
      </c>
      <c r="E603" s="43" t="s">
        <v>3596</v>
      </c>
    </row>
    <row r="604" spans="1:5" x14ac:dyDescent="0.35">
      <c r="A604" s="40">
        <v>45590</v>
      </c>
      <c r="B604" s="38">
        <v>-31</v>
      </c>
      <c r="C604" s="13" t="s">
        <v>3889</v>
      </c>
      <c r="D604" s="36">
        <v>1454.65</v>
      </c>
      <c r="E604" s="43" t="s">
        <v>3596</v>
      </c>
    </row>
    <row r="605" spans="1:5" x14ac:dyDescent="0.35">
      <c r="A605" s="40">
        <v>45589</v>
      </c>
      <c r="B605" s="38">
        <v>-17.54</v>
      </c>
      <c r="C605" s="13" t="s">
        <v>3744</v>
      </c>
      <c r="D605" s="36">
        <v>1485.65</v>
      </c>
      <c r="E605" s="43" t="s">
        <v>3596</v>
      </c>
    </row>
    <row r="606" spans="1:5" x14ac:dyDescent="0.35">
      <c r="A606" s="40">
        <v>45589</v>
      </c>
      <c r="B606" s="38">
        <v>-65.900000000000006</v>
      </c>
      <c r="C606" s="13" t="s">
        <v>3890</v>
      </c>
      <c r="D606" s="36">
        <v>1503.19</v>
      </c>
      <c r="E606" s="43" t="s">
        <v>3596</v>
      </c>
    </row>
    <row r="607" spans="1:5" x14ac:dyDescent="0.35">
      <c r="A607" s="40">
        <v>45589</v>
      </c>
      <c r="B607" s="38">
        <v>-1408.62</v>
      </c>
      <c r="C607" s="13" t="s">
        <v>3668</v>
      </c>
      <c r="D607" s="36">
        <v>1569.09</v>
      </c>
      <c r="E607" s="43" t="s">
        <v>3596</v>
      </c>
    </row>
    <row r="608" spans="1:5" x14ac:dyDescent="0.35">
      <c r="A608" s="40">
        <v>45589</v>
      </c>
      <c r="B608" s="38">
        <v>2865.27</v>
      </c>
      <c r="C608" s="13" t="s">
        <v>3891</v>
      </c>
      <c r="D608" s="36">
        <v>2977.71</v>
      </c>
      <c r="E608" s="43" t="s">
        <v>3596</v>
      </c>
    </row>
    <row r="609" spans="1:5" x14ac:dyDescent="0.35">
      <c r="A609" s="40">
        <v>45588</v>
      </c>
      <c r="B609" s="38">
        <v>-107.9</v>
      </c>
      <c r="C609" s="13" t="s">
        <v>3851</v>
      </c>
      <c r="D609" s="36">
        <v>112.44</v>
      </c>
      <c r="E609" s="43" t="s">
        <v>3596</v>
      </c>
    </row>
    <row r="610" spans="1:5" x14ac:dyDescent="0.35">
      <c r="A610" s="40">
        <v>45588</v>
      </c>
      <c r="B610" s="38">
        <v>-138.87</v>
      </c>
      <c r="C610" s="13" t="s">
        <v>3892</v>
      </c>
      <c r="D610" s="36">
        <v>220.34</v>
      </c>
      <c r="E610" s="43" t="s">
        <v>3596</v>
      </c>
    </row>
    <row r="611" spans="1:5" x14ac:dyDescent="0.35">
      <c r="A611" s="40">
        <v>45588</v>
      </c>
      <c r="B611" s="38">
        <v>-649.16999999999996</v>
      </c>
      <c r="C611" s="13" t="s">
        <v>3893</v>
      </c>
      <c r="D611" s="36">
        <v>359.21</v>
      </c>
      <c r="E611" s="43" t="s">
        <v>3596</v>
      </c>
    </row>
    <row r="612" spans="1:5" x14ac:dyDescent="0.35">
      <c r="A612" s="40">
        <v>45588</v>
      </c>
      <c r="B612" s="38">
        <v>26.76</v>
      </c>
      <c r="C612" s="13" t="s">
        <v>3894</v>
      </c>
      <c r="D612" s="36">
        <v>1008.38</v>
      </c>
      <c r="E612" s="43" t="s">
        <v>3596</v>
      </c>
    </row>
    <row r="613" spans="1:5" x14ac:dyDescent="0.35">
      <c r="A613" s="40">
        <v>45587</v>
      </c>
      <c r="B613" s="38">
        <v>-16.5</v>
      </c>
      <c r="C613" s="13" t="s">
        <v>3334</v>
      </c>
      <c r="D613" s="36">
        <v>981.62</v>
      </c>
      <c r="E613" s="43" t="s">
        <v>3596</v>
      </c>
    </row>
    <row r="614" spans="1:5" x14ac:dyDescent="0.35">
      <c r="A614" s="40">
        <v>45587</v>
      </c>
      <c r="B614" s="38">
        <v>-28.55</v>
      </c>
      <c r="C614" s="13" t="s">
        <v>3895</v>
      </c>
      <c r="D614" s="36">
        <v>998.12</v>
      </c>
      <c r="E614" s="43" t="s">
        <v>3596</v>
      </c>
    </row>
    <row r="615" spans="1:5" x14ac:dyDescent="0.35">
      <c r="A615" s="40">
        <v>45587</v>
      </c>
      <c r="B615" s="38">
        <v>-1.2</v>
      </c>
      <c r="C615" s="13" t="s">
        <v>3896</v>
      </c>
      <c r="D615" s="36">
        <v>1026.67</v>
      </c>
      <c r="E615" s="43" t="s">
        <v>3596</v>
      </c>
    </row>
    <row r="616" spans="1:5" x14ac:dyDescent="0.35">
      <c r="A616" s="40">
        <v>45587</v>
      </c>
      <c r="B616" s="38">
        <v>-34.229999999999997</v>
      </c>
      <c r="C616" s="13" t="s">
        <v>3897</v>
      </c>
      <c r="D616" s="36">
        <v>1027.8699999999999</v>
      </c>
      <c r="E616" s="43" t="s">
        <v>3596</v>
      </c>
    </row>
    <row r="617" spans="1:5" x14ac:dyDescent="0.35">
      <c r="A617" s="40">
        <v>45585</v>
      </c>
      <c r="B617" s="38">
        <v>-46.53</v>
      </c>
      <c r="C617" s="13" t="s">
        <v>3744</v>
      </c>
      <c r="D617" s="36">
        <v>1062.0999999999999</v>
      </c>
      <c r="E617" s="43" t="s">
        <v>3596</v>
      </c>
    </row>
    <row r="618" spans="1:5" x14ac:dyDescent="0.35">
      <c r="A618" s="40">
        <v>45584</v>
      </c>
      <c r="B618" s="38">
        <v>-35.880000000000003</v>
      </c>
      <c r="C618" s="13" t="s">
        <v>3898</v>
      </c>
      <c r="D618" s="36">
        <v>1108.6300000000001</v>
      </c>
      <c r="E618" s="43" t="s">
        <v>3596</v>
      </c>
    </row>
    <row r="619" spans="1:5" x14ac:dyDescent="0.35">
      <c r="A619" s="40">
        <v>45580</v>
      </c>
      <c r="B619" s="38">
        <v>-14.73</v>
      </c>
      <c r="C619" s="13" t="s">
        <v>3111</v>
      </c>
      <c r="D619" s="36">
        <v>1144.51</v>
      </c>
      <c r="E619" s="43" t="s">
        <v>3596</v>
      </c>
    </row>
    <row r="620" spans="1:5" x14ac:dyDescent="0.35">
      <c r="A620" s="40">
        <v>45580</v>
      </c>
      <c r="B620" s="38">
        <v>-1.1499999999999999</v>
      </c>
      <c r="C620" s="13" t="s">
        <v>3899</v>
      </c>
      <c r="D620" s="36">
        <v>1159.24</v>
      </c>
      <c r="E620" s="43" t="s">
        <v>3596</v>
      </c>
    </row>
    <row r="621" spans="1:5" x14ac:dyDescent="0.35">
      <c r="A621" s="40">
        <v>45580</v>
      </c>
      <c r="B621" s="38">
        <v>-32.79</v>
      </c>
      <c r="C621" s="13" t="s">
        <v>3900</v>
      </c>
      <c r="D621" s="36">
        <v>1160.3900000000001</v>
      </c>
      <c r="E621" s="43" t="s">
        <v>3596</v>
      </c>
    </row>
    <row r="622" spans="1:5" x14ac:dyDescent="0.35">
      <c r="A622" s="40">
        <v>45579</v>
      </c>
      <c r="B622" s="38">
        <v>31.84</v>
      </c>
      <c r="C622" s="13" t="s">
        <v>3212</v>
      </c>
      <c r="D622" s="36">
        <v>1193.18</v>
      </c>
      <c r="E622" s="43" t="s">
        <v>3596</v>
      </c>
    </row>
    <row r="623" spans="1:5" x14ac:dyDescent="0.35">
      <c r="A623" s="40">
        <v>45576</v>
      </c>
      <c r="B623" s="38">
        <v>-2200</v>
      </c>
      <c r="C623" s="13" t="s">
        <v>3852</v>
      </c>
      <c r="D623" s="36">
        <v>1161.3399999999999</v>
      </c>
      <c r="E623" s="43" t="s">
        <v>3596</v>
      </c>
    </row>
    <row r="624" spans="1:5" x14ac:dyDescent="0.35">
      <c r="A624" s="40">
        <v>45576</v>
      </c>
      <c r="B624" s="38">
        <v>-15</v>
      </c>
      <c r="C624" s="13" t="s">
        <v>3901</v>
      </c>
      <c r="D624" s="36">
        <v>3361.34</v>
      </c>
      <c r="E624" s="43" t="s">
        <v>3596</v>
      </c>
    </row>
    <row r="625" spans="1:5" x14ac:dyDescent="0.35">
      <c r="A625" s="40">
        <v>45576</v>
      </c>
      <c r="B625" s="38">
        <v>-59.65</v>
      </c>
      <c r="C625" s="13" t="s">
        <v>3902</v>
      </c>
      <c r="D625" s="36">
        <v>3376.34</v>
      </c>
      <c r="E625" s="43" t="s">
        <v>3596</v>
      </c>
    </row>
    <row r="626" spans="1:5" x14ac:dyDescent="0.35">
      <c r="A626" s="40">
        <v>45576</v>
      </c>
      <c r="B626" s="38">
        <v>-89</v>
      </c>
      <c r="C626" s="13" t="s">
        <v>3903</v>
      </c>
      <c r="D626" s="36">
        <v>3435.99</v>
      </c>
      <c r="E626" s="43" t="s">
        <v>3596</v>
      </c>
    </row>
    <row r="627" spans="1:5" x14ac:dyDescent="0.35">
      <c r="A627" s="40">
        <v>45575</v>
      </c>
      <c r="B627" s="38">
        <v>-1408.62</v>
      </c>
      <c r="C627" s="13" t="s">
        <v>3668</v>
      </c>
      <c r="D627" s="36">
        <v>3524.99</v>
      </c>
      <c r="E627" s="43" t="s">
        <v>3596</v>
      </c>
    </row>
    <row r="628" spans="1:5" x14ac:dyDescent="0.35">
      <c r="A628" s="40">
        <v>45575</v>
      </c>
      <c r="B628" s="38">
        <v>-33.049999999999997</v>
      </c>
      <c r="C628" s="13" t="s">
        <v>3904</v>
      </c>
      <c r="D628" s="36">
        <v>4933.6099999999997</v>
      </c>
      <c r="E628" s="43" t="s">
        <v>3596</v>
      </c>
    </row>
    <row r="629" spans="1:5" x14ac:dyDescent="0.35">
      <c r="A629" s="40">
        <v>45575</v>
      </c>
      <c r="B629" s="38">
        <v>2865.27</v>
      </c>
      <c r="C629" s="13" t="s">
        <v>3905</v>
      </c>
      <c r="D629" s="36">
        <v>4966.66</v>
      </c>
      <c r="E629" s="43" t="s">
        <v>3596</v>
      </c>
    </row>
    <row r="630" spans="1:5" x14ac:dyDescent="0.35">
      <c r="A630" s="40">
        <v>45574</v>
      </c>
      <c r="B630" s="38">
        <v>-40</v>
      </c>
      <c r="C630" s="13" t="s">
        <v>3906</v>
      </c>
      <c r="D630" s="36">
        <v>2101.39</v>
      </c>
      <c r="E630" s="43" t="s">
        <v>3596</v>
      </c>
    </row>
    <row r="631" spans="1:5" x14ac:dyDescent="0.35">
      <c r="A631" s="40">
        <v>45573</v>
      </c>
      <c r="B631" s="38">
        <v>-16</v>
      </c>
      <c r="C631" s="13" t="s">
        <v>3334</v>
      </c>
      <c r="D631" s="36">
        <v>2141.39</v>
      </c>
      <c r="E631" s="43" t="s">
        <v>3596</v>
      </c>
    </row>
    <row r="632" spans="1:5" x14ac:dyDescent="0.35">
      <c r="A632" s="40">
        <v>45573</v>
      </c>
      <c r="B632" s="38">
        <v>-107.84</v>
      </c>
      <c r="C632" s="13" t="s">
        <v>3907</v>
      </c>
      <c r="D632" s="36">
        <v>2157.39</v>
      </c>
      <c r="E632" s="43" t="s">
        <v>3596</v>
      </c>
    </row>
    <row r="633" spans="1:5" x14ac:dyDescent="0.35">
      <c r="A633" s="40">
        <v>45573</v>
      </c>
      <c r="B633" s="38">
        <v>-77.760000000000005</v>
      </c>
      <c r="C633" s="13" t="s">
        <v>3908</v>
      </c>
      <c r="D633" s="36">
        <v>2265.23</v>
      </c>
      <c r="E633" s="43" t="s">
        <v>3596</v>
      </c>
    </row>
    <row r="634" spans="1:5" x14ac:dyDescent="0.35">
      <c r="A634" s="40">
        <v>45573</v>
      </c>
      <c r="B634" s="38">
        <v>-0.56999999999999995</v>
      </c>
      <c r="C634" s="13" t="s">
        <v>3909</v>
      </c>
      <c r="D634" s="36">
        <v>2342.9899999999998</v>
      </c>
      <c r="E634" s="43" t="s">
        <v>3596</v>
      </c>
    </row>
    <row r="635" spans="1:5" x14ac:dyDescent="0.35">
      <c r="A635" s="40">
        <v>45573</v>
      </c>
      <c r="B635" s="38">
        <v>-16.21</v>
      </c>
      <c r="C635" s="13" t="s">
        <v>3910</v>
      </c>
      <c r="D635" s="36">
        <v>2343.56</v>
      </c>
      <c r="E635" s="43" t="s">
        <v>3596</v>
      </c>
    </row>
    <row r="636" spans="1:5" x14ac:dyDescent="0.35">
      <c r="A636" s="40">
        <v>45572</v>
      </c>
      <c r="B636" s="38">
        <v>-33.78</v>
      </c>
      <c r="C636" s="13" t="s">
        <v>3801</v>
      </c>
      <c r="D636" s="36">
        <v>2359.77</v>
      </c>
      <c r="E636" s="43" t="s">
        <v>3596</v>
      </c>
    </row>
    <row r="637" spans="1:5" x14ac:dyDescent="0.35">
      <c r="A637" s="40">
        <v>45569</v>
      </c>
      <c r="B637" s="38">
        <v>-304.58999999999997</v>
      </c>
      <c r="C637" s="13" t="s">
        <v>3675</v>
      </c>
      <c r="D637" s="36">
        <v>2393.5500000000002</v>
      </c>
      <c r="E637" s="43" t="s">
        <v>3596</v>
      </c>
    </row>
    <row r="638" spans="1:5" x14ac:dyDescent="0.35">
      <c r="A638" s="40">
        <v>45569</v>
      </c>
      <c r="B638" s="38">
        <v>71.5</v>
      </c>
      <c r="C638" s="13" t="s">
        <v>3911</v>
      </c>
      <c r="D638" s="36">
        <v>2698.14</v>
      </c>
      <c r="E638" s="43" t="s">
        <v>3596</v>
      </c>
    </row>
    <row r="639" spans="1:5" x14ac:dyDescent="0.35">
      <c r="A639" s="40">
        <v>45569</v>
      </c>
      <c r="B639" s="38">
        <v>71</v>
      </c>
      <c r="C639" s="13" t="s">
        <v>3912</v>
      </c>
      <c r="D639" s="36">
        <v>2626.64</v>
      </c>
      <c r="E639" s="43" t="s">
        <v>3596</v>
      </c>
    </row>
    <row r="640" spans="1:5" x14ac:dyDescent="0.35">
      <c r="A640" s="40">
        <v>45569</v>
      </c>
      <c r="B640" s="38">
        <v>71</v>
      </c>
      <c r="C640" s="13" t="s">
        <v>3913</v>
      </c>
      <c r="D640" s="36">
        <v>2555.64</v>
      </c>
      <c r="E640" s="43" t="s">
        <v>3596</v>
      </c>
    </row>
    <row r="641" spans="1:5" x14ac:dyDescent="0.35">
      <c r="A641" s="40">
        <v>45568</v>
      </c>
      <c r="B641" s="38">
        <v>-25.23</v>
      </c>
      <c r="C641" s="13" t="s">
        <v>3914</v>
      </c>
      <c r="D641" s="36">
        <v>2484.64</v>
      </c>
      <c r="E641" s="43" t="s">
        <v>3596</v>
      </c>
    </row>
    <row r="642" spans="1:5" x14ac:dyDescent="0.35">
      <c r="A642" s="40">
        <v>45566</v>
      </c>
      <c r="B642" s="38">
        <v>-5.4</v>
      </c>
      <c r="C642" s="13" t="s">
        <v>3915</v>
      </c>
      <c r="D642" s="36">
        <v>2509.87</v>
      </c>
      <c r="E642" s="43" t="s">
        <v>3596</v>
      </c>
    </row>
    <row r="643" spans="1:5" x14ac:dyDescent="0.35">
      <c r="A643" s="40">
        <v>45566</v>
      </c>
      <c r="B643" s="38">
        <v>-20.149999999999999</v>
      </c>
      <c r="C643" s="13" t="s">
        <v>3739</v>
      </c>
      <c r="D643" s="36">
        <v>2515.27</v>
      </c>
      <c r="E643" s="43" t="s">
        <v>3596</v>
      </c>
    </row>
    <row r="644" spans="1:5" x14ac:dyDescent="0.35">
      <c r="A644" s="40">
        <v>45566</v>
      </c>
      <c r="B644" s="38">
        <v>-16.760000000000002</v>
      </c>
      <c r="C644" s="13" t="s">
        <v>3111</v>
      </c>
      <c r="D644" s="36">
        <v>2535.42</v>
      </c>
      <c r="E644" s="43" t="s">
        <v>3596</v>
      </c>
    </row>
    <row r="645" spans="1:5" x14ac:dyDescent="0.35">
      <c r="A645" s="40">
        <v>45566</v>
      </c>
      <c r="B645" s="38">
        <v>-30</v>
      </c>
      <c r="C645" s="13" t="s">
        <v>3916</v>
      </c>
      <c r="D645" s="36">
        <v>2552.1799999999998</v>
      </c>
      <c r="E645" s="43" t="s">
        <v>3596</v>
      </c>
    </row>
    <row r="646" spans="1:5" x14ac:dyDescent="0.35">
      <c r="A646" s="40">
        <v>45566</v>
      </c>
      <c r="B646" s="38">
        <v>-12.99</v>
      </c>
      <c r="C646" s="13" t="s">
        <v>3917</v>
      </c>
      <c r="D646" s="36">
        <v>2582.1799999999998</v>
      </c>
      <c r="E646" s="43" t="s">
        <v>3596</v>
      </c>
    </row>
    <row r="647" spans="1:5" x14ac:dyDescent="0.35">
      <c r="A647" s="40">
        <v>45565</v>
      </c>
      <c r="B647" s="38">
        <v>-9.1999999999999993</v>
      </c>
      <c r="C647" s="13" t="s">
        <v>3918</v>
      </c>
      <c r="D647" s="36">
        <v>2595.17</v>
      </c>
      <c r="E647" s="43" t="s">
        <v>3596</v>
      </c>
    </row>
    <row r="648" spans="1:5" x14ac:dyDescent="0.35">
      <c r="A648" s="40">
        <v>45565</v>
      </c>
      <c r="B648" s="38">
        <v>-33.89</v>
      </c>
      <c r="C648" s="13" t="s">
        <v>3744</v>
      </c>
      <c r="D648" s="36">
        <v>2604.37</v>
      </c>
      <c r="E648" s="43" t="s">
        <v>3596</v>
      </c>
    </row>
    <row r="649" spans="1:5" x14ac:dyDescent="0.35">
      <c r="A649" s="40">
        <v>45564</v>
      </c>
      <c r="B649" s="38">
        <v>-35.020000000000003</v>
      </c>
      <c r="C649" s="13" t="s">
        <v>3801</v>
      </c>
      <c r="D649" s="36">
        <v>2638.26</v>
      </c>
      <c r="E649" s="43" t="s">
        <v>3596</v>
      </c>
    </row>
    <row r="650" spans="1:5" x14ac:dyDescent="0.35">
      <c r="A650" s="40">
        <v>45564</v>
      </c>
      <c r="B650" s="38">
        <v>550</v>
      </c>
      <c r="C650" s="13" t="s">
        <v>3919</v>
      </c>
      <c r="D650" s="36">
        <v>2673.28</v>
      </c>
      <c r="E650" s="43" t="s">
        <v>3596</v>
      </c>
    </row>
    <row r="651" spans="1:5" x14ac:dyDescent="0.35">
      <c r="A651" s="40">
        <v>45564</v>
      </c>
      <c r="B651" s="38">
        <v>-84</v>
      </c>
      <c r="C651" s="13" t="s">
        <v>3920</v>
      </c>
      <c r="D651" s="36">
        <v>2123.2800000000002</v>
      </c>
      <c r="E651" s="43" t="s">
        <v>3596</v>
      </c>
    </row>
    <row r="652" spans="1:5" x14ac:dyDescent="0.35">
      <c r="A652" s="40">
        <v>45564</v>
      </c>
      <c r="B652" s="38">
        <v>-11</v>
      </c>
      <c r="C652" s="13" t="s">
        <v>3921</v>
      </c>
      <c r="D652" s="36">
        <v>2207.2800000000002</v>
      </c>
      <c r="E652" s="43" t="s">
        <v>3596</v>
      </c>
    </row>
    <row r="653" spans="1:5" x14ac:dyDescent="0.35">
      <c r="A653" s="40">
        <v>45564</v>
      </c>
      <c r="B653" s="38">
        <v>-9.19</v>
      </c>
      <c r="C653" s="13" t="s">
        <v>3843</v>
      </c>
      <c r="D653" s="36">
        <v>2218.2800000000002</v>
      </c>
      <c r="E653" s="43" t="s">
        <v>3596</v>
      </c>
    </row>
    <row r="654" spans="1:5" x14ac:dyDescent="0.35">
      <c r="A654" s="40">
        <v>45563</v>
      </c>
      <c r="B654" s="38">
        <v>-10.5</v>
      </c>
      <c r="C654" s="13" t="s">
        <v>3922</v>
      </c>
      <c r="D654" s="36">
        <v>2227.4699999999998</v>
      </c>
      <c r="E654" s="43" t="s">
        <v>3596</v>
      </c>
    </row>
    <row r="655" spans="1:5" x14ac:dyDescent="0.35">
      <c r="A655" s="40">
        <v>45563</v>
      </c>
      <c r="B655" s="38">
        <v>13.21</v>
      </c>
      <c r="C655" s="13" t="s">
        <v>3923</v>
      </c>
      <c r="D655" s="36">
        <v>2237.9699999999998</v>
      </c>
      <c r="E655" s="43" t="s">
        <v>3596</v>
      </c>
    </row>
    <row r="656" spans="1:5" x14ac:dyDescent="0.35">
      <c r="A656" s="40">
        <v>45563</v>
      </c>
      <c r="B656" s="38">
        <v>-13.21</v>
      </c>
      <c r="C656" s="13" t="s">
        <v>3924</v>
      </c>
      <c r="D656" s="36">
        <v>2224.7600000000002</v>
      </c>
      <c r="E656" s="43" t="s">
        <v>3596</v>
      </c>
    </row>
    <row r="657" spans="1:5" x14ac:dyDescent="0.35">
      <c r="A657" s="40">
        <v>45563</v>
      </c>
      <c r="B657" s="38">
        <v>-16.8</v>
      </c>
      <c r="C657" s="13" t="s">
        <v>3843</v>
      </c>
      <c r="D657" s="36">
        <v>2237.9699999999998</v>
      </c>
      <c r="E657" s="43" t="s">
        <v>3596</v>
      </c>
    </row>
    <row r="658" spans="1:5" x14ac:dyDescent="0.35">
      <c r="A658" s="40">
        <v>45563</v>
      </c>
      <c r="B658" s="38">
        <v>-44.75</v>
      </c>
      <c r="C658" s="13" t="s">
        <v>3843</v>
      </c>
      <c r="D658" s="36">
        <v>2254.77</v>
      </c>
      <c r="E658" s="43" t="s">
        <v>3596</v>
      </c>
    </row>
    <row r="659" spans="1:5" x14ac:dyDescent="0.35">
      <c r="A659" s="40">
        <v>45561</v>
      </c>
      <c r="B659" s="38">
        <v>-1408.62</v>
      </c>
      <c r="C659" s="13" t="s">
        <v>3668</v>
      </c>
      <c r="D659" s="36">
        <v>2299.52</v>
      </c>
      <c r="E659" s="43" t="s">
        <v>3596</v>
      </c>
    </row>
    <row r="660" spans="1:5" x14ac:dyDescent="0.35">
      <c r="A660" s="40">
        <v>45561</v>
      </c>
      <c r="B660" s="38">
        <v>2997.59</v>
      </c>
      <c r="C660" s="13" t="s">
        <v>3925</v>
      </c>
      <c r="D660" s="36">
        <v>3708.14</v>
      </c>
      <c r="E660" s="43" t="s">
        <v>3596</v>
      </c>
    </row>
    <row r="661" spans="1:5" x14ac:dyDescent="0.35">
      <c r="A661" s="40">
        <v>45560</v>
      </c>
      <c r="B661" s="38">
        <v>-31</v>
      </c>
      <c r="C661" s="13" t="s">
        <v>3926</v>
      </c>
      <c r="D661" s="36">
        <v>710.55</v>
      </c>
      <c r="E661" s="43" t="s">
        <v>3596</v>
      </c>
    </row>
    <row r="662" spans="1:5" x14ac:dyDescent="0.35">
      <c r="A662" s="40">
        <v>45559</v>
      </c>
      <c r="B662" s="38">
        <v>-30</v>
      </c>
      <c r="C662" s="13" t="s">
        <v>3927</v>
      </c>
      <c r="D662" s="36">
        <v>741.55</v>
      </c>
      <c r="E662" s="43" t="s">
        <v>3596</v>
      </c>
    </row>
    <row r="663" spans="1:5" x14ac:dyDescent="0.35">
      <c r="A663" s="40">
        <v>45559</v>
      </c>
      <c r="B663" s="38">
        <v>-16</v>
      </c>
      <c r="C663" s="13" t="s">
        <v>3334</v>
      </c>
      <c r="D663" s="36">
        <v>771.55</v>
      </c>
      <c r="E663" s="43" t="s">
        <v>3596</v>
      </c>
    </row>
    <row r="664" spans="1:5" x14ac:dyDescent="0.35">
      <c r="A664" s="40">
        <v>45559</v>
      </c>
      <c r="B664" s="38">
        <v>-43.46</v>
      </c>
      <c r="C664" s="13" t="s">
        <v>3928</v>
      </c>
      <c r="D664" s="36">
        <v>787.55</v>
      </c>
      <c r="E664" s="43" t="s">
        <v>3596</v>
      </c>
    </row>
    <row r="665" spans="1:5" x14ac:dyDescent="0.35">
      <c r="A665" s="40">
        <v>45559</v>
      </c>
      <c r="B665" s="38">
        <v>-17</v>
      </c>
      <c r="C665" s="13" t="s">
        <v>3929</v>
      </c>
      <c r="D665" s="36">
        <v>831.01</v>
      </c>
      <c r="E665" s="43" t="s">
        <v>3596</v>
      </c>
    </row>
    <row r="666" spans="1:5" x14ac:dyDescent="0.35">
      <c r="A666" s="40">
        <v>45556</v>
      </c>
      <c r="B666" s="38">
        <v>-138.87</v>
      </c>
      <c r="C666" s="13" t="s">
        <v>3930</v>
      </c>
      <c r="D666" s="36">
        <v>904.24</v>
      </c>
      <c r="E666" s="43" t="s">
        <v>3596</v>
      </c>
    </row>
    <row r="667" spans="1:5" x14ac:dyDescent="0.35">
      <c r="A667" s="40">
        <v>45556</v>
      </c>
      <c r="B667" s="38">
        <v>-56.23</v>
      </c>
      <c r="C667" s="13" t="s">
        <v>3744</v>
      </c>
      <c r="D667" s="36">
        <v>848.01</v>
      </c>
      <c r="E667" s="43" t="s">
        <v>3596</v>
      </c>
    </row>
    <row r="668" spans="1:5" x14ac:dyDescent="0.35">
      <c r="A668" s="40">
        <v>45555</v>
      </c>
      <c r="B668" s="38">
        <v>-91.45</v>
      </c>
      <c r="C668" s="13" t="s">
        <v>3931</v>
      </c>
      <c r="D668" s="36">
        <v>1043.1099999999999</v>
      </c>
      <c r="E668" s="43" t="s">
        <v>3596</v>
      </c>
    </row>
    <row r="669" spans="1:5" x14ac:dyDescent="0.35">
      <c r="A669" s="40">
        <v>45553</v>
      </c>
      <c r="B669" s="38">
        <v>-14.5</v>
      </c>
      <c r="C669" s="13" t="s">
        <v>3673</v>
      </c>
      <c r="D669" s="36">
        <v>1134.56</v>
      </c>
      <c r="E669" s="43" t="s">
        <v>3596</v>
      </c>
    </row>
    <row r="670" spans="1:5" x14ac:dyDescent="0.35">
      <c r="A670" s="40">
        <v>45553</v>
      </c>
      <c r="B670" s="38">
        <v>-40</v>
      </c>
      <c r="C670" s="13" t="s">
        <v>3932</v>
      </c>
      <c r="D670" s="36">
        <v>1149.06</v>
      </c>
      <c r="E670" s="43" t="s">
        <v>3596</v>
      </c>
    </row>
    <row r="671" spans="1:5" x14ac:dyDescent="0.35">
      <c r="A671" s="40">
        <v>45552</v>
      </c>
      <c r="B671" s="38">
        <v>-14.73</v>
      </c>
      <c r="C671" s="13" t="s">
        <v>3111</v>
      </c>
      <c r="D671" s="36">
        <v>1189.06</v>
      </c>
      <c r="E671" s="43" t="s">
        <v>3596</v>
      </c>
    </row>
    <row r="672" spans="1:5" x14ac:dyDescent="0.35">
      <c r="A672" s="40">
        <v>45552</v>
      </c>
      <c r="B672" s="38">
        <v>-29.99</v>
      </c>
      <c r="C672" s="13" t="s">
        <v>3933</v>
      </c>
      <c r="D672" s="36">
        <v>1203.79</v>
      </c>
      <c r="E672" s="43" t="s">
        <v>3596</v>
      </c>
    </row>
    <row r="673" spans="1:5" x14ac:dyDescent="0.35">
      <c r="A673" s="40">
        <v>45552</v>
      </c>
      <c r="B673" s="38">
        <v>-127.48</v>
      </c>
      <c r="C673" s="13" t="s">
        <v>3934</v>
      </c>
      <c r="D673" s="36">
        <v>1233.78</v>
      </c>
      <c r="E673" s="43" t="s">
        <v>3596</v>
      </c>
    </row>
    <row r="674" spans="1:5" x14ac:dyDescent="0.35">
      <c r="A674" s="40">
        <v>45552</v>
      </c>
      <c r="B674" s="38">
        <v>-34.340000000000003</v>
      </c>
      <c r="C674" s="13" t="s">
        <v>3935</v>
      </c>
      <c r="D674" s="36">
        <v>1361.26</v>
      </c>
      <c r="E674" s="43" t="s">
        <v>3596</v>
      </c>
    </row>
    <row r="675" spans="1:5" x14ac:dyDescent="0.35">
      <c r="A675" s="40">
        <v>45552</v>
      </c>
      <c r="B675" s="38">
        <v>-10.1</v>
      </c>
      <c r="C675" s="13" t="s">
        <v>3935</v>
      </c>
      <c r="D675" s="36">
        <v>1395.6</v>
      </c>
      <c r="E675" s="43" t="s">
        <v>3596</v>
      </c>
    </row>
    <row r="676" spans="1:5" x14ac:dyDescent="0.35">
      <c r="A676" s="40">
        <v>45552</v>
      </c>
      <c r="B676" s="38">
        <v>-10.1</v>
      </c>
      <c r="C676" s="13" t="s">
        <v>3935</v>
      </c>
      <c r="D676" s="36">
        <v>1405.7</v>
      </c>
      <c r="E676" s="43" t="s">
        <v>3596</v>
      </c>
    </row>
    <row r="677" spans="1:5" x14ac:dyDescent="0.35">
      <c r="A677" s="40">
        <v>45552</v>
      </c>
      <c r="B677" s="38">
        <v>-225.99</v>
      </c>
      <c r="C677" s="13" t="s">
        <v>3936</v>
      </c>
      <c r="D677" s="36">
        <v>1415.8</v>
      </c>
      <c r="E677" s="43" t="s">
        <v>3596</v>
      </c>
    </row>
    <row r="678" spans="1:5" x14ac:dyDescent="0.35">
      <c r="A678" s="40">
        <v>45551</v>
      </c>
      <c r="B678" s="38">
        <v>116.4</v>
      </c>
      <c r="C678" s="13" t="s">
        <v>3212</v>
      </c>
      <c r="D678" s="36">
        <v>1641.79</v>
      </c>
      <c r="E678" s="43" t="s">
        <v>3596</v>
      </c>
    </row>
    <row r="679" spans="1:5" x14ac:dyDescent="0.35">
      <c r="A679" s="40">
        <v>45551</v>
      </c>
      <c r="B679" s="38">
        <v>64</v>
      </c>
      <c r="C679" s="13" t="s">
        <v>3937</v>
      </c>
      <c r="D679" s="36">
        <v>1525.39</v>
      </c>
      <c r="E679" s="43" t="s">
        <v>3596</v>
      </c>
    </row>
    <row r="680" spans="1:5" x14ac:dyDescent="0.35">
      <c r="A680" s="40">
        <v>45550</v>
      </c>
      <c r="B680" s="38">
        <v>-29.3</v>
      </c>
      <c r="C680" s="13" t="s">
        <v>3938</v>
      </c>
      <c r="D680" s="36">
        <v>1461.39</v>
      </c>
      <c r="E680" s="43" t="s">
        <v>3596</v>
      </c>
    </row>
    <row r="681" spans="1:5" x14ac:dyDescent="0.35">
      <c r="A681" s="40">
        <v>45549</v>
      </c>
      <c r="B681" s="38">
        <v>-24.08</v>
      </c>
      <c r="C681" s="13" t="s">
        <v>3939</v>
      </c>
      <c r="D681" s="36">
        <v>1490.69</v>
      </c>
      <c r="E681" s="43" t="s">
        <v>3596</v>
      </c>
    </row>
    <row r="682" spans="1:5" x14ac:dyDescent="0.35">
      <c r="A682" s="40">
        <v>45549</v>
      </c>
      <c r="B682" s="38">
        <v>-39.31</v>
      </c>
      <c r="C682" s="13" t="s">
        <v>3742</v>
      </c>
      <c r="D682" s="36">
        <v>1514.77</v>
      </c>
      <c r="E682" s="43" t="s">
        <v>3596</v>
      </c>
    </row>
    <row r="683" spans="1:5" x14ac:dyDescent="0.35">
      <c r="A683" s="40">
        <v>45549</v>
      </c>
      <c r="B683" s="38">
        <v>-49.41</v>
      </c>
      <c r="C683" s="13" t="s">
        <v>3940</v>
      </c>
      <c r="D683" s="36">
        <v>1554.08</v>
      </c>
      <c r="E683" s="43" t="s">
        <v>3596</v>
      </c>
    </row>
    <row r="684" spans="1:5" x14ac:dyDescent="0.35">
      <c r="A684" s="40">
        <v>45548</v>
      </c>
      <c r="B684" s="38">
        <v>-1.1599999999999999</v>
      </c>
      <c r="C684" s="13" t="s">
        <v>3941</v>
      </c>
      <c r="D684" s="36">
        <v>1603.49</v>
      </c>
      <c r="E684" s="43" t="s">
        <v>3596</v>
      </c>
    </row>
    <row r="685" spans="1:5" x14ac:dyDescent="0.35">
      <c r="A685" s="40">
        <v>45548</v>
      </c>
      <c r="B685" s="38">
        <v>-33.14</v>
      </c>
      <c r="C685" s="13" t="s">
        <v>3942</v>
      </c>
      <c r="D685" s="36">
        <v>1604.65</v>
      </c>
      <c r="E685" s="43" t="s">
        <v>3596</v>
      </c>
    </row>
    <row r="686" spans="1:5" x14ac:dyDescent="0.35">
      <c r="A686" s="40">
        <v>45547</v>
      </c>
      <c r="B686" s="38">
        <v>-1408.62</v>
      </c>
      <c r="C686" s="13" t="s">
        <v>3668</v>
      </c>
      <c r="D686" s="36">
        <v>1637.79</v>
      </c>
      <c r="E686" s="43" t="s">
        <v>3596</v>
      </c>
    </row>
    <row r="687" spans="1:5" x14ac:dyDescent="0.35">
      <c r="A687" s="40">
        <v>45547</v>
      </c>
      <c r="B687" s="38">
        <v>2690.45</v>
      </c>
      <c r="C687" s="13" t="s">
        <v>3943</v>
      </c>
      <c r="D687" s="36">
        <v>3046.41</v>
      </c>
      <c r="E687" s="43" t="s">
        <v>3596</v>
      </c>
    </row>
    <row r="688" spans="1:5" x14ac:dyDescent="0.35">
      <c r="A688" s="40">
        <v>45545</v>
      </c>
      <c r="B688" s="38">
        <v>-16.5</v>
      </c>
      <c r="C688" s="13" t="s">
        <v>3334</v>
      </c>
      <c r="D688" s="36">
        <v>355.96</v>
      </c>
      <c r="E688" s="43" t="s">
        <v>3596</v>
      </c>
    </row>
    <row r="689" spans="1:5" x14ac:dyDescent="0.35">
      <c r="A689" s="40">
        <v>45545</v>
      </c>
      <c r="B689" s="38">
        <v>-33.369999999999997</v>
      </c>
      <c r="C689" s="13" t="s">
        <v>3944</v>
      </c>
      <c r="D689" s="36">
        <v>372.46</v>
      </c>
      <c r="E689" s="43" t="s">
        <v>3596</v>
      </c>
    </row>
    <row r="690" spans="1:5" x14ac:dyDescent="0.35">
      <c r="A690" s="40">
        <v>45545</v>
      </c>
      <c r="B690" s="38">
        <v>-133.75</v>
      </c>
      <c r="C690" s="13" t="s">
        <v>3945</v>
      </c>
      <c r="D690" s="36">
        <v>405.83</v>
      </c>
      <c r="E690" s="43" t="s">
        <v>3596</v>
      </c>
    </row>
    <row r="691" spans="1:5" x14ac:dyDescent="0.35">
      <c r="A691" s="40">
        <v>45545</v>
      </c>
      <c r="B691" s="38">
        <v>-89</v>
      </c>
      <c r="C691" s="13" t="s">
        <v>3946</v>
      </c>
      <c r="D691" s="36">
        <v>539.58000000000004</v>
      </c>
      <c r="E691" s="43" t="s">
        <v>3596</v>
      </c>
    </row>
    <row r="692" spans="1:5" x14ac:dyDescent="0.35">
      <c r="A692" s="40">
        <v>45543</v>
      </c>
      <c r="B692" s="38">
        <v>-14.7</v>
      </c>
      <c r="C692" s="13" t="s">
        <v>1584</v>
      </c>
      <c r="D692" s="36">
        <v>628.58000000000004</v>
      </c>
      <c r="E692" s="43" t="s">
        <v>3596</v>
      </c>
    </row>
    <row r="693" spans="1:5" x14ac:dyDescent="0.35">
      <c r="A693" s="40">
        <v>45542</v>
      </c>
      <c r="B693" s="38">
        <v>-43.56</v>
      </c>
      <c r="C693" s="13" t="s">
        <v>3947</v>
      </c>
      <c r="D693" s="36">
        <v>643.28</v>
      </c>
      <c r="E693" s="43" t="s">
        <v>3596</v>
      </c>
    </row>
    <row r="694" spans="1:5" x14ac:dyDescent="0.35">
      <c r="A694" s="40">
        <v>45542</v>
      </c>
      <c r="B694" s="38">
        <v>-60.78</v>
      </c>
      <c r="C694" s="13" t="s">
        <v>3948</v>
      </c>
      <c r="D694" s="36">
        <v>686.84</v>
      </c>
      <c r="E694" s="43" t="s">
        <v>3596</v>
      </c>
    </row>
    <row r="695" spans="1:5" x14ac:dyDescent="0.35">
      <c r="A695" s="40">
        <v>45542</v>
      </c>
      <c r="B695" s="38">
        <v>-9</v>
      </c>
      <c r="C695" s="13" t="s">
        <v>3949</v>
      </c>
      <c r="D695" s="36">
        <v>747.62</v>
      </c>
      <c r="E695" s="43" t="s">
        <v>3596</v>
      </c>
    </row>
    <row r="696" spans="1:5" x14ac:dyDescent="0.35">
      <c r="A696" s="40">
        <v>45542</v>
      </c>
      <c r="B696" s="38">
        <v>-20.9</v>
      </c>
      <c r="C696" s="13" t="s">
        <v>3806</v>
      </c>
      <c r="D696" s="36">
        <v>756.62</v>
      </c>
      <c r="E696" s="43" t="s">
        <v>3596</v>
      </c>
    </row>
    <row r="697" spans="1:5" x14ac:dyDescent="0.35">
      <c r="A697" s="40">
        <v>45542</v>
      </c>
      <c r="B697" s="38">
        <v>-18.59</v>
      </c>
      <c r="C697" s="13" t="s">
        <v>3843</v>
      </c>
      <c r="D697" s="36">
        <v>777.52</v>
      </c>
      <c r="E697" s="43" t="s">
        <v>3596</v>
      </c>
    </row>
    <row r="698" spans="1:5" x14ac:dyDescent="0.35">
      <c r="A698" s="40">
        <v>45542</v>
      </c>
      <c r="B698" s="38">
        <v>-22</v>
      </c>
      <c r="C698" s="13" t="s">
        <v>3950</v>
      </c>
      <c r="D698" s="36">
        <v>796.11</v>
      </c>
      <c r="E698" s="43" t="s">
        <v>3596</v>
      </c>
    </row>
    <row r="699" spans="1:5" x14ac:dyDescent="0.35">
      <c r="A699" s="40">
        <v>45540</v>
      </c>
      <c r="B699" s="38">
        <v>-22.68</v>
      </c>
      <c r="C699" s="13" t="s">
        <v>3739</v>
      </c>
      <c r="D699" s="36">
        <v>818.11</v>
      </c>
      <c r="E699" s="43" t="s">
        <v>3596</v>
      </c>
    </row>
    <row r="700" spans="1:5" x14ac:dyDescent="0.35">
      <c r="A700" s="40">
        <v>45539</v>
      </c>
      <c r="B700" s="38">
        <v>-756.64</v>
      </c>
      <c r="C700" s="13" t="s">
        <v>3951</v>
      </c>
      <c r="D700" s="36">
        <v>840.79</v>
      </c>
      <c r="E700" s="43" t="s">
        <v>3596</v>
      </c>
    </row>
    <row r="701" spans="1:5" x14ac:dyDescent="0.35">
      <c r="A701" s="40">
        <v>45538</v>
      </c>
      <c r="B701" s="38">
        <v>-16</v>
      </c>
      <c r="C701" s="13" t="s">
        <v>3334</v>
      </c>
      <c r="D701" s="36">
        <v>1597.43</v>
      </c>
      <c r="E701" s="43" t="s">
        <v>3596</v>
      </c>
    </row>
    <row r="702" spans="1:5" x14ac:dyDescent="0.35">
      <c r="A702" s="40">
        <v>45537</v>
      </c>
      <c r="B702" s="38">
        <v>-5.4</v>
      </c>
      <c r="C702" s="13" t="s">
        <v>3952</v>
      </c>
      <c r="D702" s="36">
        <v>1613.43</v>
      </c>
      <c r="E702" s="43" t="s">
        <v>3596</v>
      </c>
    </row>
    <row r="703" spans="1:5" x14ac:dyDescent="0.35">
      <c r="A703" s="40">
        <v>45537</v>
      </c>
      <c r="B703" s="38">
        <v>-637.11</v>
      </c>
      <c r="C703" s="13" t="s">
        <v>3953</v>
      </c>
      <c r="D703" s="36">
        <v>1618.83</v>
      </c>
      <c r="E703" s="43" t="s">
        <v>3596</v>
      </c>
    </row>
    <row r="704" spans="1:5" x14ac:dyDescent="0.35">
      <c r="A704" s="40">
        <v>45537</v>
      </c>
      <c r="B704" s="38">
        <v>316</v>
      </c>
      <c r="C704" s="13" t="s">
        <v>3954</v>
      </c>
      <c r="D704" s="36">
        <v>2255.94</v>
      </c>
      <c r="E704" s="43" t="s">
        <v>3596</v>
      </c>
    </row>
    <row r="705" spans="1:5" x14ac:dyDescent="0.35">
      <c r="A705" s="40">
        <v>45536</v>
      </c>
      <c r="B705" s="38">
        <v>-3.9</v>
      </c>
      <c r="C705" s="13" t="s">
        <v>3739</v>
      </c>
      <c r="D705" s="36">
        <v>1939.94</v>
      </c>
      <c r="E705" s="43" t="s">
        <v>3596</v>
      </c>
    </row>
    <row r="706" spans="1:5" x14ac:dyDescent="0.35">
      <c r="A706" s="40">
        <v>45536</v>
      </c>
      <c r="B706" s="38">
        <v>-35.880000000000003</v>
      </c>
      <c r="C706" s="13" t="s">
        <v>3664</v>
      </c>
      <c r="D706" s="36">
        <v>1943.84</v>
      </c>
      <c r="E706" s="43" t="s">
        <v>3596</v>
      </c>
    </row>
    <row r="707" spans="1:5" x14ac:dyDescent="0.35">
      <c r="A707" s="40">
        <v>45535</v>
      </c>
      <c r="B707" s="38">
        <v>-40.39</v>
      </c>
      <c r="C707" s="13" t="s">
        <v>3955</v>
      </c>
      <c r="D707" s="36">
        <v>1979.72</v>
      </c>
      <c r="E707" s="43" t="s">
        <v>3596</v>
      </c>
    </row>
    <row r="708" spans="1:5" x14ac:dyDescent="0.35">
      <c r="A708" s="40">
        <v>45535</v>
      </c>
      <c r="B708" s="38">
        <v>-34.549999999999997</v>
      </c>
      <c r="C708" s="13" t="s">
        <v>3956</v>
      </c>
      <c r="D708" s="36">
        <v>2020.11</v>
      </c>
      <c r="E708" s="43" t="s">
        <v>3596</v>
      </c>
    </row>
    <row r="709" spans="1:5" x14ac:dyDescent="0.35">
      <c r="A709" s="40">
        <v>45535</v>
      </c>
      <c r="B709" s="38">
        <v>-742.8</v>
      </c>
      <c r="C709" s="13" t="s">
        <v>3957</v>
      </c>
      <c r="D709" s="36">
        <v>2054.66</v>
      </c>
      <c r="E709" s="43" t="s">
        <v>3596</v>
      </c>
    </row>
    <row r="710" spans="1:5" x14ac:dyDescent="0.35">
      <c r="A710" s="40">
        <v>45535</v>
      </c>
      <c r="B710" s="38">
        <v>-49</v>
      </c>
      <c r="C710" s="13" t="s">
        <v>3958</v>
      </c>
      <c r="D710" s="36">
        <v>2797.46</v>
      </c>
      <c r="E710" s="43" t="s">
        <v>3596</v>
      </c>
    </row>
    <row r="711" spans="1:5" x14ac:dyDescent="0.35">
      <c r="A711" s="40">
        <v>45535</v>
      </c>
      <c r="B711" s="38">
        <v>-375.65</v>
      </c>
      <c r="C711" s="13" t="s">
        <v>3959</v>
      </c>
      <c r="D711" s="36">
        <v>2846.46</v>
      </c>
      <c r="E711" s="43" t="s">
        <v>3596</v>
      </c>
    </row>
    <row r="712" spans="1:5" x14ac:dyDescent="0.35">
      <c r="A712" s="40">
        <v>45534</v>
      </c>
      <c r="B712" s="38">
        <v>-12.99</v>
      </c>
      <c r="C712" s="13" t="s">
        <v>3960</v>
      </c>
      <c r="D712" s="36">
        <v>3222.11</v>
      </c>
      <c r="E712" s="43" t="s">
        <v>3596</v>
      </c>
    </row>
    <row r="713" spans="1:5" x14ac:dyDescent="0.35">
      <c r="A713" s="40">
        <v>45534</v>
      </c>
      <c r="B713" s="38">
        <v>-53.94</v>
      </c>
      <c r="C713" s="13" t="s">
        <v>3961</v>
      </c>
      <c r="D713" s="36">
        <v>3235.1</v>
      </c>
      <c r="E713" s="43" t="s">
        <v>3596</v>
      </c>
    </row>
    <row r="714" spans="1:5" x14ac:dyDescent="0.35">
      <c r="A714" s="40">
        <v>45533</v>
      </c>
      <c r="B714" s="38">
        <v>-11.8</v>
      </c>
      <c r="C714" s="13" t="s">
        <v>3670</v>
      </c>
      <c r="D714" s="36">
        <v>3289.04</v>
      </c>
      <c r="E714" s="43" t="s">
        <v>3596</v>
      </c>
    </row>
    <row r="715" spans="1:5" x14ac:dyDescent="0.35">
      <c r="A715" s="40">
        <v>45533</v>
      </c>
      <c r="B715" s="38">
        <v>-20</v>
      </c>
      <c r="C715" s="13" t="s">
        <v>3729</v>
      </c>
      <c r="D715" s="36">
        <v>3300.84</v>
      </c>
      <c r="E715" s="43" t="s">
        <v>3596</v>
      </c>
    </row>
    <row r="716" spans="1:5" x14ac:dyDescent="0.35">
      <c r="A716" s="40">
        <v>45533</v>
      </c>
      <c r="B716" s="38">
        <v>2672</v>
      </c>
      <c r="C716" s="13" t="s">
        <v>3962</v>
      </c>
      <c r="D716" s="36">
        <v>3320.84</v>
      </c>
      <c r="E716" s="43" t="s">
        <v>3596</v>
      </c>
    </row>
    <row r="717" spans="1:5" x14ac:dyDescent="0.35">
      <c r="A717" s="40">
        <v>45532</v>
      </c>
      <c r="B717" s="38">
        <v>-19.95</v>
      </c>
      <c r="C717" s="13" t="s">
        <v>3739</v>
      </c>
      <c r="D717" s="36">
        <v>648.84</v>
      </c>
      <c r="E717" s="43" t="s">
        <v>3596</v>
      </c>
    </row>
    <row r="718" spans="1:5" x14ac:dyDescent="0.35">
      <c r="A718" s="40">
        <v>45532</v>
      </c>
      <c r="B718" s="38">
        <v>-23.13</v>
      </c>
      <c r="C718" s="13" t="s">
        <v>3963</v>
      </c>
      <c r="D718" s="36">
        <v>668.79</v>
      </c>
      <c r="E718" s="43" t="s">
        <v>3596</v>
      </c>
    </row>
    <row r="719" spans="1:5" x14ac:dyDescent="0.35">
      <c r="A719" s="40">
        <v>45532</v>
      </c>
      <c r="B719" s="38">
        <v>-9.3000000000000007</v>
      </c>
      <c r="C719" s="13" t="s">
        <v>3964</v>
      </c>
      <c r="D719" s="36">
        <v>691.92</v>
      </c>
      <c r="E719" s="43" t="s">
        <v>3596</v>
      </c>
    </row>
    <row r="720" spans="1:5" x14ac:dyDescent="0.35">
      <c r="A720" s="40">
        <v>45531</v>
      </c>
      <c r="B720" s="38">
        <v>-56.99</v>
      </c>
      <c r="C720" s="13" t="s">
        <v>3965</v>
      </c>
      <c r="D720" s="36">
        <v>701.22</v>
      </c>
      <c r="E720" s="43" t="s">
        <v>3596</v>
      </c>
    </row>
    <row r="721" spans="1:5" x14ac:dyDescent="0.35">
      <c r="A721" s="40">
        <v>45531</v>
      </c>
      <c r="B721" s="38">
        <v>-8.1199999999999992</v>
      </c>
      <c r="C721" s="13" t="s">
        <v>3966</v>
      </c>
      <c r="D721" s="36">
        <v>758.21</v>
      </c>
      <c r="E721" s="43" t="s">
        <v>3596</v>
      </c>
    </row>
    <row r="722" spans="1:5" x14ac:dyDescent="0.35">
      <c r="A722" s="40">
        <v>45531</v>
      </c>
      <c r="B722" s="38">
        <v>-48.19</v>
      </c>
      <c r="C722" s="13" t="s">
        <v>3967</v>
      </c>
      <c r="D722" s="36">
        <v>766.33</v>
      </c>
      <c r="E722" s="43" t="s">
        <v>3596</v>
      </c>
    </row>
    <row r="723" spans="1:5" x14ac:dyDescent="0.35">
      <c r="A723" s="40">
        <v>45529</v>
      </c>
      <c r="B723" s="38">
        <v>-9</v>
      </c>
      <c r="C723" s="13" t="s">
        <v>3863</v>
      </c>
      <c r="D723" s="36">
        <v>814.52</v>
      </c>
      <c r="E723" s="43" t="s">
        <v>3596</v>
      </c>
    </row>
    <row r="724" spans="1:5" x14ac:dyDescent="0.35">
      <c r="A724" s="40">
        <v>45528</v>
      </c>
      <c r="B724" s="38">
        <v>-9</v>
      </c>
      <c r="C724" s="13" t="s">
        <v>3968</v>
      </c>
      <c r="D724" s="36">
        <v>823.52</v>
      </c>
      <c r="E724" s="43" t="s">
        <v>3596</v>
      </c>
    </row>
    <row r="725" spans="1:5" x14ac:dyDescent="0.35">
      <c r="A725" s="40">
        <v>45528</v>
      </c>
      <c r="B725" s="38">
        <v>28</v>
      </c>
      <c r="C725" s="13" t="s">
        <v>3969</v>
      </c>
      <c r="D725" s="36">
        <v>832.52</v>
      </c>
      <c r="E725" s="43" t="s">
        <v>3596</v>
      </c>
    </row>
    <row r="726" spans="1:5" x14ac:dyDescent="0.35">
      <c r="A726" s="40">
        <v>45528</v>
      </c>
      <c r="B726" s="38">
        <v>-47.93</v>
      </c>
      <c r="C726" s="13" t="s">
        <v>3843</v>
      </c>
      <c r="D726" s="36">
        <v>804.52</v>
      </c>
      <c r="E726" s="43" t="s">
        <v>3596</v>
      </c>
    </row>
    <row r="727" spans="1:5" x14ac:dyDescent="0.35">
      <c r="A727" s="40">
        <v>45528</v>
      </c>
      <c r="B727" s="38">
        <v>600</v>
      </c>
      <c r="C727" s="13" t="s">
        <v>3970</v>
      </c>
      <c r="D727" s="36">
        <v>852.45</v>
      </c>
      <c r="E727" s="43" t="s">
        <v>3596</v>
      </c>
    </row>
    <row r="728" spans="1:5" x14ac:dyDescent="0.35">
      <c r="A728" s="40">
        <v>45528</v>
      </c>
      <c r="B728" s="38">
        <v>-42.22</v>
      </c>
      <c r="C728" s="13" t="s">
        <v>3971</v>
      </c>
      <c r="D728" s="36">
        <v>252.45</v>
      </c>
      <c r="E728" s="43" t="s">
        <v>3596</v>
      </c>
    </row>
    <row r="729" spans="1:5" x14ac:dyDescent="0.35">
      <c r="A729" s="40">
        <v>45528</v>
      </c>
      <c r="B729" s="38">
        <v>-31</v>
      </c>
      <c r="C729" s="13" t="s">
        <v>3972</v>
      </c>
      <c r="D729" s="36">
        <v>294.67</v>
      </c>
      <c r="E729" s="43" t="s">
        <v>3596</v>
      </c>
    </row>
    <row r="730" spans="1:5" x14ac:dyDescent="0.35">
      <c r="A730" s="40">
        <v>45528</v>
      </c>
      <c r="B730" s="38">
        <v>-33.6</v>
      </c>
      <c r="C730" s="13" t="s">
        <v>3973</v>
      </c>
      <c r="D730" s="36">
        <v>325.67</v>
      </c>
      <c r="E730" s="43" t="s">
        <v>3596</v>
      </c>
    </row>
    <row r="731" spans="1:5" x14ac:dyDescent="0.35">
      <c r="A731" s="40">
        <v>45527</v>
      </c>
      <c r="B731" s="38">
        <v>-30</v>
      </c>
      <c r="C731" s="13" t="s">
        <v>3974</v>
      </c>
      <c r="D731" s="36">
        <v>359.27</v>
      </c>
      <c r="E731" s="43" t="s">
        <v>3596</v>
      </c>
    </row>
    <row r="732" spans="1:5" x14ac:dyDescent="0.35">
      <c r="A732" s="40">
        <v>45527</v>
      </c>
      <c r="B732" s="38">
        <v>-0.63</v>
      </c>
      <c r="C732" s="13" t="s">
        <v>3975</v>
      </c>
      <c r="D732" s="36">
        <v>389.27</v>
      </c>
      <c r="E732" s="43" t="s">
        <v>3596</v>
      </c>
    </row>
    <row r="733" spans="1:5" x14ac:dyDescent="0.35">
      <c r="A733" s="40">
        <v>45527</v>
      </c>
      <c r="B733" s="38">
        <v>-17.88</v>
      </c>
      <c r="C733" s="13" t="s">
        <v>3976</v>
      </c>
      <c r="D733" s="36">
        <v>389.9</v>
      </c>
      <c r="E733" s="43" t="s">
        <v>3596</v>
      </c>
    </row>
    <row r="734" spans="1:5" x14ac:dyDescent="0.35">
      <c r="A734" s="40">
        <v>45526</v>
      </c>
      <c r="B734" s="38">
        <v>-57.49</v>
      </c>
      <c r="C734" s="13" t="s">
        <v>3977</v>
      </c>
      <c r="D734" s="36">
        <v>407.78</v>
      </c>
      <c r="E734" s="43" t="s">
        <v>3596</v>
      </c>
    </row>
    <row r="735" spans="1:5" x14ac:dyDescent="0.35">
      <c r="A735" s="40">
        <v>45526</v>
      </c>
      <c r="B735" s="38">
        <v>-0.34</v>
      </c>
      <c r="C735" s="13" t="s">
        <v>3978</v>
      </c>
      <c r="D735" s="36">
        <v>465.27</v>
      </c>
      <c r="E735" s="43" t="s">
        <v>3596</v>
      </c>
    </row>
    <row r="736" spans="1:5" x14ac:dyDescent="0.35">
      <c r="A736" s="40">
        <v>45526</v>
      </c>
      <c r="B736" s="38">
        <v>-9.84</v>
      </c>
      <c r="C736" s="13" t="s">
        <v>3979</v>
      </c>
      <c r="D736" s="36">
        <v>465.61</v>
      </c>
      <c r="E736" s="43" t="s">
        <v>3596</v>
      </c>
    </row>
    <row r="737" spans="1:5" x14ac:dyDescent="0.35">
      <c r="A737" s="40">
        <v>45526</v>
      </c>
      <c r="B737" s="38">
        <v>-4.04</v>
      </c>
      <c r="C737" s="13" t="s">
        <v>3978</v>
      </c>
      <c r="D737" s="36">
        <v>475.45</v>
      </c>
      <c r="E737" s="43" t="s">
        <v>3596</v>
      </c>
    </row>
    <row r="738" spans="1:5" x14ac:dyDescent="0.35">
      <c r="A738" s="40">
        <v>45526</v>
      </c>
      <c r="B738" s="38">
        <v>-115.55</v>
      </c>
      <c r="C738" s="13" t="s">
        <v>3980</v>
      </c>
      <c r="D738" s="36">
        <v>479.49</v>
      </c>
      <c r="E738" s="43" t="s">
        <v>3596</v>
      </c>
    </row>
    <row r="739" spans="1:5" x14ac:dyDescent="0.35">
      <c r="A739" s="40">
        <v>45526</v>
      </c>
      <c r="B739" s="38">
        <v>-138.87</v>
      </c>
      <c r="C739" s="13" t="s">
        <v>3981</v>
      </c>
      <c r="D739" s="36">
        <v>595.04</v>
      </c>
      <c r="E739" s="43" t="s">
        <v>3596</v>
      </c>
    </row>
    <row r="740" spans="1:5" x14ac:dyDescent="0.35">
      <c r="A740" s="40">
        <v>45525</v>
      </c>
      <c r="B740" s="38">
        <v>-0.23</v>
      </c>
      <c r="C740" s="13" t="s">
        <v>3982</v>
      </c>
      <c r="D740" s="36">
        <v>733.91</v>
      </c>
      <c r="E740" s="43" t="s">
        <v>3596</v>
      </c>
    </row>
    <row r="741" spans="1:5" x14ac:dyDescent="0.35">
      <c r="A741" s="40">
        <v>45525</v>
      </c>
      <c r="B741" s="38">
        <v>-6.66</v>
      </c>
      <c r="C741" s="13" t="s">
        <v>3983</v>
      </c>
      <c r="D741" s="36">
        <v>734.14</v>
      </c>
      <c r="E741" s="43" t="s">
        <v>3596</v>
      </c>
    </row>
    <row r="742" spans="1:5" x14ac:dyDescent="0.35">
      <c r="A742" s="40">
        <v>45525</v>
      </c>
      <c r="B742" s="38">
        <v>-2.38</v>
      </c>
      <c r="C742" s="13" t="s">
        <v>3982</v>
      </c>
      <c r="D742" s="36">
        <v>740.8</v>
      </c>
      <c r="E742" s="43" t="s">
        <v>3596</v>
      </c>
    </row>
    <row r="743" spans="1:5" x14ac:dyDescent="0.35">
      <c r="A743" s="40">
        <v>45525</v>
      </c>
      <c r="B743" s="38">
        <v>-68.12</v>
      </c>
      <c r="C743" s="13" t="s">
        <v>3679</v>
      </c>
      <c r="D743" s="36">
        <v>743.18</v>
      </c>
      <c r="E743" s="43" t="s">
        <v>3596</v>
      </c>
    </row>
    <row r="744" spans="1:5" x14ac:dyDescent="0.35">
      <c r="A744" s="40">
        <v>45525</v>
      </c>
      <c r="B744" s="38">
        <v>-0.89</v>
      </c>
      <c r="C744" s="13" t="s">
        <v>3982</v>
      </c>
      <c r="D744" s="36">
        <v>811.3</v>
      </c>
      <c r="E744" s="43" t="s">
        <v>3596</v>
      </c>
    </row>
    <row r="745" spans="1:5" x14ac:dyDescent="0.35">
      <c r="A745" s="40">
        <v>45525</v>
      </c>
      <c r="B745" s="38">
        <v>-25.31</v>
      </c>
      <c r="C745" s="13" t="s">
        <v>3985</v>
      </c>
      <c r="D745" s="36">
        <v>812.19</v>
      </c>
      <c r="E745" s="43" t="s">
        <v>3596</v>
      </c>
    </row>
    <row r="746" spans="1:5" x14ac:dyDescent="0.35">
      <c r="A746" s="40">
        <v>45525</v>
      </c>
      <c r="B746" s="38">
        <v>-1.1299999999999999</v>
      </c>
      <c r="C746" s="13" t="s">
        <v>3982</v>
      </c>
      <c r="D746" s="36">
        <v>837.5</v>
      </c>
      <c r="E746" s="43" t="s">
        <v>3596</v>
      </c>
    </row>
    <row r="747" spans="1:5" x14ac:dyDescent="0.35">
      <c r="A747" s="40">
        <v>45525</v>
      </c>
      <c r="B747" s="38">
        <v>-32.229999999999997</v>
      </c>
      <c r="C747" s="13" t="s">
        <v>3986</v>
      </c>
      <c r="D747" s="36">
        <v>838.63</v>
      </c>
      <c r="E747" s="43" t="s">
        <v>3596</v>
      </c>
    </row>
    <row r="748" spans="1:5" x14ac:dyDescent="0.35">
      <c r="A748" s="40">
        <v>45525</v>
      </c>
      <c r="B748" s="38">
        <v>-3.96</v>
      </c>
      <c r="C748" s="13" t="s">
        <v>3978</v>
      </c>
      <c r="D748" s="36">
        <v>870.86</v>
      </c>
      <c r="E748" s="43" t="s">
        <v>3596</v>
      </c>
    </row>
    <row r="749" spans="1:5" x14ac:dyDescent="0.35">
      <c r="A749" s="40">
        <v>45525</v>
      </c>
      <c r="B749" s="38">
        <v>-113.2</v>
      </c>
      <c r="C749" s="13" t="s">
        <v>3987</v>
      </c>
      <c r="D749" s="36">
        <v>874.82</v>
      </c>
      <c r="E749" s="43" t="s">
        <v>3596</v>
      </c>
    </row>
    <row r="750" spans="1:5" x14ac:dyDescent="0.35">
      <c r="A750" s="40">
        <v>45524</v>
      </c>
      <c r="B750" s="38">
        <v>-1.4</v>
      </c>
      <c r="C750" s="13" t="s">
        <v>3988</v>
      </c>
      <c r="D750" s="36">
        <v>988.02</v>
      </c>
      <c r="E750" s="43" t="s">
        <v>3596</v>
      </c>
    </row>
    <row r="751" spans="1:5" x14ac:dyDescent="0.35">
      <c r="A751" s="40">
        <v>45524</v>
      </c>
      <c r="B751" s="38">
        <v>-39.96</v>
      </c>
      <c r="C751" s="13" t="s">
        <v>3680</v>
      </c>
      <c r="D751" s="36">
        <v>989.42</v>
      </c>
      <c r="E751" s="43" t="s">
        <v>3596</v>
      </c>
    </row>
    <row r="752" spans="1:5" x14ac:dyDescent="0.35">
      <c r="A752" s="40">
        <v>45524</v>
      </c>
      <c r="B752" s="38">
        <v>-2.77</v>
      </c>
      <c r="C752" s="13" t="s">
        <v>3988</v>
      </c>
      <c r="D752" s="36">
        <v>1029.3800000000001</v>
      </c>
      <c r="E752" s="43" t="s">
        <v>3596</v>
      </c>
    </row>
    <row r="753" spans="1:5" x14ac:dyDescent="0.35">
      <c r="A753" s="40">
        <v>45524</v>
      </c>
      <c r="B753" s="38">
        <v>-79.22</v>
      </c>
      <c r="C753" s="13" t="s">
        <v>3681</v>
      </c>
      <c r="D753" s="36">
        <v>1032.1500000000001</v>
      </c>
      <c r="E753" s="43" t="s">
        <v>3596</v>
      </c>
    </row>
    <row r="754" spans="1:5" x14ac:dyDescent="0.35">
      <c r="A754" s="40">
        <v>45524</v>
      </c>
      <c r="B754" s="38">
        <v>-0.15</v>
      </c>
      <c r="C754" s="13" t="s">
        <v>3988</v>
      </c>
      <c r="D754" s="36">
        <v>1111.3699999999999</v>
      </c>
      <c r="E754" s="43" t="s">
        <v>3596</v>
      </c>
    </row>
    <row r="755" spans="1:5" x14ac:dyDescent="0.35">
      <c r="A755" s="40">
        <v>45524</v>
      </c>
      <c r="B755" s="38">
        <v>-4.41</v>
      </c>
      <c r="C755" s="13" t="s">
        <v>3989</v>
      </c>
      <c r="D755" s="36">
        <v>1111.52</v>
      </c>
      <c r="E755" s="43" t="s">
        <v>3596</v>
      </c>
    </row>
    <row r="756" spans="1:5" x14ac:dyDescent="0.35">
      <c r="A756" s="40">
        <v>45524</v>
      </c>
      <c r="B756" s="38">
        <v>-0.15</v>
      </c>
      <c r="C756" s="13" t="s">
        <v>3988</v>
      </c>
      <c r="D756" s="36">
        <v>1115.93</v>
      </c>
      <c r="E756" s="43" t="s">
        <v>3596</v>
      </c>
    </row>
    <row r="757" spans="1:5" x14ac:dyDescent="0.35">
      <c r="A757" s="40">
        <v>45524</v>
      </c>
      <c r="B757" s="38">
        <v>-4.41</v>
      </c>
      <c r="C757" s="13" t="s">
        <v>3989</v>
      </c>
      <c r="D757" s="36">
        <v>1116.08</v>
      </c>
      <c r="E757" s="43" t="s">
        <v>3596</v>
      </c>
    </row>
    <row r="758" spans="1:5" x14ac:dyDescent="0.35">
      <c r="A758" s="40">
        <v>45524</v>
      </c>
      <c r="B758" s="38">
        <v>-0.15</v>
      </c>
      <c r="C758" s="13" t="s">
        <v>3988</v>
      </c>
      <c r="D758" s="36">
        <v>1120.49</v>
      </c>
      <c r="E758" s="43" t="s">
        <v>3596</v>
      </c>
    </row>
    <row r="759" spans="1:5" x14ac:dyDescent="0.35">
      <c r="A759" s="40">
        <v>45524</v>
      </c>
      <c r="B759" s="38">
        <v>-4.41</v>
      </c>
      <c r="C759" s="13" t="s">
        <v>3989</v>
      </c>
      <c r="D759" s="36">
        <v>1120.6400000000001</v>
      </c>
      <c r="E759" s="43" t="s">
        <v>3596</v>
      </c>
    </row>
    <row r="760" spans="1:5" x14ac:dyDescent="0.35">
      <c r="A760" s="40">
        <v>45524</v>
      </c>
      <c r="B760" s="38">
        <v>-0.15</v>
      </c>
      <c r="C760" s="13" t="s">
        <v>3988</v>
      </c>
      <c r="D760" s="36">
        <v>1125.05</v>
      </c>
      <c r="E760" s="43" t="s">
        <v>3596</v>
      </c>
    </row>
    <row r="761" spans="1:5" x14ac:dyDescent="0.35">
      <c r="A761" s="40">
        <v>45524</v>
      </c>
      <c r="B761" s="38">
        <v>-4.3899999999999997</v>
      </c>
      <c r="C761" s="13" t="s">
        <v>3989</v>
      </c>
      <c r="D761" s="36">
        <v>1125.2</v>
      </c>
      <c r="E761" s="43" t="s">
        <v>3596</v>
      </c>
    </row>
    <row r="762" spans="1:5" x14ac:dyDescent="0.35">
      <c r="A762" s="40">
        <v>45524</v>
      </c>
      <c r="B762" s="38">
        <v>-11.75</v>
      </c>
      <c r="C762" s="13" t="s">
        <v>3988</v>
      </c>
      <c r="D762" s="36">
        <v>1129.5899999999999</v>
      </c>
      <c r="E762" s="43" t="s">
        <v>3596</v>
      </c>
    </row>
    <row r="763" spans="1:5" x14ac:dyDescent="0.35">
      <c r="A763" s="40">
        <v>45524</v>
      </c>
      <c r="B763" s="38">
        <v>-335.69</v>
      </c>
      <c r="C763" s="13" t="s">
        <v>3682</v>
      </c>
      <c r="D763" s="36">
        <v>1141.3399999999999</v>
      </c>
      <c r="E763" s="43" t="s">
        <v>3596</v>
      </c>
    </row>
    <row r="764" spans="1:5" x14ac:dyDescent="0.35">
      <c r="A764" s="40">
        <v>45524</v>
      </c>
      <c r="B764" s="38">
        <v>-1.92</v>
      </c>
      <c r="C764" s="13" t="s">
        <v>3990</v>
      </c>
      <c r="D764" s="36">
        <v>1477.03</v>
      </c>
      <c r="E764" s="43" t="s">
        <v>3596</v>
      </c>
    </row>
    <row r="765" spans="1:5" x14ac:dyDescent="0.35">
      <c r="A765" s="40">
        <v>45524</v>
      </c>
      <c r="B765" s="38">
        <v>-54.96</v>
      </c>
      <c r="C765" s="13" t="s">
        <v>3991</v>
      </c>
      <c r="D765" s="36">
        <v>1478.95</v>
      </c>
      <c r="E765" s="43" t="s">
        <v>3596</v>
      </c>
    </row>
    <row r="766" spans="1:5" x14ac:dyDescent="0.35">
      <c r="A766" s="40">
        <v>45524</v>
      </c>
      <c r="B766" s="38">
        <v>-1.87</v>
      </c>
      <c r="C766" s="13" t="s">
        <v>3988</v>
      </c>
      <c r="D766" s="36">
        <v>1533.91</v>
      </c>
      <c r="E766" s="43" t="s">
        <v>3596</v>
      </c>
    </row>
    <row r="767" spans="1:5" x14ac:dyDescent="0.35">
      <c r="A767" s="40">
        <v>45524</v>
      </c>
      <c r="B767" s="38">
        <v>-53.44</v>
      </c>
      <c r="C767" s="13" t="s">
        <v>3992</v>
      </c>
      <c r="D767" s="36">
        <v>1535.78</v>
      </c>
      <c r="E767" s="43" t="s">
        <v>3596</v>
      </c>
    </row>
    <row r="768" spans="1:5" x14ac:dyDescent="0.35">
      <c r="A768" s="40">
        <v>45524</v>
      </c>
      <c r="B768" s="38">
        <v>-0.11</v>
      </c>
      <c r="C768" s="13" t="s">
        <v>3993</v>
      </c>
      <c r="D768" s="36">
        <v>1589.22</v>
      </c>
      <c r="E768" s="43" t="s">
        <v>3596</v>
      </c>
    </row>
    <row r="769" spans="1:5" x14ac:dyDescent="0.35">
      <c r="A769" s="40">
        <v>45524</v>
      </c>
      <c r="B769" s="38">
        <v>-3.2</v>
      </c>
      <c r="C769" s="13" t="s">
        <v>3683</v>
      </c>
      <c r="D769" s="36">
        <v>1589.33</v>
      </c>
      <c r="E769" s="43" t="s">
        <v>3596</v>
      </c>
    </row>
    <row r="770" spans="1:5" x14ac:dyDescent="0.35">
      <c r="A770" s="40">
        <v>45524</v>
      </c>
      <c r="B770" s="38">
        <v>-14.34</v>
      </c>
      <c r="C770" s="13" t="s">
        <v>3994</v>
      </c>
      <c r="D770" s="36">
        <v>1592.53</v>
      </c>
      <c r="E770" s="43" t="s">
        <v>3596</v>
      </c>
    </row>
    <row r="771" spans="1:5" x14ac:dyDescent="0.35">
      <c r="A771" s="40">
        <v>45524</v>
      </c>
      <c r="B771" s="38">
        <v>-409.61</v>
      </c>
      <c r="C771" s="13" t="s">
        <v>3684</v>
      </c>
      <c r="D771" s="36">
        <v>1606.87</v>
      </c>
      <c r="E771" s="43" t="s">
        <v>3596</v>
      </c>
    </row>
    <row r="772" spans="1:5" x14ac:dyDescent="0.35">
      <c r="A772" s="40">
        <v>45524</v>
      </c>
      <c r="B772" s="38">
        <v>-59.99</v>
      </c>
      <c r="C772" s="13" t="s">
        <v>3995</v>
      </c>
      <c r="D772" s="36">
        <v>2016.48</v>
      </c>
      <c r="E772" s="43" t="s">
        <v>3596</v>
      </c>
    </row>
    <row r="773" spans="1:5" x14ac:dyDescent="0.35">
      <c r="A773" s="40">
        <v>45524</v>
      </c>
      <c r="B773" s="38">
        <v>-1.82</v>
      </c>
      <c r="C773" s="13" t="s">
        <v>3994</v>
      </c>
      <c r="D773" s="36">
        <v>2076.4699999999998</v>
      </c>
      <c r="E773" s="43" t="s">
        <v>3596</v>
      </c>
    </row>
    <row r="774" spans="1:5" x14ac:dyDescent="0.35">
      <c r="A774" s="40">
        <v>45524</v>
      </c>
      <c r="B774" s="38">
        <v>-52.09</v>
      </c>
      <c r="C774" s="13" t="s">
        <v>3685</v>
      </c>
      <c r="D774" s="36">
        <v>2078.29</v>
      </c>
      <c r="E774" s="43" t="s">
        <v>3596</v>
      </c>
    </row>
    <row r="775" spans="1:5" x14ac:dyDescent="0.35">
      <c r="A775" s="40">
        <v>45524</v>
      </c>
      <c r="B775" s="38">
        <v>-2.2200000000000002</v>
      </c>
      <c r="C775" s="13" t="s">
        <v>3982</v>
      </c>
      <c r="D775" s="36">
        <v>2130.38</v>
      </c>
      <c r="E775" s="43" t="s">
        <v>3596</v>
      </c>
    </row>
    <row r="776" spans="1:5" x14ac:dyDescent="0.35">
      <c r="A776" s="40">
        <v>45524</v>
      </c>
      <c r="B776" s="38">
        <v>-63.41</v>
      </c>
      <c r="C776" s="13" t="s">
        <v>3686</v>
      </c>
      <c r="D776" s="36">
        <v>2132.6</v>
      </c>
      <c r="E776" s="43" t="s">
        <v>3596</v>
      </c>
    </row>
    <row r="777" spans="1:5" x14ac:dyDescent="0.35">
      <c r="A777" s="40">
        <v>45524</v>
      </c>
      <c r="B777" s="38">
        <v>-0.5</v>
      </c>
      <c r="C777" s="13" t="s">
        <v>3994</v>
      </c>
      <c r="D777" s="36">
        <v>2196.0100000000002</v>
      </c>
      <c r="E777" s="43" t="s">
        <v>3596</v>
      </c>
    </row>
    <row r="778" spans="1:5" x14ac:dyDescent="0.35">
      <c r="A778" s="40">
        <v>45524</v>
      </c>
      <c r="B778" s="38">
        <v>-14.23</v>
      </c>
      <c r="C778" s="13" t="s">
        <v>3996</v>
      </c>
      <c r="D778" s="36">
        <v>2196.5100000000002</v>
      </c>
      <c r="E778" s="43" t="s">
        <v>3596</v>
      </c>
    </row>
    <row r="779" spans="1:5" x14ac:dyDescent="0.35">
      <c r="A779" s="40">
        <v>45524</v>
      </c>
      <c r="B779" s="38">
        <v>-3.18</v>
      </c>
      <c r="C779" s="13" t="s">
        <v>3994</v>
      </c>
      <c r="D779" s="36">
        <v>2210.7399999999998</v>
      </c>
      <c r="E779" s="43" t="s">
        <v>3596</v>
      </c>
    </row>
    <row r="780" spans="1:5" x14ac:dyDescent="0.35">
      <c r="A780" s="40">
        <v>45524</v>
      </c>
      <c r="B780" s="38">
        <v>-90.83</v>
      </c>
      <c r="C780" s="13" t="s">
        <v>3687</v>
      </c>
      <c r="D780" s="36">
        <v>2213.92</v>
      </c>
      <c r="E780" s="43" t="s">
        <v>3596</v>
      </c>
    </row>
    <row r="781" spans="1:5" x14ac:dyDescent="0.35">
      <c r="A781" s="40">
        <v>45524</v>
      </c>
      <c r="B781" s="38">
        <v>-0.85</v>
      </c>
      <c r="C781" s="13" t="s">
        <v>3994</v>
      </c>
      <c r="D781" s="36">
        <v>2304.75</v>
      </c>
      <c r="E781" s="43" t="s">
        <v>3596</v>
      </c>
    </row>
    <row r="782" spans="1:5" x14ac:dyDescent="0.35">
      <c r="A782" s="40">
        <v>45524</v>
      </c>
      <c r="B782" s="38">
        <v>-24.39</v>
      </c>
      <c r="C782" s="13" t="s">
        <v>3997</v>
      </c>
      <c r="D782" s="36">
        <v>2305.6</v>
      </c>
      <c r="E782" s="43" t="s">
        <v>3596</v>
      </c>
    </row>
    <row r="783" spans="1:5" x14ac:dyDescent="0.35">
      <c r="A783" s="40">
        <v>45521</v>
      </c>
      <c r="B783" s="38">
        <v>-1.98</v>
      </c>
      <c r="C783" s="13" t="s">
        <v>3988</v>
      </c>
      <c r="D783" s="36">
        <v>2329.9899999999998</v>
      </c>
      <c r="E783" s="43" t="s">
        <v>3596</v>
      </c>
    </row>
    <row r="784" spans="1:5" x14ac:dyDescent="0.35">
      <c r="A784" s="40">
        <v>45521</v>
      </c>
      <c r="B784" s="38">
        <v>-56.71</v>
      </c>
      <c r="C784" s="13" t="s">
        <v>3688</v>
      </c>
      <c r="D784" s="36">
        <v>2331.9699999999998</v>
      </c>
      <c r="E784" s="43" t="s">
        <v>3596</v>
      </c>
    </row>
    <row r="785" spans="1:5" x14ac:dyDescent="0.35">
      <c r="A785" s="40">
        <v>45521</v>
      </c>
      <c r="B785" s="38">
        <v>-0.21</v>
      </c>
      <c r="C785" s="13" t="s">
        <v>3990</v>
      </c>
      <c r="D785" s="36">
        <v>2388.6799999999998</v>
      </c>
      <c r="E785" s="43" t="s">
        <v>3596</v>
      </c>
    </row>
    <row r="786" spans="1:5" x14ac:dyDescent="0.35">
      <c r="A786" s="40">
        <v>45521</v>
      </c>
      <c r="B786" s="38">
        <v>-6.05</v>
      </c>
      <c r="C786" s="13" t="s">
        <v>3689</v>
      </c>
      <c r="D786" s="36">
        <v>2388.89</v>
      </c>
      <c r="E786" s="43" t="s">
        <v>3596</v>
      </c>
    </row>
    <row r="787" spans="1:5" x14ac:dyDescent="0.35">
      <c r="A787" s="40">
        <v>45521</v>
      </c>
      <c r="B787" s="38">
        <v>-0.15</v>
      </c>
      <c r="C787" s="13" t="s">
        <v>3990</v>
      </c>
      <c r="D787" s="36">
        <v>2394.94</v>
      </c>
      <c r="E787" s="43" t="s">
        <v>3596</v>
      </c>
    </row>
    <row r="788" spans="1:5" x14ac:dyDescent="0.35">
      <c r="A788" s="40">
        <v>45521</v>
      </c>
      <c r="B788" s="38">
        <v>-4.3899999999999997</v>
      </c>
      <c r="C788" s="13" t="s">
        <v>3998</v>
      </c>
      <c r="D788" s="36">
        <v>2395.09</v>
      </c>
      <c r="E788" s="43" t="s">
        <v>3596</v>
      </c>
    </row>
    <row r="789" spans="1:5" x14ac:dyDescent="0.35">
      <c r="A789" s="40">
        <v>45521</v>
      </c>
      <c r="B789" s="38">
        <v>-0.15</v>
      </c>
      <c r="C789" s="13" t="s">
        <v>3990</v>
      </c>
      <c r="D789" s="36">
        <v>2399.48</v>
      </c>
      <c r="E789" s="43" t="s">
        <v>3596</v>
      </c>
    </row>
    <row r="790" spans="1:5" x14ac:dyDescent="0.35">
      <c r="A790" s="40">
        <v>45521</v>
      </c>
      <c r="B790" s="38">
        <v>-4.41</v>
      </c>
      <c r="C790" s="13" t="s">
        <v>3998</v>
      </c>
      <c r="D790" s="36">
        <v>2399.63</v>
      </c>
      <c r="E790" s="43" t="s">
        <v>3596</v>
      </c>
    </row>
    <row r="791" spans="1:5" x14ac:dyDescent="0.35">
      <c r="A791" s="40">
        <v>45521</v>
      </c>
      <c r="B791" s="38">
        <v>-0.15</v>
      </c>
      <c r="C791" s="13" t="s">
        <v>3990</v>
      </c>
      <c r="D791" s="36">
        <v>2404.04</v>
      </c>
      <c r="E791" s="43" t="s">
        <v>3596</v>
      </c>
    </row>
    <row r="792" spans="1:5" x14ac:dyDescent="0.35">
      <c r="A792" s="40">
        <v>45521</v>
      </c>
      <c r="B792" s="38">
        <v>-4.41</v>
      </c>
      <c r="C792" s="13" t="s">
        <v>3999</v>
      </c>
      <c r="D792" s="36">
        <v>2404.19</v>
      </c>
      <c r="E792" s="43" t="s">
        <v>3596</v>
      </c>
    </row>
    <row r="793" spans="1:5" x14ac:dyDescent="0.35">
      <c r="A793" s="40">
        <v>45521</v>
      </c>
      <c r="B793" s="38">
        <v>-0.77</v>
      </c>
      <c r="C793" s="13" t="s">
        <v>3990</v>
      </c>
      <c r="D793" s="36">
        <v>2408.6</v>
      </c>
      <c r="E793" s="43" t="s">
        <v>3596</v>
      </c>
    </row>
    <row r="794" spans="1:5" x14ac:dyDescent="0.35">
      <c r="A794" s="40">
        <v>45521</v>
      </c>
      <c r="B794" s="38">
        <v>-21.99</v>
      </c>
      <c r="C794" s="13" t="s">
        <v>4000</v>
      </c>
      <c r="D794" s="36">
        <v>2409.37</v>
      </c>
      <c r="E794" s="43" t="s">
        <v>3596</v>
      </c>
    </row>
    <row r="795" spans="1:5" x14ac:dyDescent="0.35">
      <c r="A795" s="40">
        <v>45521</v>
      </c>
      <c r="B795" s="38">
        <v>-5.33</v>
      </c>
      <c r="C795" s="13" t="s">
        <v>4001</v>
      </c>
      <c r="D795" s="36">
        <v>2431.36</v>
      </c>
      <c r="E795" s="43" t="s">
        <v>3596</v>
      </c>
    </row>
    <row r="796" spans="1:5" x14ac:dyDescent="0.35">
      <c r="A796" s="40">
        <v>45521</v>
      </c>
      <c r="B796" s="38">
        <v>-152.22</v>
      </c>
      <c r="C796" s="13" t="s">
        <v>3690</v>
      </c>
      <c r="D796" s="36">
        <v>2436.69</v>
      </c>
      <c r="E796" s="43" t="s">
        <v>3596</v>
      </c>
    </row>
    <row r="797" spans="1:5" x14ac:dyDescent="0.35">
      <c r="A797" s="40">
        <v>45521</v>
      </c>
      <c r="B797" s="38">
        <v>-1.05</v>
      </c>
      <c r="C797" s="13" t="s">
        <v>4001</v>
      </c>
      <c r="D797" s="36">
        <v>2588.91</v>
      </c>
      <c r="E797" s="43" t="s">
        <v>3596</v>
      </c>
    </row>
    <row r="798" spans="1:5" x14ac:dyDescent="0.35">
      <c r="A798" s="40">
        <v>45521</v>
      </c>
      <c r="B798" s="38">
        <v>-29.94</v>
      </c>
      <c r="C798" s="13" t="s">
        <v>3691</v>
      </c>
      <c r="D798" s="36">
        <v>2589.96</v>
      </c>
      <c r="E798" s="43" t="s">
        <v>3596</v>
      </c>
    </row>
    <row r="799" spans="1:5" x14ac:dyDescent="0.35">
      <c r="A799" s="40">
        <v>45521</v>
      </c>
      <c r="B799" s="38">
        <v>-0.65</v>
      </c>
      <c r="C799" s="13" t="s">
        <v>4001</v>
      </c>
      <c r="D799" s="36">
        <v>2619.9</v>
      </c>
      <c r="E799" s="43" t="s">
        <v>3596</v>
      </c>
    </row>
    <row r="800" spans="1:5" x14ac:dyDescent="0.35">
      <c r="A800" s="40">
        <v>45521</v>
      </c>
      <c r="B800" s="38">
        <v>-18.66</v>
      </c>
      <c r="C800" s="13" t="s">
        <v>3692</v>
      </c>
      <c r="D800" s="36">
        <v>2620.5500000000002</v>
      </c>
      <c r="E800" s="43" t="s">
        <v>3596</v>
      </c>
    </row>
    <row r="801" spans="1:5" x14ac:dyDescent="0.35">
      <c r="A801" s="40">
        <v>45521</v>
      </c>
      <c r="B801" s="38">
        <v>-0.11</v>
      </c>
      <c r="C801" s="13" t="s">
        <v>4001</v>
      </c>
      <c r="D801" s="36">
        <v>2639.21</v>
      </c>
      <c r="E801" s="43" t="s">
        <v>3596</v>
      </c>
    </row>
    <row r="802" spans="1:5" x14ac:dyDescent="0.35">
      <c r="A802" s="40">
        <v>45521</v>
      </c>
      <c r="B802" s="38">
        <v>-3.16</v>
      </c>
      <c r="C802" s="13" t="s">
        <v>3693</v>
      </c>
      <c r="D802" s="36">
        <v>2639.32</v>
      </c>
      <c r="E802" s="43" t="s">
        <v>3596</v>
      </c>
    </row>
    <row r="803" spans="1:5" x14ac:dyDescent="0.35">
      <c r="A803" s="40">
        <v>45521</v>
      </c>
      <c r="B803" s="38">
        <v>-24.99</v>
      </c>
      <c r="C803" s="13" t="s">
        <v>4002</v>
      </c>
      <c r="D803" s="36">
        <v>2642.48</v>
      </c>
      <c r="E803" s="43" t="s">
        <v>3596</v>
      </c>
    </row>
    <row r="804" spans="1:5" x14ac:dyDescent="0.35">
      <c r="A804" s="40">
        <v>45521</v>
      </c>
      <c r="B804" s="38">
        <v>-2.27</v>
      </c>
      <c r="C804" s="13" t="s">
        <v>3988</v>
      </c>
      <c r="D804" s="36">
        <v>2667.47</v>
      </c>
      <c r="E804" s="43" t="s">
        <v>3596</v>
      </c>
    </row>
    <row r="805" spans="1:5" x14ac:dyDescent="0.35">
      <c r="A805" s="40">
        <v>45521</v>
      </c>
      <c r="B805" s="38">
        <v>-64.81</v>
      </c>
      <c r="C805" s="13" t="s">
        <v>3694</v>
      </c>
      <c r="D805" s="36">
        <v>2669.74</v>
      </c>
      <c r="E805" s="43" t="s">
        <v>3596</v>
      </c>
    </row>
    <row r="806" spans="1:5" x14ac:dyDescent="0.35">
      <c r="A806" s="40">
        <v>45520</v>
      </c>
      <c r="B806" s="38">
        <v>-0.15</v>
      </c>
      <c r="C806" s="13" t="s">
        <v>4001</v>
      </c>
      <c r="D806" s="36">
        <v>2734.55</v>
      </c>
      <c r="E806" s="43" t="s">
        <v>3596</v>
      </c>
    </row>
    <row r="807" spans="1:5" x14ac:dyDescent="0.35">
      <c r="A807" s="40">
        <v>45520</v>
      </c>
      <c r="B807" s="38">
        <v>-4.41</v>
      </c>
      <c r="C807" s="13" t="s">
        <v>3999</v>
      </c>
      <c r="D807" s="36">
        <v>2734.7</v>
      </c>
      <c r="E807" s="43" t="s">
        <v>3596</v>
      </c>
    </row>
    <row r="808" spans="1:5" x14ac:dyDescent="0.35">
      <c r="A808" s="40">
        <v>45520</v>
      </c>
      <c r="B808" s="38">
        <v>-0.15</v>
      </c>
      <c r="C808" s="13" t="s">
        <v>4001</v>
      </c>
      <c r="D808" s="36">
        <v>2739.11</v>
      </c>
      <c r="E808" s="43" t="s">
        <v>3596</v>
      </c>
    </row>
    <row r="809" spans="1:5" x14ac:dyDescent="0.35">
      <c r="A809" s="40">
        <v>45520</v>
      </c>
      <c r="B809" s="38">
        <v>-4.41</v>
      </c>
      <c r="C809" s="13" t="s">
        <v>3999</v>
      </c>
      <c r="D809" s="36">
        <v>2739.26</v>
      </c>
      <c r="E809" s="43" t="s">
        <v>3596</v>
      </c>
    </row>
    <row r="810" spans="1:5" x14ac:dyDescent="0.35">
      <c r="A810" s="40">
        <v>45520</v>
      </c>
      <c r="B810" s="38">
        <v>-0.15</v>
      </c>
      <c r="C810" s="13" t="s">
        <v>4001</v>
      </c>
      <c r="D810" s="36">
        <v>2743.67</v>
      </c>
      <c r="E810" s="43" t="s">
        <v>3596</v>
      </c>
    </row>
    <row r="811" spans="1:5" x14ac:dyDescent="0.35">
      <c r="A811" s="40">
        <v>45520</v>
      </c>
      <c r="B811" s="38">
        <v>-4.42</v>
      </c>
      <c r="C811" s="13" t="s">
        <v>3999</v>
      </c>
      <c r="D811" s="36">
        <v>2743.82</v>
      </c>
      <c r="E811" s="43" t="s">
        <v>3596</v>
      </c>
    </row>
    <row r="812" spans="1:5" x14ac:dyDescent="0.35">
      <c r="A812" s="40">
        <v>45520</v>
      </c>
      <c r="B812" s="38">
        <v>-0.41</v>
      </c>
      <c r="C812" s="13" t="s">
        <v>4001</v>
      </c>
      <c r="D812" s="36">
        <v>2748.24</v>
      </c>
      <c r="E812" s="43" t="s">
        <v>3596</v>
      </c>
    </row>
    <row r="813" spans="1:5" x14ac:dyDescent="0.35">
      <c r="A813" s="40">
        <v>45520</v>
      </c>
      <c r="B813" s="38">
        <v>-11.58</v>
      </c>
      <c r="C813" s="13" t="s">
        <v>3695</v>
      </c>
      <c r="D813" s="36">
        <v>2748.65</v>
      </c>
      <c r="E813" s="43" t="s">
        <v>3596</v>
      </c>
    </row>
    <row r="814" spans="1:5" x14ac:dyDescent="0.35">
      <c r="A814" s="40">
        <v>45520</v>
      </c>
      <c r="B814" s="38">
        <v>-4.0599999999999996</v>
      </c>
      <c r="C814" s="13" t="s">
        <v>4001</v>
      </c>
      <c r="D814" s="36">
        <v>2760.23</v>
      </c>
      <c r="E814" s="43" t="s">
        <v>3596</v>
      </c>
    </row>
    <row r="815" spans="1:5" x14ac:dyDescent="0.35">
      <c r="A815" s="40">
        <v>45520</v>
      </c>
      <c r="B815" s="38">
        <v>-115.86</v>
      </c>
      <c r="C815" s="13" t="s">
        <v>3696</v>
      </c>
      <c r="D815" s="36">
        <v>2764.29</v>
      </c>
      <c r="E815" s="43" t="s">
        <v>3596</v>
      </c>
    </row>
    <row r="816" spans="1:5" x14ac:dyDescent="0.35">
      <c r="A816" s="40">
        <v>45520</v>
      </c>
      <c r="B816" s="38">
        <v>-0.5</v>
      </c>
      <c r="C816" s="13" t="s">
        <v>4003</v>
      </c>
      <c r="D816" s="36">
        <v>2880.15</v>
      </c>
      <c r="E816" s="43" t="s">
        <v>3596</v>
      </c>
    </row>
    <row r="817" spans="1:5" x14ac:dyDescent="0.35">
      <c r="A817" s="40">
        <v>45520</v>
      </c>
      <c r="B817" s="38">
        <v>-14.26</v>
      </c>
      <c r="C817" s="13" t="s">
        <v>4004</v>
      </c>
      <c r="D817" s="36">
        <v>2880.65</v>
      </c>
      <c r="E817" s="43" t="s">
        <v>3596</v>
      </c>
    </row>
    <row r="818" spans="1:5" x14ac:dyDescent="0.35">
      <c r="A818" s="40">
        <v>45520</v>
      </c>
      <c r="B818" s="38">
        <v>-0.11</v>
      </c>
      <c r="C818" s="13" t="s">
        <v>4003</v>
      </c>
      <c r="D818" s="36">
        <v>2894.91</v>
      </c>
      <c r="E818" s="43" t="s">
        <v>3596</v>
      </c>
    </row>
    <row r="819" spans="1:5" x14ac:dyDescent="0.35">
      <c r="A819" s="40">
        <v>45520</v>
      </c>
      <c r="B819" s="38">
        <v>-3.17</v>
      </c>
      <c r="C819" s="13" t="s">
        <v>4005</v>
      </c>
      <c r="D819" s="36">
        <v>2895.02</v>
      </c>
      <c r="E819" s="43" t="s">
        <v>3596</v>
      </c>
    </row>
    <row r="820" spans="1:5" x14ac:dyDescent="0.35">
      <c r="A820" s="40">
        <v>45520</v>
      </c>
      <c r="B820" s="38">
        <v>-1.5</v>
      </c>
      <c r="C820" s="13" t="s">
        <v>4001</v>
      </c>
      <c r="D820" s="36">
        <v>2898.19</v>
      </c>
      <c r="E820" s="43" t="s">
        <v>3596</v>
      </c>
    </row>
    <row r="821" spans="1:5" x14ac:dyDescent="0.35">
      <c r="A821" s="40">
        <v>45520</v>
      </c>
      <c r="B821" s="38">
        <v>-42.73</v>
      </c>
      <c r="C821" s="13" t="s">
        <v>4006</v>
      </c>
      <c r="D821" s="36">
        <v>2899.69</v>
      </c>
      <c r="E821" s="43" t="s">
        <v>3596</v>
      </c>
    </row>
    <row r="822" spans="1:5" x14ac:dyDescent="0.35">
      <c r="A822" s="40">
        <v>45520</v>
      </c>
      <c r="B822" s="38">
        <v>-1.39</v>
      </c>
      <c r="C822" s="13" t="s">
        <v>3990</v>
      </c>
      <c r="D822" s="36">
        <v>2942.42</v>
      </c>
      <c r="E822" s="43" t="s">
        <v>3596</v>
      </c>
    </row>
    <row r="823" spans="1:5" x14ac:dyDescent="0.35">
      <c r="A823" s="40">
        <v>45520</v>
      </c>
      <c r="B823" s="38">
        <v>-39.75</v>
      </c>
      <c r="C823" s="13" t="s">
        <v>4007</v>
      </c>
      <c r="D823" s="36">
        <v>2943.81</v>
      </c>
      <c r="E823" s="43" t="s">
        <v>3596</v>
      </c>
    </row>
    <row r="824" spans="1:5" x14ac:dyDescent="0.35">
      <c r="A824" s="40">
        <v>45519</v>
      </c>
      <c r="B824" s="38">
        <v>-11.8</v>
      </c>
      <c r="C824" s="13" t="s">
        <v>3670</v>
      </c>
      <c r="D824" s="36">
        <v>2983.56</v>
      </c>
      <c r="E824" s="43" t="s">
        <v>3596</v>
      </c>
    </row>
    <row r="825" spans="1:5" x14ac:dyDescent="0.35">
      <c r="A825" s="40">
        <v>45519</v>
      </c>
      <c r="B825" s="38">
        <v>-6.15</v>
      </c>
      <c r="C825" s="13" t="s">
        <v>1087</v>
      </c>
      <c r="D825" s="36">
        <v>2995.36</v>
      </c>
      <c r="E825" s="43" t="s">
        <v>3596</v>
      </c>
    </row>
    <row r="826" spans="1:5" x14ac:dyDescent="0.35">
      <c r="A826" s="40">
        <v>45519</v>
      </c>
      <c r="B826" s="38">
        <v>-32.83</v>
      </c>
      <c r="C826" s="13" t="s">
        <v>4008</v>
      </c>
      <c r="D826" s="36">
        <v>3001.51</v>
      </c>
      <c r="E826" s="43" t="s">
        <v>3596</v>
      </c>
    </row>
    <row r="827" spans="1:5" x14ac:dyDescent="0.35">
      <c r="A827" s="40">
        <v>45519</v>
      </c>
      <c r="B827" s="38">
        <v>-1408.62</v>
      </c>
      <c r="C827" s="13" t="s">
        <v>3668</v>
      </c>
      <c r="D827" s="36">
        <v>3034.34</v>
      </c>
      <c r="E827" s="43" t="s">
        <v>3596</v>
      </c>
    </row>
    <row r="828" spans="1:5" x14ac:dyDescent="0.35">
      <c r="A828" s="40">
        <v>45519</v>
      </c>
      <c r="B828" s="38">
        <v>-0.23</v>
      </c>
      <c r="C828" s="13" t="s">
        <v>4003</v>
      </c>
      <c r="D828" s="36">
        <v>4442.96</v>
      </c>
      <c r="E828" s="43" t="s">
        <v>3596</v>
      </c>
    </row>
    <row r="829" spans="1:5" x14ac:dyDescent="0.35">
      <c r="A829" s="40">
        <v>45519</v>
      </c>
      <c r="B829" s="38">
        <v>-6.47</v>
      </c>
      <c r="C829" s="13" t="s">
        <v>4009</v>
      </c>
      <c r="D829" s="36">
        <v>4443.1899999999996</v>
      </c>
      <c r="E829" s="43" t="s">
        <v>3596</v>
      </c>
    </row>
    <row r="830" spans="1:5" x14ac:dyDescent="0.35">
      <c r="A830" s="40">
        <v>45519</v>
      </c>
      <c r="B830" s="38">
        <v>-0.15</v>
      </c>
      <c r="C830" s="13" t="s">
        <v>4003</v>
      </c>
      <c r="D830" s="36">
        <v>4449.66</v>
      </c>
      <c r="E830" s="43" t="s">
        <v>3596</v>
      </c>
    </row>
    <row r="831" spans="1:5" x14ac:dyDescent="0.35">
      <c r="A831" s="40">
        <v>45519</v>
      </c>
      <c r="B831" s="38">
        <v>-4.42</v>
      </c>
      <c r="C831" s="13" t="s">
        <v>4010</v>
      </c>
      <c r="D831" s="36">
        <v>4449.8100000000004</v>
      </c>
      <c r="E831" s="43" t="s">
        <v>3596</v>
      </c>
    </row>
    <row r="832" spans="1:5" x14ac:dyDescent="0.35">
      <c r="A832" s="40">
        <v>45519</v>
      </c>
      <c r="B832" s="38">
        <v>-0.3</v>
      </c>
      <c r="C832" s="13" t="s">
        <v>4003</v>
      </c>
      <c r="D832" s="36">
        <v>4454.2299999999996</v>
      </c>
      <c r="E832" s="43" t="s">
        <v>3596</v>
      </c>
    </row>
    <row r="833" spans="1:5" x14ac:dyDescent="0.35">
      <c r="A833" s="40">
        <v>45519</v>
      </c>
      <c r="B833" s="38">
        <v>-8.64</v>
      </c>
      <c r="C833" s="13" t="s">
        <v>3697</v>
      </c>
      <c r="D833" s="36">
        <v>4454.53</v>
      </c>
      <c r="E833" s="43" t="s">
        <v>3596</v>
      </c>
    </row>
    <row r="834" spans="1:5" x14ac:dyDescent="0.35">
      <c r="A834" s="40">
        <v>45519</v>
      </c>
      <c r="B834" s="38">
        <v>-0.53</v>
      </c>
      <c r="C834" s="13" t="s">
        <v>4003</v>
      </c>
      <c r="D834" s="36">
        <v>4463.17</v>
      </c>
      <c r="E834" s="43" t="s">
        <v>3596</v>
      </c>
    </row>
    <row r="835" spans="1:5" x14ac:dyDescent="0.35">
      <c r="A835" s="40">
        <v>45519</v>
      </c>
      <c r="B835" s="38">
        <v>-15.05</v>
      </c>
      <c r="C835" s="13" t="s">
        <v>3698</v>
      </c>
      <c r="D835" s="36">
        <v>4463.7</v>
      </c>
      <c r="E835" s="43" t="s">
        <v>3596</v>
      </c>
    </row>
    <row r="836" spans="1:5" x14ac:dyDescent="0.35">
      <c r="A836" s="40">
        <v>45519</v>
      </c>
      <c r="B836" s="38">
        <v>-1.71</v>
      </c>
      <c r="C836" s="13" t="s">
        <v>4001</v>
      </c>
      <c r="D836" s="36">
        <v>4478.75</v>
      </c>
      <c r="E836" s="43" t="s">
        <v>3596</v>
      </c>
    </row>
    <row r="837" spans="1:5" x14ac:dyDescent="0.35">
      <c r="A837" s="40">
        <v>45519</v>
      </c>
      <c r="B837" s="38">
        <v>-48.94</v>
      </c>
      <c r="C837" s="13" t="s">
        <v>4011</v>
      </c>
      <c r="D837" s="36">
        <v>4480.46</v>
      </c>
      <c r="E837" s="43" t="s">
        <v>3596</v>
      </c>
    </row>
    <row r="838" spans="1:5" x14ac:dyDescent="0.35">
      <c r="A838" s="40">
        <v>45519</v>
      </c>
      <c r="B838" s="38">
        <v>-1.86</v>
      </c>
      <c r="C838" s="13" t="s">
        <v>4003</v>
      </c>
      <c r="D838" s="36">
        <v>4529.3999999999996</v>
      </c>
      <c r="E838" s="43" t="s">
        <v>3596</v>
      </c>
    </row>
    <row r="839" spans="1:5" x14ac:dyDescent="0.35">
      <c r="A839" s="40">
        <v>45519</v>
      </c>
      <c r="B839" s="38">
        <v>-53.02</v>
      </c>
      <c r="C839" s="13" t="s">
        <v>3699</v>
      </c>
      <c r="D839" s="36">
        <v>4531.26</v>
      </c>
      <c r="E839" s="43" t="s">
        <v>3596</v>
      </c>
    </row>
    <row r="840" spans="1:5" x14ac:dyDescent="0.35">
      <c r="A840" s="40">
        <v>45519</v>
      </c>
      <c r="B840" s="38">
        <v>-0.8</v>
      </c>
      <c r="C840" s="13" t="s">
        <v>4001</v>
      </c>
      <c r="D840" s="36">
        <v>4584.28</v>
      </c>
      <c r="E840" s="43" t="s">
        <v>3596</v>
      </c>
    </row>
    <row r="841" spans="1:5" x14ac:dyDescent="0.35">
      <c r="A841" s="40">
        <v>45519</v>
      </c>
      <c r="B841" s="38">
        <v>-22.96</v>
      </c>
      <c r="C841" s="13" t="s">
        <v>4012</v>
      </c>
      <c r="D841" s="36">
        <v>4585.08</v>
      </c>
      <c r="E841" s="43" t="s">
        <v>3596</v>
      </c>
    </row>
    <row r="842" spans="1:5" x14ac:dyDescent="0.35">
      <c r="A842" s="40">
        <v>45519</v>
      </c>
      <c r="B842" s="38">
        <v>2672</v>
      </c>
      <c r="C842" s="13" t="s">
        <v>4013</v>
      </c>
      <c r="D842" s="36">
        <v>4608.04</v>
      </c>
      <c r="E842" s="43" t="s">
        <v>3596</v>
      </c>
    </row>
    <row r="843" spans="1:5" x14ac:dyDescent="0.35">
      <c r="A843" s="40">
        <v>45517</v>
      </c>
      <c r="B843" s="38">
        <v>-3.73</v>
      </c>
      <c r="C843" s="13" t="s">
        <v>4014</v>
      </c>
      <c r="D843" s="36">
        <v>1936.04</v>
      </c>
      <c r="E843" s="43" t="s">
        <v>3596</v>
      </c>
    </row>
    <row r="844" spans="1:5" x14ac:dyDescent="0.35">
      <c r="A844" s="40">
        <v>45517</v>
      </c>
      <c r="B844" s="38">
        <v>-106.7</v>
      </c>
      <c r="C844" s="13" t="s">
        <v>3700</v>
      </c>
      <c r="D844" s="36">
        <v>1939.77</v>
      </c>
      <c r="E844" s="43" t="s">
        <v>3596</v>
      </c>
    </row>
    <row r="845" spans="1:5" x14ac:dyDescent="0.35">
      <c r="A845" s="40">
        <v>45517</v>
      </c>
      <c r="B845" s="38">
        <v>-12.69</v>
      </c>
      <c r="C845" s="13" t="s">
        <v>4015</v>
      </c>
      <c r="D845" s="36">
        <v>2046.47</v>
      </c>
      <c r="E845" s="43" t="s">
        <v>3596</v>
      </c>
    </row>
    <row r="846" spans="1:5" x14ac:dyDescent="0.35">
      <c r="A846" s="40">
        <v>45517</v>
      </c>
      <c r="B846" s="38">
        <v>-362.63</v>
      </c>
      <c r="C846" s="13" t="s">
        <v>3701</v>
      </c>
      <c r="D846" s="36">
        <v>2059.16</v>
      </c>
      <c r="E846" s="43" t="s">
        <v>3596</v>
      </c>
    </row>
    <row r="847" spans="1:5" x14ac:dyDescent="0.35">
      <c r="A847" s="40">
        <v>45517</v>
      </c>
      <c r="B847" s="38">
        <v>-1.17</v>
      </c>
      <c r="C847" s="13" t="s">
        <v>4016</v>
      </c>
      <c r="D847" s="36">
        <v>2421.79</v>
      </c>
      <c r="E847" s="43" t="s">
        <v>3596</v>
      </c>
    </row>
    <row r="848" spans="1:5" x14ac:dyDescent="0.35">
      <c r="A848" s="40">
        <v>45517</v>
      </c>
      <c r="B848" s="38">
        <v>-33.520000000000003</v>
      </c>
      <c r="C848" s="13" t="s">
        <v>4017</v>
      </c>
      <c r="D848" s="36">
        <v>2422.96</v>
      </c>
      <c r="E848" s="43" t="s">
        <v>3596</v>
      </c>
    </row>
    <row r="849" spans="1:5" x14ac:dyDescent="0.35">
      <c r="A849" s="40">
        <v>45514</v>
      </c>
      <c r="B849" s="38">
        <v>-4.2699999999999996</v>
      </c>
      <c r="C849" s="13" t="s">
        <v>4018</v>
      </c>
      <c r="D849" s="36">
        <v>2456.48</v>
      </c>
      <c r="E849" s="43" t="s">
        <v>3596</v>
      </c>
    </row>
    <row r="850" spans="1:5" x14ac:dyDescent="0.35">
      <c r="A850" s="40">
        <v>45514</v>
      </c>
      <c r="B850" s="38">
        <v>-121.9</v>
      </c>
      <c r="C850" s="13" t="s">
        <v>3702</v>
      </c>
      <c r="D850" s="36">
        <v>2460.75</v>
      </c>
      <c r="E850" s="43" t="s">
        <v>3596</v>
      </c>
    </row>
    <row r="851" spans="1:5" x14ac:dyDescent="0.35">
      <c r="A851" s="40">
        <v>45514</v>
      </c>
      <c r="B851" s="38">
        <v>-2.1</v>
      </c>
      <c r="C851" s="13" t="s">
        <v>4019</v>
      </c>
      <c r="D851" s="36">
        <v>2582.65</v>
      </c>
      <c r="E851" s="43" t="s">
        <v>3596</v>
      </c>
    </row>
    <row r="852" spans="1:5" x14ac:dyDescent="0.35">
      <c r="A852" s="40">
        <v>45514</v>
      </c>
      <c r="B852" s="38">
        <v>-60.03</v>
      </c>
      <c r="C852" s="13" t="s">
        <v>3703</v>
      </c>
      <c r="D852" s="36">
        <v>2584.75</v>
      </c>
      <c r="E852" s="43" t="s">
        <v>3596</v>
      </c>
    </row>
    <row r="853" spans="1:5" x14ac:dyDescent="0.35">
      <c r="A853" s="40">
        <v>45514</v>
      </c>
      <c r="B853" s="38">
        <v>-2.89</v>
      </c>
      <c r="C853" s="13" t="s">
        <v>4019</v>
      </c>
      <c r="D853" s="36">
        <v>2644.78</v>
      </c>
      <c r="E853" s="43" t="s">
        <v>3596</v>
      </c>
    </row>
    <row r="854" spans="1:5" x14ac:dyDescent="0.35">
      <c r="A854" s="40">
        <v>45514</v>
      </c>
      <c r="B854" s="38">
        <v>-82.49</v>
      </c>
      <c r="C854" s="13" t="s">
        <v>3704</v>
      </c>
      <c r="D854" s="36">
        <v>2647.67</v>
      </c>
      <c r="E854" s="43" t="s">
        <v>3596</v>
      </c>
    </row>
    <row r="855" spans="1:5" x14ac:dyDescent="0.35">
      <c r="A855" s="40">
        <v>45513</v>
      </c>
      <c r="B855" s="38">
        <v>-89</v>
      </c>
      <c r="C855" s="13" t="s">
        <v>4020</v>
      </c>
      <c r="D855" s="36">
        <v>2730.16</v>
      </c>
      <c r="E855" s="43" t="s">
        <v>3596</v>
      </c>
    </row>
    <row r="856" spans="1:5" x14ac:dyDescent="0.35">
      <c r="A856" s="40">
        <v>45512</v>
      </c>
      <c r="B856" s="38">
        <v>-3.61</v>
      </c>
      <c r="C856" s="13" t="s">
        <v>4019</v>
      </c>
      <c r="D856" s="36">
        <v>2819.16</v>
      </c>
      <c r="E856" s="43" t="s">
        <v>3596</v>
      </c>
    </row>
    <row r="857" spans="1:5" x14ac:dyDescent="0.35">
      <c r="A857" s="40">
        <v>45512</v>
      </c>
      <c r="B857" s="38">
        <v>-103.02</v>
      </c>
      <c r="C857" s="13" t="s">
        <v>4021</v>
      </c>
      <c r="D857" s="36">
        <v>2822.77</v>
      </c>
      <c r="E857" s="43" t="s">
        <v>3596</v>
      </c>
    </row>
    <row r="858" spans="1:5" x14ac:dyDescent="0.35">
      <c r="A858" s="40">
        <v>45510</v>
      </c>
      <c r="B858" s="38">
        <v>-6.74</v>
      </c>
      <c r="C858" s="13" t="s">
        <v>4022</v>
      </c>
      <c r="D858" s="36">
        <v>2925.79</v>
      </c>
      <c r="E858" s="43" t="s">
        <v>3596</v>
      </c>
    </row>
    <row r="859" spans="1:5" x14ac:dyDescent="0.35">
      <c r="A859" s="40">
        <v>45510</v>
      </c>
      <c r="B859" s="38">
        <v>-192.53</v>
      </c>
      <c r="C859" s="13" t="s">
        <v>3705</v>
      </c>
      <c r="D859" s="36">
        <v>2932.53</v>
      </c>
      <c r="E859" s="43" t="s">
        <v>3596</v>
      </c>
    </row>
    <row r="860" spans="1:5" x14ac:dyDescent="0.35">
      <c r="A860" s="40">
        <v>45510</v>
      </c>
      <c r="B860" s="38">
        <v>-1.08</v>
      </c>
      <c r="C860" s="13" t="s">
        <v>4023</v>
      </c>
      <c r="D860" s="36">
        <v>3125.06</v>
      </c>
      <c r="E860" s="43" t="s">
        <v>3596</v>
      </c>
    </row>
    <row r="861" spans="1:5" x14ac:dyDescent="0.35">
      <c r="A861" s="40">
        <v>45510</v>
      </c>
      <c r="B861" s="38">
        <v>-30.85</v>
      </c>
      <c r="C861" s="13" t="s">
        <v>4024</v>
      </c>
      <c r="D861" s="36">
        <v>3126.14</v>
      </c>
      <c r="E861" s="43" t="s">
        <v>3596</v>
      </c>
    </row>
    <row r="862" spans="1:5" x14ac:dyDescent="0.35">
      <c r="A862" s="40">
        <v>45510</v>
      </c>
      <c r="B862" s="38">
        <v>-0.75</v>
      </c>
      <c r="C862" s="13" t="s">
        <v>4023</v>
      </c>
      <c r="D862" s="36">
        <v>3156.99</v>
      </c>
      <c r="E862" s="43" t="s">
        <v>3596</v>
      </c>
    </row>
    <row r="863" spans="1:5" x14ac:dyDescent="0.35">
      <c r="A863" s="40">
        <v>45510</v>
      </c>
      <c r="B863" s="38">
        <v>-21.47</v>
      </c>
      <c r="C863" s="13" t="s">
        <v>4025</v>
      </c>
      <c r="D863" s="36">
        <v>3157.74</v>
      </c>
      <c r="E863" s="43" t="s">
        <v>3596</v>
      </c>
    </row>
    <row r="864" spans="1:5" x14ac:dyDescent="0.35">
      <c r="A864" s="40">
        <v>45510</v>
      </c>
      <c r="B864" s="38">
        <v>-1.04</v>
      </c>
      <c r="C864" s="13" t="s">
        <v>4023</v>
      </c>
      <c r="D864" s="36">
        <v>3179.21</v>
      </c>
      <c r="E864" s="43" t="s">
        <v>3596</v>
      </c>
    </row>
    <row r="865" spans="1:5" x14ac:dyDescent="0.35">
      <c r="A865" s="40">
        <v>45510</v>
      </c>
      <c r="B865" s="38">
        <v>-29.61</v>
      </c>
      <c r="C865" s="13" t="s">
        <v>3706</v>
      </c>
      <c r="D865" s="36">
        <v>3180.25</v>
      </c>
      <c r="E865" s="43" t="s">
        <v>3596</v>
      </c>
    </row>
    <row r="866" spans="1:5" x14ac:dyDescent="0.35">
      <c r="A866" s="40">
        <v>45510</v>
      </c>
      <c r="B866" s="38">
        <v>-8.64</v>
      </c>
      <c r="C866" s="13" t="s">
        <v>4026</v>
      </c>
      <c r="D866" s="36">
        <v>3209.86</v>
      </c>
      <c r="E866" s="43" t="s">
        <v>3596</v>
      </c>
    </row>
    <row r="867" spans="1:5" x14ac:dyDescent="0.35">
      <c r="A867" s="40">
        <v>45510</v>
      </c>
      <c r="B867" s="38">
        <v>-246.93</v>
      </c>
      <c r="C867" s="13" t="s">
        <v>3707</v>
      </c>
      <c r="D867" s="36">
        <v>3218.5</v>
      </c>
      <c r="E867" s="43" t="s">
        <v>3596</v>
      </c>
    </row>
    <row r="868" spans="1:5" x14ac:dyDescent="0.35">
      <c r="A868" s="40">
        <v>45510</v>
      </c>
      <c r="B868" s="38">
        <v>-3.8</v>
      </c>
      <c r="C868" s="13" t="s">
        <v>4023</v>
      </c>
      <c r="D868" s="36">
        <v>3465.43</v>
      </c>
      <c r="E868" s="43" t="s">
        <v>3596</v>
      </c>
    </row>
    <row r="869" spans="1:5" x14ac:dyDescent="0.35">
      <c r="A869" s="40">
        <v>45510</v>
      </c>
      <c r="B869" s="38">
        <v>-108.56</v>
      </c>
      <c r="C869" s="13" t="s">
        <v>3708</v>
      </c>
      <c r="D869" s="36">
        <v>3469.23</v>
      </c>
      <c r="E869" s="43" t="s">
        <v>3596</v>
      </c>
    </row>
    <row r="870" spans="1:5" x14ac:dyDescent="0.35">
      <c r="A870" s="40">
        <v>45510</v>
      </c>
      <c r="B870" s="38">
        <v>-0.86</v>
      </c>
      <c r="C870" s="13" t="s">
        <v>4023</v>
      </c>
      <c r="D870" s="36">
        <v>3577.79</v>
      </c>
      <c r="E870" s="43" t="s">
        <v>3596</v>
      </c>
    </row>
    <row r="871" spans="1:5" x14ac:dyDescent="0.35">
      <c r="A871" s="40">
        <v>45510</v>
      </c>
      <c r="B871" s="38">
        <v>-24.68</v>
      </c>
      <c r="C871" s="13" t="s">
        <v>3709</v>
      </c>
      <c r="D871" s="36">
        <v>3578.65</v>
      </c>
      <c r="E871" s="43" t="s">
        <v>3596</v>
      </c>
    </row>
    <row r="872" spans="1:5" x14ac:dyDescent="0.35">
      <c r="A872" s="40">
        <v>45510</v>
      </c>
      <c r="B872" s="38">
        <v>-0.38</v>
      </c>
      <c r="C872" s="13" t="s">
        <v>4023</v>
      </c>
      <c r="D872" s="36">
        <v>3603.33</v>
      </c>
      <c r="E872" s="43" t="s">
        <v>3596</v>
      </c>
    </row>
    <row r="873" spans="1:5" x14ac:dyDescent="0.35">
      <c r="A873" s="40">
        <v>45510</v>
      </c>
      <c r="B873" s="38">
        <v>-10.8</v>
      </c>
      <c r="C873" s="13" t="s">
        <v>3710</v>
      </c>
      <c r="D873" s="36">
        <v>3603.71</v>
      </c>
      <c r="E873" s="43" t="s">
        <v>3596</v>
      </c>
    </row>
    <row r="874" spans="1:5" x14ac:dyDescent="0.35">
      <c r="A874" s="40">
        <v>45510</v>
      </c>
      <c r="B874" s="38">
        <v>-0.65</v>
      </c>
      <c r="C874" s="13" t="s">
        <v>4023</v>
      </c>
      <c r="D874" s="36">
        <v>3614.51</v>
      </c>
      <c r="E874" s="43" t="s">
        <v>3596</v>
      </c>
    </row>
    <row r="875" spans="1:5" x14ac:dyDescent="0.35">
      <c r="A875" s="40">
        <v>45510</v>
      </c>
      <c r="B875" s="38">
        <v>-18.600000000000001</v>
      </c>
      <c r="C875" s="13" t="s">
        <v>3711</v>
      </c>
      <c r="D875" s="36">
        <v>3615.16</v>
      </c>
      <c r="E875" s="43" t="s">
        <v>3596</v>
      </c>
    </row>
    <row r="876" spans="1:5" x14ac:dyDescent="0.35">
      <c r="A876" s="40">
        <v>45510</v>
      </c>
      <c r="B876" s="38">
        <v>-5.84</v>
      </c>
      <c r="C876" s="13" t="s">
        <v>4023</v>
      </c>
      <c r="D876" s="36">
        <v>3633.76</v>
      </c>
      <c r="E876" s="43" t="s">
        <v>3596</v>
      </c>
    </row>
    <row r="877" spans="1:5" x14ac:dyDescent="0.35">
      <c r="A877" s="40">
        <v>45510</v>
      </c>
      <c r="B877" s="38">
        <v>-166.93</v>
      </c>
      <c r="C877" s="13" t="s">
        <v>3712</v>
      </c>
      <c r="D877" s="36">
        <v>3639.6</v>
      </c>
      <c r="E877" s="43" t="s">
        <v>3596</v>
      </c>
    </row>
    <row r="878" spans="1:5" x14ac:dyDescent="0.35">
      <c r="A878" s="40">
        <v>45510</v>
      </c>
      <c r="B878" s="38">
        <v>-0.59</v>
      </c>
      <c r="C878" s="13" t="s">
        <v>4023</v>
      </c>
      <c r="D878" s="36">
        <v>3806.53</v>
      </c>
      <c r="E878" s="43" t="s">
        <v>3596</v>
      </c>
    </row>
    <row r="879" spans="1:5" x14ac:dyDescent="0.35">
      <c r="A879" s="40">
        <v>45510</v>
      </c>
      <c r="B879" s="38">
        <v>-16.93</v>
      </c>
      <c r="C879" s="13" t="s">
        <v>4027</v>
      </c>
      <c r="D879" s="36">
        <v>3807.12</v>
      </c>
      <c r="E879" s="43" t="s">
        <v>3596</v>
      </c>
    </row>
    <row r="880" spans="1:5" x14ac:dyDescent="0.35">
      <c r="A880" s="40">
        <v>45510</v>
      </c>
      <c r="B880" s="38">
        <v>-2.5</v>
      </c>
      <c r="C880" s="13" t="s">
        <v>4023</v>
      </c>
      <c r="D880" s="36">
        <v>3824.05</v>
      </c>
      <c r="E880" s="43" t="s">
        <v>3596</v>
      </c>
    </row>
    <row r="881" spans="1:5" x14ac:dyDescent="0.35">
      <c r="A881" s="40">
        <v>45510</v>
      </c>
      <c r="B881" s="38">
        <v>-71.44</v>
      </c>
      <c r="C881" s="13" t="s">
        <v>3713</v>
      </c>
      <c r="D881" s="36">
        <v>3826.55</v>
      </c>
      <c r="E881" s="43" t="s">
        <v>3596</v>
      </c>
    </row>
    <row r="882" spans="1:5" x14ac:dyDescent="0.35">
      <c r="A882" s="40">
        <v>45510</v>
      </c>
      <c r="B882" s="38">
        <v>-0.61</v>
      </c>
      <c r="C882" s="13" t="s">
        <v>4023</v>
      </c>
      <c r="D882" s="36">
        <v>3897.99</v>
      </c>
      <c r="E882" s="43" t="s">
        <v>3596</v>
      </c>
    </row>
    <row r="883" spans="1:5" x14ac:dyDescent="0.35">
      <c r="A883" s="40">
        <v>45510</v>
      </c>
      <c r="B883" s="38">
        <v>-17.57</v>
      </c>
      <c r="C883" s="13" t="s">
        <v>4028</v>
      </c>
      <c r="D883" s="36">
        <v>3898.6</v>
      </c>
      <c r="E883" s="43" t="s">
        <v>3596</v>
      </c>
    </row>
    <row r="884" spans="1:5" x14ac:dyDescent="0.35">
      <c r="A884" s="40">
        <v>45510</v>
      </c>
      <c r="B884" s="38">
        <v>-22.82</v>
      </c>
      <c r="C884" s="13" t="s">
        <v>4023</v>
      </c>
      <c r="D884" s="36">
        <v>3916.17</v>
      </c>
      <c r="E884" s="43" t="s">
        <v>3596</v>
      </c>
    </row>
    <row r="885" spans="1:5" x14ac:dyDescent="0.35">
      <c r="A885" s="40">
        <v>45510</v>
      </c>
      <c r="B885" s="38">
        <v>-652.08000000000004</v>
      </c>
      <c r="C885" s="13" t="s">
        <v>3714</v>
      </c>
      <c r="D885" s="36">
        <v>3938.99</v>
      </c>
      <c r="E885" s="43" t="s">
        <v>3596</v>
      </c>
    </row>
    <row r="886" spans="1:5" x14ac:dyDescent="0.35">
      <c r="A886" s="40">
        <v>45507</v>
      </c>
      <c r="B886" s="38">
        <v>-1.08</v>
      </c>
      <c r="C886" s="13" t="s">
        <v>4029</v>
      </c>
      <c r="D886" s="36">
        <v>4591.07</v>
      </c>
      <c r="E886" s="43" t="s">
        <v>3596</v>
      </c>
    </row>
    <row r="887" spans="1:5" x14ac:dyDescent="0.35">
      <c r="A887" s="40">
        <v>45507</v>
      </c>
      <c r="B887" s="38">
        <v>-30.88</v>
      </c>
      <c r="C887" s="13" t="s">
        <v>3715</v>
      </c>
      <c r="D887" s="36">
        <v>4592.1499999999996</v>
      </c>
      <c r="E887" s="43" t="s">
        <v>3596</v>
      </c>
    </row>
    <row r="888" spans="1:5" x14ac:dyDescent="0.35">
      <c r="A888" s="40">
        <v>45507</v>
      </c>
      <c r="B888" s="38">
        <v>-3.38</v>
      </c>
      <c r="C888" s="13" t="s">
        <v>4029</v>
      </c>
      <c r="D888" s="36">
        <v>4623.03</v>
      </c>
      <c r="E888" s="43" t="s">
        <v>3596</v>
      </c>
    </row>
    <row r="889" spans="1:5" x14ac:dyDescent="0.35">
      <c r="A889" s="40">
        <v>45507</v>
      </c>
      <c r="B889" s="38">
        <v>-96.67</v>
      </c>
      <c r="C889" s="13" t="s">
        <v>3716</v>
      </c>
      <c r="D889" s="36">
        <v>4626.41</v>
      </c>
      <c r="E889" s="43" t="s">
        <v>3596</v>
      </c>
    </row>
    <row r="890" spans="1:5" x14ac:dyDescent="0.35">
      <c r="A890" s="40">
        <v>45505</v>
      </c>
      <c r="B890" s="38">
        <v>-11.8</v>
      </c>
      <c r="C890" s="13" t="s">
        <v>3670</v>
      </c>
      <c r="D890" s="36">
        <v>4723.08</v>
      </c>
      <c r="E890" s="43" t="s">
        <v>3596</v>
      </c>
    </row>
    <row r="891" spans="1:5" x14ac:dyDescent="0.35">
      <c r="A891" s="40">
        <v>45505</v>
      </c>
      <c r="B891" s="38">
        <v>-5.4</v>
      </c>
      <c r="C891" s="13" t="s">
        <v>4030</v>
      </c>
      <c r="D891" s="36">
        <v>4734.88</v>
      </c>
      <c r="E891" s="43" t="s">
        <v>3596</v>
      </c>
    </row>
    <row r="892" spans="1:5" x14ac:dyDescent="0.35">
      <c r="A892" s="40">
        <v>45505</v>
      </c>
      <c r="B892" s="38">
        <v>-1408.62</v>
      </c>
      <c r="C892" s="13" t="s">
        <v>3668</v>
      </c>
      <c r="D892" s="36">
        <v>4740.28</v>
      </c>
      <c r="E892" s="43" t="s">
        <v>3596</v>
      </c>
    </row>
    <row r="893" spans="1:5" x14ac:dyDescent="0.35">
      <c r="A893" s="40">
        <v>45505</v>
      </c>
      <c r="B893" s="38">
        <v>-1.98</v>
      </c>
      <c r="C893" s="13" t="s">
        <v>4031</v>
      </c>
      <c r="D893" s="36">
        <v>6148.9</v>
      </c>
      <c r="E893" s="43" t="s">
        <v>3596</v>
      </c>
    </row>
    <row r="894" spans="1:5" x14ac:dyDescent="0.35">
      <c r="A894" s="40">
        <v>45505</v>
      </c>
      <c r="B894" s="38">
        <v>-56.55</v>
      </c>
      <c r="C894" s="13" t="s">
        <v>4032</v>
      </c>
      <c r="D894" s="36">
        <v>6150.88</v>
      </c>
      <c r="E894" s="43" t="s">
        <v>3596</v>
      </c>
    </row>
    <row r="895" spans="1:5" x14ac:dyDescent="0.35">
      <c r="A895" s="40">
        <v>45505</v>
      </c>
      <c r="B895" s="38">
        <v>2672</v>
      </c>
      <c r="C895" s="13" t="s">
        <v>2864</v>
      </c>
      <c r="D895" s="36">
        <v>6207.43</v>
      </c>
      <c r="E895" s="43" t="s">
        <v>3596</v>
      </c>
    </row>
    <row r="896" spans="1:5" x14ac:dyDescent="0.35">
      <c r="A896" s="40">
        <v>45504</v>
      </c>
      <c r="B896" s="38">
        <v>-26.63</v>
      </c>
      <c r="C896" s="13" t="s">
        <v>4033</v>
      </c>
      <c r="D896" s="36">
        <v>3535.43</v>
      </c>
      <c r="E896" s="43" t="s">
        <v>3596</v>
      </c>
    </row>
    <row r="897" spans="1:5" x14ac:dyDescent="0.35">
      <c r="A897" s="40">
        <v>45504</v>
      </c>
      <c r="B897" s="38">
        <v>-760.78</v>
      </c>
      <c r="C897" s="13" t="s">
        <v>3717</v>
      </c>
      <c r="D897" s="36">
        <v>3562.06</v>
      </c>
      <c r="E897" s="43" t="s">
        <v>3596</v>
      </c>
    </row>
    <row r="898" spans="1:5" x14ac:dyDescent="0.35">
      <c r="A898" s="40">
        <v>45504</v>
      </c>
      <c r="B898" s="38">
        <v>-12.99</v>
      </c>
      <c r="C898" s="13" t="s">
        <v>4034</v>
      </c>
      <c r="D898" s="36">
        <v>4322.84</v>
      </c>
      <c r="E898" s="43" t="s">
        <v>3596</v>
      </c>
    </row>
    <row r="899" spans="1:5" x14ac:dyDescent="0.35">
      <c r="A899" s="40">
        <v>45503</v>
      </c>
      <c r="B899" s="38">
        <v>-1</v>
      </c>
      <c r="C899" s="13" t="s">
        <v>4035</v>
      </c>
      <c r="D899" s="36">
        <v>4335.83</v>
      </c>
      <c r="E899" s="43" t="s">
        <v>3596</v>
      </c>
    </row>
    <row r="900" spans="1:5" x14ac:dyDescent="0.35">
      <c r="A900" s="40">
        <v>45503</v>
      </c>
      <c r="B900" s="38">
        <v>-28.65</v>
      </c>
      <c r="C900" s="13" t="s">
        <v>3718</v>
      </c>
      <c r="D900" s="36">
        <v>4336.83</v>
      </c>
      <c r="E900" s="43" t="s">
        <v>3596</v>
      </c>
    </row>
    <row r="901" spans="1:5" x14ac:dyDescent="0.35">
      <c r="A901" s="40">
        <v>45503</v>
      </c>
      <c r="B901" s="38">
        <v>-1.03</v>
      </c>
      <c r="C901" s="13" t="s">
        <v>4035</v>
      </c>
      <c r="D901" s="36">
        <v>4365.4799999999996</v>
      </c>
      <c r="E901" s="43" t="s">
        <v>3596</v>
      </c>
    </row>
    <row r="902" spans="1:5" x14ac:dyDescent="0.35">
      <c r="A902" s="40">
        <v>45503</v>
      </c>
      <c r="B902" s="38">
        <v>-29.38</v>
      </c>
      <c r="C902" s="13" t="s">
        <v>4036</v>
      </c>
      <c r="D902" s="36">
        <v>4366.51</v>
      </c>
      <c r="E902" s="43" t="s">
        <v>3596</v>
      </c>
    </row>
    <row r="903" spans="1:5" x14ac:dyDescent="0.35">
      <c r="A903" s="40">
        <v>45503</v>
      </c>
      <c r="B903" s="38">
        <v>-4.78</v>
      </c>
      <c r="C903" s="13" t="s">
        <v>4037</v>
      </c>
      <c r="D903" s="36">
        <v>4395.8900000000003</v>
      </c>
      <c r="E903" s="43" t="s">
        <v>3596</v>
      </c>
    </row>
    <row r="904" spans="1:5" x14ac:dyDescent="0.35">
      <c r="A904" s="40">
        <v>45503</v>
      </c>
      <c r="B904" s="38">
        <v>-136.58000000000001</v>
      </c>
      <c r="C904" s="13" t="s">
        <v>3719</v>
      </c>
      <c r="D904" s="36">
        <v>4400.67</v>
      </c>
      <c r="E904" s="43" t="s">
        <v>3596</v>
      </c>
    </row>
    <row r="905" spans="1:5" x14ac:dyDescent="0.35">
      <c r="A905" s="40">
        <v>45503</v>
      </c>
      <c r="B905" s="38">
        <v>-0.11</v>
      </c>
      <c r="C905" s="13" t="s">
        <v>4037</v>
      </c>
      <c r="D905" s="36">
        <v>4537.25</v>
      </c>
      <c r="E905" s="43" t="s">
        <v>3596</v>
      </c>
    </row>
    <row r="906" spans="1:5" x14ac:dyDescent="0.35">
      <c r="A906" s="40">
        <v>45503</v>
      </c>
      <c r="B906" s="38">
        <v>-3.06</v>
      </c>
      <c r="C906" s="13" t="s">
        <v>3720</v>
      </c>
      <c r="D906" s="36">
        <v>4537.3599999999997</v>
      </c>
      <c r="E906" s="43" t="s">
        <v>3596</v>
      </c>
    </row>
    <row r="907" spans="1:5" x14ac:dyDescent="0.35">
      <c r="A907" s="40">
        <v>45503</v>
      </c>
      <c r="B907" s="38">
        <v>-1.38</v>
      </c>
      <c r="C907" s="13" t="s">
        <v>4037</v>
      </c>
      <c r="D907" s="36">
        <v>4540.42</v>
      </c>
      <c r="E907" s="43" t="s">
        <v>3596</v>
      </c>
    </row>
    <row r="908" spans="1:5" x14ac:dyDescent="0.35">
      <c r="A908" s="40">
        <v>45503</v>
      </c>
      <c r="B908" s="38">
        <v>-39.57</v>
      </c>
      <c r="C908" s="13" t="s">
        <v>3721</v>
      </c>
      <c r="D908" s="36">
        <v>4541.8</v>
      </c>
      <c r="E908" s="43" t="s">
        <v>3596</v>
      </c>
    </row>
    <row r="909" spans="1:5" x14ac:dyDescent="0.35">
      <c r="A909" s="40">
        <v>45503</v>
      </c>
      <c r="B909" s="38">
        <v>-2.4700000000000002</v>
      </c>
      <c r="C909" s="13" t="s">
        <v>4037</v>
      </c>
      <c r="D909" s="36">
        <v>4581.37</v>
      </c>
      <c r="E909" s="43" t="s">
        <v>3596</v>
      </c>
    </row>
    <row r="910" spans="1:5" x14ac:dyDescent="0.35">
      <c r="A910" s="40">
        <v>45503</v>
      </c>
      <c r="B910" s="38">
        <v>-70.510000000000005</v>
      </c>
      <c r="C910" s="13" t="s">
        <v>4038</v>
      </c>
      <c r="D910" s="36">
        <v>4583.84</v>
      </c>
      <c r="E910" s="43" t="s">
        <v>3596</v>
      </c>
    </row>
    <row r="911" spans="1:5" x14ac:dyDescent="0.35">
      <c r="A911" s="40">
        <v>45503</v>
      </c>
      <c r="B911" s="38">
        <v>-0.2</v>
      </c>
      <c r="C911" s="13" t="s">
        <v>4037</v>
      </c>
      <c r="D911" s="36">
        <v>4654.3500000000004</v>
      </c>
      <c r="E911" s="43" t="s">
        <v>3596</v>
      </c>
    </row>
    <row r="912" spans="1:5" x14ac:dyDescent="0.35">
      <c r="A912" s="40">
        <v>45503</v>
      </c>
      <c r="B912" s="38">
        <v>-5.65</v>
      </c>
      <c r="C912" s="13" t="s">
        <v>4039</v>
      </c>
      <c r="D912" s="36">
        <v>4654.55</v>
      </c>
      <c r="E912" s="43" t="s">
        <v>3596</v>
      </c>
    </row>
    <row r="913" spans="1:5" x14ac:dyDescent="0.35">
      <c r="A913" s="40">
        <v>45503</v>
      </c>
      <c r="B913" s="38">
        <v>-2.36</v>
      </c>
      <c r="C913" s="13" t="s">
        <v>4035</v>
      </c>
      <c r="D913" s="36">
        <v>4660.2</v>
      </c>
      <c r="E913" s="43" t="s">
        <v>3596</v>
      </c>
    </row>
    <row r="914" spans="1:5" x14ac:dyDescent="0.35">
      <c r="A914" s="40">
        <v>45503</v>
      </c>
      <c r="B914" s="38">
        <v>-67.34</v>
      </c>
      <c r="C914" s="13" t="s">
        <v>3722</v>
      </c>
      <c r="D914" s="36">
        <v>4662.5600000000004</v>
      </c>
      <c r="E914" s="43" t="s">
        <v>3596</v>
      </c>
    </row>
    <row r="915" spans="1:5" x14ac:dyDescent="0.35">
      <c r="A915" s="40">
        <v>45503</v>
      </c>
      <c r="B915" s="38">
        <v>-0.54</v>
      </c>
      <c r="C915" s="13" t="s">
        <v>4037</v>
      </c>
      <c r="D915" s="36">
        <v>4729.8999999999996</v>
      </c>
      <c r="E915" s="43" t="s">
        <v>3596</v>
      </c>
    </row>
    <row r="916" spans="1:5" x14ac:dyDescent="0.35">
      <c r="A916" s="40">
        <v>45503</v>
      </c>
      <c r="B916" s="38">
        <v>-15.36</v>
      </c>
      <c r="C916" s="13" t="s">
        <v>3723</v>
      </c>
      <c r="D916" s="36">
        <v>4730.4399999999996</v>
      </c>
      <c r="E916" s="43" t="s">
        <v>3596</v>
      </c>
    </row>
    <row r="917" spans="1:5" x14ac:dyDescent="0.35">
      <c r="A917" s="40">
        <v>45503</v>
      </c>
      <c r="B917" s="38">
        <v>-67.540000000000006</v>
      </c>
      <c r="C917" s="13" t="s">
        <v>4040</v>
      </c>
      <c r="D917" s="36">
        <v>4745.8</v>
      </c>
      <c r="E917" s="43" t="s">
        <v>3596</v>
      </c>
    </row>
    <row r="918" spans="1:5" x14ac:dyDescent="0.35">
      <c r="A918" s="40">
        <v>45503</v>
      </c>
      <c r="B918" s="38">
        <v>-1929.62</v>
      </c>
      <c r="C918" s="13" t="s">
        <v>4041</v>
      </c>
      <c r="D918" s="36">
        <v>4813.34</v>
      </c>
      <c r="E918" s="43" t="s">
        <v>3596</v>
      </c>
    </row>
    <row r="919" spans="1:5" x14ac:dyDescent="0.35">
      <c r="A919" s="40">
        <v>45503</v>
      </c>
      <c r="B919" s="38">
        <v>-19.95</v>
      </c>
      <c r="C919" s="13" t="s">
        <v>4037</v>
      </c>
      <c r="D919" s="36">
        <v>6742.96</v>
      </c>
      <c r="E919" s="43" t="s">
        <v>3596</v>
      </c>
    </row>
    <row r="920" spans="1:5" x14ac:dyDescent="0.35">
      <c r="A920" s="40">
        <v>45503</v>
      </c>
      <c r="B920" s="38">
        <v>-569.92999999999995</v>
      </c>
      <c r="C920" s="13" t="s">
        <v>3724</v>
      </c>
      <c r="D920" s="36">
        <v>6762.91</v>
      </c>
      <c r="E920" s="43" t="s">
        <v>3596</v>
      </c>
    </row>
    <row r="921" spans="1:5" x14ac:dyDescent="0.35">
      <c r="A921" s="40">
        <v>45501</v>
      </c>
      <c r="B921" s="38">
        <v>1107</v>
      </c>
      <c r="C921" s="13" t="s">
        <v>1521</v>
      </c>
      <c r="D921" s="36">
        <v>7332.84</v>
      </c>
      <c r="E921" s="43" t="s">
        <v>3596</v>
      </c>
    </row>
    <row r="922" spans="1:5" x14ac:dyDescent="0.35">
      <c r="A922" s="40">
        <v>45499</v>
      </c>
      <c r="B922" s="38">
        <v>-1.71</v>
      </c>
      <c r="C922" s="13" t="s">
        <v>4042</v>
      </c>
      <c r="D922" s="36">
        <v>6225.84</v>
      </c>
      <c r="E922" s="43" t="s">
        <v>3596</v>
      </c>
    </row>
    <row r="923" spans="1:5" x14ac:dyDescent="0.35">
      <c r="A923" s="40">
        <v>45499</v>
      </c>
      <c r="B923" s="38">
        <v>-48.98</v>
      </c>
      <c r="C923" s="13" t="s">
        <v>4043</v>
      </c>
      <c r="D923" s="36">
        <v>6227.55</v>
      </c>
      <c r="E923" s="43" t="s">
        <v>3596</v>
      </c>
    </row>
    <row r="924" spans="1:5" x14ac:dyDescent="0.35">
      <c r="A924" s="40">
        <v>45499</v>
      </c>
      <c r="B924" s="38">
        <v>-0.12</v>
      </c>
      <c r="C924" s="13" t="s">
        <v>4042</v>
      </c>
      <c r="D924" s="36">
        <v>6276.53</v>
      </c>
      <c r="E924" s="43" t="s">
        <v>3596</v>
      </c>
    </row>
    <row r="925" spans="1:5" x14ac:dyDescent="0.35">
      <c r="A925" s="40">
        <v>45499</v>
      </c>
      <c r="B925" s="38">
        <v>-3.39</v>
      </c>
      <c r="C925" s="13" t="s">
        <v>4044</v>
      </c>
      <c r="D925" s="36">
        <v>6276.65</v>
      </c>
      <c r="E925" s="43" t="s">
        <v>3596</v>
      </c>
    </row>
    <row r="926" spans="1:5" x14ac:dyDescent="0.35">
      <c r="A926" s="40">
        <v>45499</v>
      </c>
      <c r="B926" s="38">
        <v>-5</v>
      </c>
      <c r="C926" s="13" t="s">
        <v>4045</v>
      </c>
      <c r="D926" s="36">
        <v>6280.04</v>
      </c>
      <c r="E926" s="43" t="s">
        <v>3596</v>
      </c>
    </row>
    <row r="927" spans="1:5" x14ac:dyDescent="0.35">
      <c r="A927" s="40">
        <v>45499</v>
      </c>
      <c r="B927" s="38">
        <v>-4.6100000000000003</v>
      </c>
      <c r="C927" s="13" t="s">
        <v>4042</v>
      </c>
      <c r="D927" s="36">
        <v>6285.04</v>
      </c>
      <c r="E927" s="43" t="s">
        <v>3596</v>
      </c>
    </row>
    <row r="928" spans="1:5" x14ac:dyDescent="0.35">
      <c r="A928" s="40">
        <v>45499</v>
      </c>
      <c r="B928" s="38">
        <v>-131.59</v>
      </c>
      <c r="C928" s="13" t="s">
        <v>4046</v>
      </c>
      <c r="D928" s="36">
        <v>6289.65</v>
      </c>
      <c r="E928" s="43" t="s">
        <v>3596</v>
      </c>
    </row>
    <row r="929" spans="1:5" x14ac:dyDescent="0.35">
      <c r="A929" s="40">
        <v>45498</v>
      </c>
      <c r="B929" s="38">
        <v>-75.45</v>
      </c>
      <c r="C929" s="13" t="s">
        <v>4047</v>
      </c>
      <c r="D929" s="36">
        <v>6421.24</v>
      </c>
      <c r="E929" s="43" t="s">
        <v>3596</v>
      </c>
    </row>
    <row r="930" spans="1:5" x14ac:dyDescent="0.35">
      <c r="A930" s="40">
        <v>45498</v>
      </c>
      <c r="B930" s="38">
        <v>-29.5</v>
      </c>
      <c r="C930" s="13" t="s">
        <v>4048</v>
      </c>
      <c r="D930" s="36">
        <v>6496.69</v>
      </c>
      <c r="E930" s="43" t="s">
        <v>3596</v>
      </c>
    </row>
    <row r="931" spans="1:5" x14ac:dyDescent="0.35">
      <c r="A931" s="40">
        <v>45497</v>
      </c>
      <c r="B931" s="38">
        <v>-67.37</v>
      </c>
      <c r="C931" s="13" t="s">
        <v>3725</v>
      </c>
      <c r="D931" s="36">
        <v>6526.19</v>
      </c>
      <c r="E931" s="43" t="s">
        <v>3596</v>
      </c>
    </row>
    <row r="932" spans="1:5" x14ac:dyDescent="0.35">
      <c r="A932" s="40">
        <v>45496</v>
      </c>
      <c r="B932" s="38">
        <v>-5</v>
      </c>
      <c r="C932" s="13" t="s">
        <v>4049</v>
      </c>
      <c r="D932" s="36">
        <v>6593.56</v>
      </c>
      <c r="E932" s="43" t="s">
        <v>3596</v>
      </c>
    </row>
    <row r="933" spans="1:5" x14ac:dyDescent="0.35">
      <c r="A933" s="40">
        <v>45496</v>
      </c>
      <c r="B933" s="38">
        <v>-138.87</v>
      </c>
      <c r="C933" s="13" t="s">
        <v>4050</v>
      </c>
      <c r="D933" s="36">
        <v>6598.56</v>
      </c>
      <c r="E933" s="43" t="s">
        <v>3596</v>
      </c>
    </row>
    <row r="934" spans="1:5" x14ac:dyDescent="0.35">
      <c r="A934" s="40">
        <v>45496</v>
      </c>
      <c r="B934" s="38">
        <v>-0.16</v>
      </c>
      <c r="C934" s="13" t="s">
        <v>4051</v>
      </c>
      <c r="D934" s="36">
        <v>6737.43</v>
      </c>
      <c r="E934" s="43" t="s">
        <v>3596</v>
      </c>
    </row>
    <row r="935" spans="1:5" x14ac:dyDescent="0.35">
      <c r="A935" s="40">
        <v>45496</v>
      </c>
      <c r="B935" s="38">
        <v>-4.47</v>
      </c>
      <c r="C935" s="13" t="s">
        <v>4052</v>
      </c>
      <c r="D935" s="36">
        <v>6737.59</v>
      </c>
      <c r="E935" s="43" t="s">
        <v>3596</v>
      </c>
    </row>
    <row r="936" spans="1:5" x14ac:dyDescent="0.35">
      <c r="A936" s="40">
        <v>45493</v>
      </c>
      <c r="B936" s="38">
        <v>-59.99</v>
      </c>
      <c r="C936" s="13" t="s">
        <v>4053</v>
      </c>
      <c r="D936" s="36">
        <v>6742.06</v>
      </c>
      <c r="E936" s="43" t="s">
        <v>3596</v>
      </c>
    </row>
    <row r="937" spans="1:5" x14ac:dyDescent="0.35">
      <c r="A937" s="40">
        <v>45492</v>
      </c>
      <c r="B937" s="38">
        <v>-10.1</v>
      </c>
      <c r="C937" s="13" t="s">
        <v>4054</v>
      </c>
      <c r="D937" s="36">
        <v>6802.05</v>
      </c>
      <c r="E937" s="43" t="s">
        <v>3596</v>
      </c>
    </row>
    <row r="938" spans="1:5" x14ac:dyDescent="0.35">
      <c r="A938" s="40">
        <v>45492</v>
      </c>
      <c r="B938" s="38">
        <v>-16.989999999999998</v>
      </c>
      <c r="C938" s="13" t="s">
        <v>4055</v>
      </c>
      <c r="D938" s="36">
        <v>6812.15</v>
      </c>
      <c r="E938" s="43" t="s">
        <v>3596</v>
      </c>
    </row>
    <row r="939" spans="1:5" x14ac:dyDescent="0.35">
      <c r="A939" s="40">
        <v>45491</v>
      </c>
      <c r="B939" s="38">
        <v>-11.8</v>
      </c>
      <c r="C939" s="13" t="s">
        <v>3670</v>
      </c>
      <c r="D939" s="36">
        <v>6829.14</v>
      </c>
      <c r="E939" s="43" t="s">
        <v>3596</v>
      </c>
    </row>
    <row r="940" spans="1:5" x14ac:dyDescent="0.35">
      <c r="A940" s="40">
        <v>45491</v>
      </c>
      <c r="B940" s="38">
        <v>-1408.62</v>
      </c>
      <c r="C940" s="13" t="s">
        <v>3668</v>
      </c>
      <c r="D940" s="36">
        <v>6840.94</v>
      </c>
      <c r="E940" s="43" t="s">
        <v>3596</v>
      </c>
    </row>
    <row r="941" spans="1:5" x14ac:dyDescent="0.35">
      <c r="A941" s="40">
        <v>45491</v>
      </c>
      <c r="B941" s="38">
        <v>-29.5</v>
      </c>
      <c r="C941" s="13" t="s">
        <v>4056</v>
      </c>
      <c r="D941" s="36">
        <v>8249.56</v>
      </c>
      <c r="E941" s="43" t="s">
        <v>3596</v>
      </c>
    </row>
    <row r="942" spans="1:5" x14ac:dyDescent="0.35">
      <c r="A942" s="40">
        <v>45491</v>
      </c>
      <c r="B942" s="38">
        <v>-472.6</v>
      </c>
      <c r="C942" s="13" t="s">
        <v>4057</v>
      </c>
      <c r="D942" s="36">
        <v>8279.06</v>
      </c>
      <c r="E942" s="43" t="s">
        <v>3596</v>
      </c>
    </row>
    <row r="943" spans="1:5" x14ac:dyDescent="0.35">
      <c r="A943" s="40">
        <v>45491</v>
      </c>
      <c r="B943" s="38">
        <v>2671.99</v>
      </c>
      <c r="C943" s="13" t="s">
        <v>1432</v>
      </c>
      <c r="D943" s="36">
        <v>8751.66</v>
      </c>
      <c r="E943" s="43" t="s">
        <v>3596</v>
      </c>
    </row>
    <row r="944" spans="1:5" x14ac:dyDescent="0.35">
      <c r="A944" s="40">
        <v>45490</v>
      </c>
      <c r="B944" s="38">
        <v>-229.93</v>
      </c>
      <c r="C944" s="13" t="s">
        <v>4058</v>
      </c>
      <c r="D944" s="36">
        <v>6079.67</v>
      </c>
      <c r="E944" s="43" t="s">
        <v>3596</v>
      </c>
    </row>
    <row r="945" spans="1:5" x14ac:dyDescent="0.35">
      <c r="A945" s="40">
        <v>45490</v>
      </c>
      <c r="B945" s="38">
        <v>-35</v>
      </c>
      <c r="C945" s="13" t="s">
        <v>4059</v>
      </c>
      <c r="D945" s="36">
        <v>6309.6</v>
      </c>
      <c r="E945" s="43" t="s">
        <v>3596</v>
      </c>
    </row>
    <row r="946" spans="1:5" x14ac:dyDescent="0.35">
      <c r="A946" s="40">
        <v>45490</v>
      </c>
      <c r="B946" s="38">
        <v>-39.24</v>
      </c>
      <c r="C946" s="13" t="s">
        <v>4060</v>
      </c>
      <c r="D946" s="36">
        <v>6344.6</v>
      </c>
      <c r="E946" s="43" t="s">
        <v>3596</v>
      </c>
    </row>
    <row r="947" spans="1:5" x14ac:dyDescent="0.35">
      <c r="A947" s="40">
        <v>45490</v>
      </c>
      <c r="B947" s="38">
        <v>23.8</v>
      </c>
      <c r="C947" s="13" t="s">
        <v>4061</v>
      </c>
      <c r="D947" s="36">
        <v>6383.84</v>
      </c>
      <c r="E947" s="43" t="s">
        <v>3596</v>
      </c>
    </row>
    <row r="948" spans="1:5" x14ac:dyDescent="0.35">
      <c r="A948" s="40">
        <v>45489</v>
      </c>
      <c r="B948" s="38">
        <v>-11.65</v>
      </c>
      <c r="C948" s="13" t="s">
        <v>4062</v>
      </c>
      <c r="D948" s="36">
        <v>6360.04</v>
      </c>
      <c r="E948" s="43" t="s">
        <v>3596</v>
      </c>
    </row>
    <row r="949" spans="1:5" x14ac:dyDescent="0.35">
      <c r="A949" s="40">
        <v>45489</v>
      </c>
      <c r="B949" s="38">
        <v>-19.25</v>
      </c>
      <c r="C949" s="13" t="s">
        <v>3671</v>
      </c>
      <c r="D949" s="36">
        <v>6371.69</v>
      </c>
      <c r="E949" s="43" t="s">
        <v>3596</v>
      </c>
    </row>
    <row r="950" spans="1:5" x14ac:dyDescent="0.35">
      <c r="A950" s="40">
        <v>45489</v>
      </c>
      <c r="B950" s="38">
        <v>-47.15</v>
      </c>
      <c r="C950" s="13" t="s">
        <v>4063</v>
      </c>
      <c r="D950" s="36">
        <v>6390.94</v>
      </c>
      <c r="E950" s="43" t="s">
        <v>3596</v>
      </c>
    </row>
    <row r="951" spans="1:5" x14ac:dyDescent="0.35">
      <c r="A951" s="40">
        <v>45489</v>
      </c>
      <c r="B951" s="38">
        <v>-1.5</v>
      </c>
      <c r="C951" s="13" t="s">
        <v>4064</v>
      </c>
      <c r="D951" s="36">
        <v>6438.09</v>
      </c>
      <c r="E951" s="43" t="s">
        <v>3596</v>
      </c>
    </row>
    <row r="952" spans="1:5" x14ac:dyDescent="0.35">
      <c r="A952" s="40">
        <v>45489</v>
      </c>
      <c r="B952" s="38">
        <v>-40</v>
      </c>
      <c r="C952" s="13" t="s">
        <v>4065</v>
      </c>
      <c r="D952" s="36">
        <v>6439.59</v>
      </c>
      <c r="E952" s="43" t="s">
        <v>3596</v>
      </c>
    </row>
    <row r="953" spans="1:5" x14ac:dyDescent="0.35">
      <c r="A953" s="40">
        <v>45488</v>
      </c>
      <c r="B953" s="38">
        <v>-49.6</v>
      </c>
      <c r="C953" s="13" t="s">
        <v>3726</v>
      </c>
      <c r="D953" s="36">
        <v>6479.59</v>
      </c>
      <c r="E953" s="43" t="s">
        <v>3596</v>
      </c>
    </row>
    <row r="954" spans="1:5" x14ac:dyDescent="0.35">
      <c r="A954" s="40">
        <v>45488</v>
      </c>
      <c r="B954" s="38">
        <v>-18.190000000000001</v>
      </c>
      <c r="C954" s="13" t="s">
        <v>4066</v>
      </c>
      <c r="D954" s="36">
        <v>6529.19</v>
      </c>
      <c r="E954" s="43" t="s">
        <v>3596</v>
      </c>
    </row>
    <row r="955" spans="1:5" x14ac:dyDescent="0.35">
      <c r="A955" s="40">
        <v>45488</v>
      </c>
      <c r="B955" s="38">
        <v>-12.94</v>
      </c>
      <c r="C955" s="13" t="s">
        <v>3664</v>
      </c>
      <c r="D955" s="36">
        <v>6547.38</v>
      </c>
      <c r="E955" s="43" t="s">
        <v>3596</v>
      </c>
    </row>
    <row r="956" spans="1:5" x14ac:dyDescent="0.35">
      <c r="A956" s="40">
        <v>45487</v>
      </c>
      <c r="B956" s="38">
        <v>-8.15</v>
      </c>
      <c r="C956" s="13" t="s">
        <v>4067</v>
      </c>
      <c r="D956" s="36">
        <v>6560.32</v>
      </c>
      <c r="E956" s="43" t="s">
        <v>3596</v>
      </c>
    </row>
    <row r="957" spans="1:5" x14ac:dyDescent="0.35">
      <c r="A957" s="40">
        <v>45487</v>
      </c>
      <c r="B957" s="38">
        <v>-12.08</v>
      </c>
      <c r="C957" s="13" t="s">
        <v>4068</v>
      </c>
      <c r="D957" s="36">
        <v>6568.47</v>
      </c>
      <c r="E957" s="43" t="s">
        <v>3596</v>
      </c>
    </row>
    <row r="958" spans="1:5" x14ac:dyDescent="0.35">
      <c r="A958" s="40">
        <v>45487</v>
      </c>
      <c r="B958" s="38">
        <v>-25</v>
      </c>
      <c r="C958" s="13" t="s">
        <v>4069</v>
      </c>
      <c r="D958" s="36">
        <v>6580.55</v>
      </c>
      <c r="E958" s="43" t="s">
        <v>3596</v>
      </c>
    </row>
    <row r="959" spans="1:5" x14ac:dyDescent="0.35">
      <c r="A959" s="40">
        <v>45487</v>
      </c>
      <c r="B959" s="38">
        <v>-11</v>
      </c>
      <c r="C959" s="13" t="s">
        <v>4070</v>
      </c>
      <c r="D959" s="36">
        <v>6605.55</v>
      </c>
      <c r="E959" s="43" t="s">
        <v>3596</v>
      </c>
    </row>
    <row r="960" spans="1:5" x14ac:dyDescent="0.35">
      <c r="A960" s="40">
        <v>45487</v>
      </c>
      <c r="B960" s="38">
        <v>-30</v>
      </c>
      <c r="C960" s="13" t="s">
        <v>4071</v>
      </c>
      <c r="D960" s="36">
        <v>6616.55</v>
      </c>
      <c r="E960" s="43" t="s">
        <v>3596</v>
      </c>
    </row>
    <row r="961" spans="1:5" x14ac:dyDescent="0.35">
      <c r="A961" s="40">
        <v>45486</v>
      </c>
      <c r="B961" s="38">
        <v>-61.96</v>
      </c>
      <c r="C961" s="13" t="s">
        <v>2281</v>
      </c>
      <c r="D961" s="36">
        <v>6646.55</v>
      </c>
      <c r="E961" s="43" t="s">
        <v>3596</v>
      </c>
    </row>
    <row r="962" spans="1:5" x14ac:dyDescent="0.35">
      <c r="A962" s="40">
        <v>45486</v>
      </c>
      <c r="B962" s="38">
        <v>-40</v>
      </c>
      <c r="C962" s="13" t="s">
        <v>3727</v>
      </c>
      <c r="D962" s="36">
        <v>6708.51</v>
      </c>
      <c r="E962" s="43" t="s">
        <v>3596</v>
      </c>
    </row>
    <row r="963" spans="1:5" x14ac:dyDescent="0.35">
      <c r="A963" s="40">
        <v>45486</v>
      </c>
      <c r="B963" s="38">
        <v>-1.1399999999999999</v>
      </c>
      <c r="C963" s="13" t="s">
        <v>4072</v>
      </c>
      <c r="D963" s="36">
        <v>6748.51</v>
      </c>
      <c r="E963" s="43" t="s">
        <v>3596</v>
      </c>
    </row>
    <row r="964" spans="1:5" x14ac:dyDescent="0.35">
      <c r="A964" s="40">
        <v>45486</v>
      </c>
      <c r="B964" s="38">
        <v>-32.69</v>
      </c>
      <c r="C964" s="13" t="s">
        <v>4073</v>
      </c>
      <c r="D964" s="36">
        <v>6749.65</v>
      </c>
      <c r="E964" s="43" t="s">
        <v>3596</v>
      </c>
    </row>
    <row r="965" spans="1:5" x14ac:dyDescent="0.35">
      <c r="A965" s="40">
        <v>45485</v>
      </c>
      <c r="B965" s="38">
        <v>-19.45</v>
      </c>
      <c r="C965" s="13" t="s">
        <v>3743</v>
      </c>
      <c r="D965" s="36">
        <v>6782.34</v>
      </c>
      <c r="E965" s="43" t="s">
        <v>3596</v>
      </c>
    </row>
    <row r="966" spans="1:5" x14ac:dyDescent="0.35">
      <c r="A966" s="40">
        <v>45485</v>
      </c>
      <c r="B966" s="38">
        <v>-26.86</v>
      </c>
      <c r="C966" s="13" t="s">
        <v>3671</v>
      </c>
      <c r="D966" s="36">
        <v>6801.79</v>
      </c>
      <c r="E966" s="43" t="s">
        <v>3596</v>
      </c>
    </row>
    <row r="967" spans="1:5" x14ac:dyDescent="0.35">
      <c r="A967" s="40">
        <v>45483</v>
      </c>
      <c r="B967" s="38">
        <v>-84</v>
      </c>
      <c r="C967" s="13" t="s">
        <v>4074</v>
      </c>
      <c r="D967" s="36">
        <v>6828.65</v>
      </c>
      <c r="E967" s="43" t="s">
        <v>3596</v>
      </c>
    </row>
    <row r="968" spans="1:5" x14ac:dyDescent="0.35">
      <c r="A968" s="40">
        <v>45483</v>
      </c>
      <c r="B968" s="38">
        <v>-23.8</v>
      </c>
      <c r="C968" s="13" t="s">
        <v>4075</v>
      </c>
      <c r="D968" s="36">
        <v>6912.65</v>
      </c>
      <c r="E968" s="43" t="s">
        <v>3596</v>
      </c>
    </row>
    <row r="969" spans="1:5" x14ac:dyDescent="0.35">
      <c r="A969" s="40">
        <v>45483</v>
      </c>
      <c r="B969" s="38">
        <v>-44.3</v>
      </c>
      <c r="C969" s="13" t="s">
        <v>4076</v>
      </c>
      <c r="D969" s="36">
        <v>6936.45</v>
      </c>
      <c r="E969" s="43" t="s">
        <v>3596</v>
      </c>
    </row>
    <row r="970" spans="1:5" x14ac:dyDescent="0.35">
      <c r="A970" s="40">
        <v>45482</v>
      </c>
      <c r="B970" s="38">
        <v>-15</v>
      </c>
      <c r="C970" s="13" t="s">
        <v>3111</v>
      </c>
      <c r="D970" s="36">
        <v>6980.75</v>
      </c>
      <c r="E970" s="43" t="s">
        <v>3596</v>
      </c>
    </row>
    <row r="971" spans="1:5" x14ac:dyDescent="0.35">
      <c r="A971" s="40">
        <v>45480</v>
      </c>
      <c r="B971" s="38">
        <v>-15</v>
      </c>
      <c r="C971" s="13" t="s">
        <v>4077</v>
      </c>
      <c r="D971" s="36">
        <v>6995.75</v>
      </c>
      <c r="E971" s="43" t="s">
        <v>3596</v>
      </c>
    </row>
    <row r="972" spans="1:5" x14ac:dyDescent="0.35">
      <c r="A972" s="40">
        <v>45478</v>
      </c>
      <c r="B972" s="38">
        <v>-97.65</v>
      </c>
      <c r="C972" s="13" t="s">
        <v>3801</v>
      </c>
      <c r="D972" s="36">
        <v>7010.75</v>
      </c>
      <c r="E972" s="43" t="s">
        <v>3596</v>
      </c>
    </row>
    <row r="973" spans="1:5" x14ac:dyDescent="0.35">
      <c r="A973" s="40">
        <v>45477</v>
      </c>
      <c r="B973" s="38">
        <v>-1408.62</v>
      </c>
      <c r="C973" s="13" t="s">
        <v>3668</v>
      </c>
      <c r="D973" s="36">
        <v>7120.2</v>
      </c>
      <c r="E973" s="43" t="s">
        <v>3596</v>
      </c>
    </row>
    <row r="974" spans="1:5" x14ac:dyDescent="0.35">
      <c r="A974" s="40">
        <v>45477</v>
      </c>
      <c r="B974" s="38">
        <v>2671.99</v>
      </c>
      <c r="C974" s="13" t="s">
        <v>4078</v>
      </c>
      <c r="D974" s="36">
        <v>8528.82</v>
      </c>
      <c r="E974" s="43" t="s">
        <v>3596</v>
      </c>
    </row>
    <row r="975" spans="1:5" x14ac:dyDescent="0.35">
      <c r="A975" s="40">
        <v>45477</v>
      </c>
      <c r="B975" s="38">
        <v>-11.8</v>
      </c>
      <c r="C975" s="13" t="s">
        <v>3670</v>
      </c>
      <c r="D975" s="36">
        <v>7108.4</v>
      </c>
      <c r="E975" s="43" t="s">
        <v>3596</v>
      </c>
    </row>
    <row r="976" spans="1:5" x14ac:dyDescent="0.35">
      <c r="A976" s="40">
        <v>45475</v>
      </c>
      <c r="B976" s="38">
        <v>-16</v>
      </c>
      <c r="C976" s="13" t="s">
        <v>3334</v>
      </c>
      <c r="D976" s="36">
        <v>5856.83</v>
      </c>
      <c r="E976" s="43" t="s">
        <v>3596</v>
      </c>
    </row>
    <row r="977" spans="1:5" x14ac:dyDescent="0.35">
      <c r="A977" s="40">
        <v>45475</v>
      </c>
      <c r="B977" s="38">
        <v>-27.45</v>
      </c>
      <c r="C977" s="13" t="s">
        <v>4079</v>
      </c>
      <c r="D977" s="36">
        <v>5872.83</v>
      </c>
      <c r="E977" s="43" t="s">
        <v>3596</v>
      </c>
    </row>
    <row r="978" spans="1:5" x14ac:dyDescent="0.35">
      <c r="A978" s="40">
        <v>45475</v>
      </c>
      <c r="B978" s="38">
        <v>-12.99</v>
      </c>
      <c r="C978" s="13" t="s">
        <v>4080</v>
      </c>
      <c r="D978" s="36">
        <v>5900.28</v>
      </c>
      <c r="E978" s="43" t="s">
        <v>3596</v>
      </c>
    </row>
    <row r="979" spans="1:5" x14ac:dyDescent="0.35">
      <c r="A979" s="40">
        <v>45475</v>
      </c>
      <c r="B979" s="38">
        <v>-38.14</v>
      </c>
      <c r="C979" s="13" t="s">
        <v>4081</v>
      </c>
      <c r="D979" s="36">
        <v>5913.27</v>
      </c>
      <c r="E979" s="43" t="s">
        <v>3596</v>
      </c>
    </row>
    <row r="980" spans="1:5" x14ac:dyDescent="0.35">
      <c r="A980" s="40">
        <v>45474</v>
      </c>
      <c r="B980" s="38">
        <v>-5.4</v>
      </c>
      <c r="C980" s="13" t="s">
        <v>4082</v>
      </c>
      <c r="D980" s="36">
        <v>5951.41</v>
      </c>
      <c r="E980" s="43" t="s">
        <v>3596</v>
      </c>
    </row>
    <row r="981" spans="1:5" x14ac:dyDescent="0.35">
      <c r="A981" s="40">
        <v>45474</v>
      </c>
      <c r="B981" s="38">
        <v>-447.26</v>
      </c>
      <c r="C981" s="13" t="s">
        <v>4083</v>
      </c>
      <c r="D981" s="36">
        <v>5956.81</v>
      </c>
      <c r="E981" s="43" t="s">
        <v>3596</v>
      </c>
    </row>
    <row r="982" spans="1:5" x14ac:dyDescent="0.35">
      <c r="A982" s="40">
        <v>45473</v>
      </c>
      <c r="B982" s="38">
        <v>-13.5</v>
      </c>
      <c r="C982" s="13" t="s">
        <v>3677</v>
      </c>
      <c r="D982" s="36">
        <v>6404.07</v>
      </c>
      <c r="E982" s="43" t="s">
        <v>3596</v>
      </c>
    </row>
    <row r="983" spans="1:5" x14ac:dyDescent="0.35">
      <c r="A983" s="40">
        <v>45472</v>
      </c>
      <c r="B983" s="38">
        <v>-13.72</v>
      </c>
      <c r="C983" s="13" t="s">
        <v>3678</v>
      </c>
      <c r="D983" s="36">
        <v>6417.57</v>
      </c>
      <c r="E983" s="43" t="s">
        <v>3596</v>
      </c>
    </row>
    <row r="984" spans="1:5" x14ac:dyDescent="0.35">
      <c r="A984" s="40">
        <v>45471</v>
      </c>
      <c r="B984" s="38">
        <v>-50.25</v>
      </c>
      <c r="C984" s="13" t="s">
        <v>4084</v>
      </c>
      <c r="D984" s="36">
        <v>6431.29</v>
      </c>
      <c r="E984" s="43" t="s">
        <v>3596</v>
      </c>
    </row>
    <row r="985" spans="1:5" x14ac:dyDescent="0.35">
      <c r="A985" s="40">
        <v>45469</v>
      </c>
      <c r="B985" s="38">
        <v>-71.86</v>
      </c>
      <c r="C985" s="13" t="s">
        <v>4085</v>
      </c>
      <c r="D985" s="36">
        <v>6481.54</v>
      </c>
      <c r="E985" s="43" t="s">
        <v>3596</v>
      </c>
    </row>
    <row r="986" spans="1:5" x14ac:dyDescent="0.35">
      <c r="A986" s="40">
        <v>45469</v>
      </c>
      <c r="B986" s="38">
        <v>-40</v>
      </c>
      <c r="C986" s="13" t="s">
        <v>4086</v>
      </c>
      <c r="D986" s="36">
        <v>6553.4</v>
      </c>
      <c r="E986" s="43" t="s">
        <v>3596</v>
      </c>
    </row>
    <row r="987" spans="1:5" x14ac:dyDescent="0.35">
      <c r="A987" s="40">
        <v>45468</v>
      </c>
      <c r="B987" s="38">
        <v>-3</v>
      </c>
      <c r="C987" s="13" t="s">
        <v>4087</v>
      </c>
      <c r="D987" s="36">
        <v>6593.4</v>
      </c>
      <c r="E987" s="43" t="s">
        <v>3596</v>
      </c>
    </row>
    <row r="988" spans="1:5" x14ac:dyDescent="0.35">
      <c r="A988" s="40">
        <v>45468</v>
      </c>
      <c r="B988" s="38">
        <v>-16</v>
      </c>
      <c r="C988" s="13" t="s">
        <v>3334</v>
      </c>
      <c r="D988" s="36">
        <v>6596.4</v>
      </c>
      <c r="E988" s="43" t="s">
        <v>3596</v>
      </c>
    </row>
    <row r="989" spans="1:5" x14ac:dyDescent="0.35">
      <c r="A989" s="40">
        <v>45468</v>
      </c>
      <c r="B989" s="38">
        <v>-29.5</v>
      </c>
      <c r="C989" s="13" t="s">
        <v>4088</v>
      </c>
      <c r="D989" s="36">
        <v>6612.4</v>
      </c>
      <c r="E989" s="43" t="s">
        <v>3596</v>
      </c>
    </row>
    <row r="990" spans="1:5" x14ac:dyDescent="0.35">
      <c r="A990" s="40">
        <v>45464</v>
      </c>
      <c r="B990" s="38">
        <v>-138.87</v>
      </c>
      <c r="C990" s="13" t="s">
        <v>4089</v>
      </c>
      <c r="D990" s="36">
        <v>6641.9</v>
      </c>
      <c r="E990" s="43" t="s">
        <v>3596</v>
      </c>
    </row>
    <row r="991" spans="1:5" x14ac:dyDescent="0.35">
      <c r="A991" s="40">
        <v>45463</v>
      </c>
      <c r="B991" s="38">
        <v>-11.35</v>
      </c>
      <c r="C991" s="13" t="s">
        <v>3670</v>
      </c>
      <c r="D991" s="36">
        <v>6780.77</v>
      </c>
      <c r="E991" s="43" t="s">
        <v>3596</v>
      </c>
    </row>
    <row r="992" spans="1:5" x14ac:dyDescent="0.35">
      <c r="A992" s="40">
        <v>45463</v>
      </c>
      <c r="B992" s="38">
        <v>-14.23</v>
      </c>
      <c r="C992" s="13" t="s">
        <v>4090</v>
      </c>
      <c r="D992" s="36">
        <v>6792.12</v>
      </c>
      <c r="E992" s="43" t="s">
        <v>3596</v>
      </c>
    </row>
    <row r="993" spans="1:5" x14ac:dyDescent="0.35">
      <c r="A993" s="40">
        <v>45463</v>
      </c>
      <c r="B993" s="38">
        <v>-85.37</v>
      </c>
      <c r="C993" s="13" t="s">
        <v>3739</v>
      </c>
      <c r="D993" s="36">
        <v>6806.35</v>
      </c>
      <c r="E993" s="43" t="s">
        <v>3596</v>
      </c>
    </row>
    <row r="994" spans="1:5" x14ac:dyDescent="0.35">
      <c r="A994" s="40">
        <v>45463</v>
      </c>
      <c r="B994" s="38">
        <v>-1408.62</v>
      </c>
      <c r="C994" s="13" t="s">
        <v>3668</v>
      </c>
      <c r="D994" s="36">
        <v>6891.72</v>
      </c>
      <c r="E994" s="43" t="s">
        <v>3596</v>
      </c>
    </row>
    <row r="995" spans="1:5" x14ac:dyDescent="0.35">
      <c r="A995" s="40">
        <v>45463</v>
      </c>
      <c r="B995" s="38">
        <v>2599.9899999999998</v>
      </c>
      <c r="C995" s="13" t="s">
        <v>4091</v>
      </c>
      <c r="D995" s="36">
        <v>8300.34</v>
      </c>
      <c r="E995" s="43" t="s">
        <v>3596</v>
      </c>
    </row>
    <row r="996" spans="1:5" x14ac:dyDescent="0.35">
      <c r="A996" s="40">
        <v>45461</v>
      </c>
      <c r="B996" s="38">
        <v>-30.65</v>
      </c>
      <c r="C996" s="13" t="s">
        <v>3739</v>
      </c>
      <c r="D996" s="36">
        <v>5700.35</v>
      </c>
      <c r="E996" s="43" t="s">
        <v>3596</v>
      </c>
    </row>
    <row r="997" spans="1:5" x14ac:dyDescent="0.35">
      <c r="A997" s="40">
        <v>45461</v>
      </c>
      <c r="B997" s="38">
        <v>-15</v>
      </c>
      <c r="C997" s="13" t="s">
        <v>3111</v>
      </c>
      <c r="D997" s="36">
        <v>5731</v>
      </c>
      <c r="E997" s="43" t="s">
        <v>3596</v>
      </c>
    </row>
    <row r="998" spans="1:5" x14ac:dyDescent="0.35">
      <c r="A998" s="40">
        <v>45461</v>
      </c>
      <c r="B998" s="38">
        <v>-109.62</v>
      </c>
      <c r="C998" s="13" t="s">
        <v>4092</v>
      </c>
      <c r="D998" s="36">
        <v>5746</v>
      </c>
      <c r="E998" s="43" t="s">
        <v>3596</v>
      </c>
    </row>
    <row r="999" spans="1:5" x14ac:dyDescent="0.35">
      <c r="A999" s="40">
        <v>45461</v>
      </c>
      <c r="B999" s="38">
        <v>-34.549999999999997</v>
      </c>
      <c r="C999" s="13" t="s">
        <v>4093</v>
      </c>
      <c r="D999" s="36">
        <v>5855.62</v>
      </c>
      <c r="E999" s="43" t="s">
        <v>3596</v>
      </c>
    </row>
    <row r="1000" spans="1:5" x14ac:dyDescent="0.35">
      <c r="A1000" s="40">
        <v>45458</v>
      </c>
      <c r="B1000" s="38">
        <v>-71</v>
      </c>
      <c r="C1000" s="13" t="s">
        <v>4094</v>
      </c>
      <c r="D1000" s="36">
        <v>5890.17</v>
      </c>
      <c r="E1000" s="43" t="s">
        <v>3596</v>
      </c>
    </row>
    <row r="1001" spans="1:5" x14ac:dyDescent="0.35">
      <c r="A1001" s="40">
        <v>45458</v>
      </c>
      <c r="B1001" s="38">
        <v>-30</v>
      </c>
      <c r="C1001" s="13" t="s">
        <v>4095</v>
      </c>
      <c r="D1001" s="36">
        <v>5961.17</v>
      </c>
      <c r="E1001" s="43" t="s">
        <v>3596</v>
      </c>
    </row>
    <row r="1002" spans="1:5" x14ac:dyDescent="0.35">
      <c r="A1002" s="40">
        <v>45457</v>
      </c>
      <c r="B1002" s="38">
        <v>-37.74</v>
      </c>
      <c r="C1002" s="13" t="s">
        <v>4096</v>
      </c>
      <c r="D1002" s="36">
        <v>5991.17</v>
      </c>
      <c r="E1002" s="43" t="s">
        <v>3596</v>
      </c>
    </row>
    <row r="1003" spans="1:5" x14ac:dyDescent="0.35">
      <c r="A1003" s="40">
        <v>45456</v>
      </c>
      <c r="B1003" s="38">
        <v>-1.17</v>
      </c>
      <c r="C1003" s="13" t="s">
        <v>4097</v>
      </c>
      <c r="D1003" s="36">
        <v>6028.91</v>
      </c>
      <c r="E1003" s="43" t="s">
        <v>3596</v>
      </c>
    </row>
    <row r="1004" spans="1:5" x14ac:dyDescent="0.35">
      <c r="A1004" s="40">
        <v>45456</v>
      </c>
      <c r="B1004" s="38">
        <v>-33.47</v>
      </c>
      <c r="C1004" s="13" t="s">
        <v>4098</v>
      </c>
      <c r="D1004" s="36">
        <v>6030.08</v>
      </c>
      <c r="E1004" s="43" t="s">
        <v>3596</v>
      </c>
    </row>
    <row r="1005" spans="1:5" x14ac:dyDescent="0.35">
      <c r="A1005" s="40">
        <v>45454</v>
      </c>
      <c r="B1005" s="38">
        <v>-26.06</v>
      </c>
      <c r="C1005" s="13" t="s">
        <v>1481</v>
      </c>
      <c r="D1005" s="36">
        <v>6063.55</v>
      </c>
      <c r="E1005" s="43" t="s">
        <v>3596</v>
      </c>
    </row>
    <row r="1006" spans="1:5" x14ac:dyDescent="0.35">
      <c r="A1006" s="40">
        <v>45454</v>
      </c>
      <c r="B1006" s="38">
        <v>-83.54</v>
      </c>
      <c r="C1006" s="13" t="s">
        <v>4099</v>
      </c>
      <c r="D1006" s="36">
        <v>6089.61</v>
      </c>
      <c r="E1006" s="43" t="s">
        <v>3596</v>
      </c>
    </row>
    <row r="1007" spans="1:5" x14ac:dyDescent="0.35">
      <c r="A1007" s="40">
        <v>45454</v>
      </c>
      <c r="B1007" s="38">
        <v>-29.47</v>
      </c>
      <c r="C1007" s="13" t="s">
        <v>4100</v>
      </c>
      <c r="D1007" s="36">
        <v>6173.15</v>
      </c>
      <c r="E1007" s="43" t="s">
        <v>3596</v>
      </c>
    </row>
    <row r="1008" spans="1:5" x14ac:dyDescent="0.35">
      <c r="A1008" s="40">
        <v>45453</v>
      </c>
      <c r="B1008" s="38">
        <v>-27.87</v>
      </c>
      <c r="C1008" s="13" t="s">
        <v>3671</v>
      </c>
      <c r="D1008" s="36">
        <v>6202.62</v>
      </c>
      <c r="E1008" s="43" t="s">
        <v>3596</v>
      </c>
    </row>
    <row r="1009" spans="1:5" x14ac:dyDescent="0.35">
      <c r="A1009" s="40">
        <v>45450</v>
      </c>
      <c r="B1009" s="38">
        <v>-39</v>
      </c>
      <c r="C1009" s="13" t="s">
        <v>4101</v>
      </c>
      <c r="D1009" s="36">
        <v>6230.49</v>
      </c>
      <c r="E1009" s="43" t="s">
        <v>3596</v>
      </c>
    </row>
    <row r="1010" spans="1:5" x14ac:dyDescent="0.35">
      <c r="A1010" s="40">
        <v>45449</v>
      </c>
      <c r="B1010" s="38">
        <v>-11.35</v>
      </c>
      <c r="C1010" s="13" t="s">
        <v>3670</v>
      </c>
      <c r="D1010" s="36">
        <v>6269.49</v>
      </c>
      <c r="E1010" s="43" t="s">
        <v>3596</v>
      </c>
    </row>
    <row r="1011" spans="1:5" x14ac:dyDescent="0.35">
      <c r="A1011" s="40">
        <v>45449</v>
      </c>
      <c r="B1011" s="38">
        <v>-1408.62</v>
      </c>
      <c r="C1011" s="13" t="s">
        <v>3668</v>
      </c>
      <c r="D1011" s="36">
        <v>6280.84</v>
      </c>
      <c r="E1011" s="43" t="s">
        <v>3596</v>
      </c>
    </row>
    <row r="1012" spans="1:5" x14ac:dyDescent="0.35">
      <c r="A1012" s="40">
        <v>45449</v>
      </c>
      <c r="B1012" s="38">
        <v>-84</v>
      </c>
      <c r="C1012" s="13" t="s">
        <v>4102</v>
      </c>
      <c r="D1012" s="36">
        <v>7689.46</v>
      </c>
      <c r="E1012" s="43" t="s">
        <v>3596</v>
      </c>
    </row>
    <row r="1013" spans="1:5" x14ac:dyDescent="0.35">
      <c r="A1013" s="40">
        <v>45449</v>
      </c>
      <c r="B1013" s="38">
        <v>-40</v>
      </c>
      <c r="C1013" s="13" t="s">
        <v>4103</v>
      </c>
      <c r="D1013" s="36">
        <v>7773.46</v>
      </c>
      <c r="E1013" s="43" t="s">
        <v>3596</v>
      </c>
    </row>
    <row r="1014" spans="1:5" x14ac:dyDescent="0.35">
      <c r="A1014" s="40">
        <v>45449</v>
      </c>
      <c r="B1014" s="38">
        <v>2599.9899999999998</v>
      </c>
      <c r="C1014" s="13" t="s">
        <v>4104</v>
      </c>
      <c r="D1014" s="36">
        <v>7813.46</v>
      </c>
      <c r="E1014" s="43" t="s">
        <v>3596</v>
      </c>
    </row>
    <row r="1015" spans="1:5" x14ac:dyDescent="0.35">
      <c r="A1015" s="40">
        <v>45448</v>
      </c>
      <c r="B1015" s="38">
        <v>70</v>
      </c>
      <c r="C1015" s="13" t="s">
        <v>4105</v>
      </c>
      <c r="D1015" s="36">
        <v>5213.47</v>
      </c>
      <c r="E1015" s="43" t="s">
        <v>3596</v>
      </c>
    </row>
    <row r="1016" spans="1:5" x14ac:dyDescent="0.35">
      <c r="A1016" s="40">
        <v>45448</v>
      </c>
      <c r="B1016" s="38">
        <v>-67.81</v>
      </c>
      <c r="C1016" s="13" t="s">
        <v>4106</v>
      </c>
      <c r="D1016" s="36">
        <v>5143.47</v>
      </c>
      <c r="E1016" s="43" t="s">
        <v>3596</v>
      </c>
    </row>
    <row r="1017" spans="1:5" x14ac:dyDescent="0.35">
      <c r="A1017" s="40">
        <v>45447</v>
      </c>
      <c r="B1017" s="38">
        <v>-33.93</v>
      </c>
      <c r="C1017" s="13" t="s">
        <v>4107</v>
      </c>
      <c r="D1017" s="36">
        <v>5211.28</v>
      </c>
      <c r="E1017" s="43" t="s">
        <v>3596</v>
      </c>
    </row>
    <row r="1018" spans="1:5" x14ac:dyDescent="0.35">
      <c r="A1018" s="40">
        <v>45446</v>
      </c>
      <c r="B1018" s="38">
        <v>-5.4</v>
      </c>
      <c r="C1018" s="13" t="s">
        <v>4108</v>
      </c>
      <c r="D1018" s="36">
        <v>5245.21</v>
      </c>
      <c r="E1018" s="43" t="s">
        <v>3596</v>
      </c>
    </row>
    <row r="1019" spans="1:5" x14ac:dyDescent="0.35">
      <c r="A1019" s="40">
        <v>45445</v>
      </c>
      <c r="B1019" s="38">
        <v>-14.9</v>
      </c>
      <c r="C1019" s="13" t="s">
        <v>4109</v>
      </c>
      <c r="D1019" s="36">
        <v>5250.61</v>
      </c>
      <c r="E1019" s="43" t="s">
        <v>3596</v>
      </c>
    </row>
    <row r="1020" spans="1:5" x14ac:dyDescent="0.35">
      <c r="A1020" s="40">
        <v>45444</v>
      </c>
      <c r="B1020" s="38">
        <v>-16.73</v>
      </c>
      <c r="C1020" s="13" t="s">
        <v>4110</v>
      </c>
      <c r="D1020" s="36">
        <v>5265.51</v>
      </c>
      <c r="E1020" s="43" t="s">
        <v>3596</v>
      </c>
    </row>
    <row r="1021" spans="1:5" x14ac:dyDescent="0.35">
      <c r="A1021" s="40">
        <v>45442</v>
      </c>
      <c r="B1021" s="38">
        <v>-4.2</v>
      </c>
      <c r="C1021" s="13" t="s">
        <v>4111</v>
      </c>
      <c r="D1021" s="36">
        <v>5282.24</v>
      </c>
      <c r="E1021" s="43" t="s">
        <v>3596</v>
      </c>
    </row>
    <row r="1022" spans="1:5" x14ac:dyDescent="0.35">
      <c r="A1022" s="40">
        <v>45441</v>
      </c>
      <c r="B1022" s="38">
        <v>-15.22</v>
      </c>
      <c r="C1022" s="13" t="s">
        <v>3672</v>
      </c>
      <c r="D1022" s="36">
        <v>5286.44</v>
      </c>
      <c r="E1022" s="43" t="s">
        <v>3596</v>
      </c>
    </row>
    <row r="1023" spans="1:5" x14ac:dyDescent="0.35">
      <c r="A1023" s="40">
        <v>45439</v>
      </c>
      <c r="B1023" s="38">
        <v>-14.5</v>
      </c>
      <c r="C1023" s="13" t="s">
        <v>3673</v>
      </c>
      <c r="D1023" s="36">
        <v>5301.66</v>
      </c>
      <c r="E1023" s="43" t="s">
        <v>3596</v>
      </c>
    </row>
    <row r="1024" spans="1:5" x14ac:dyDescent="0.35">
      <c r="A1024" s="40">
        <v>45438</v>
      </c>
      <c r="B1024" s="38">
        <v>-45.16</v>
      </c>
      <c r="C1024" s="13" t="s">
        <v>3843</v>
      </c>
      <c r="D1024" s="36">
        <v>5316.16</v>
      </c>
      <c r="E1024" s="43" t="s">
        <v>3596</v>
      </c>
    </row>
    <row r="1025" spans="1:5" x14ac:dyDescent="0.35">
      <c r="A1025" s="40">
        <v>45437</v>
      </c>
      <c r="B1025" s="38">
        <v>-31.87</v>
      </c>
      <c r="C1025" s="13" t="s">
        <v>3320</v>
      </c>
      <c r="D1025" s="36">
        <v>5361.32</v>
      </c>
      <c r="E1025" s="43" t="s">
        <v>3596</v>
      </c>
    </row>
    <row r="1026" spans="1:5" x14ac:dyDescent="0.35">
      <c r="A1026" s="40">
        <v>45437</v>
      </c>
      <c r="B1026" s="38">
        <v>-22.84</v>
      </c>
      <c r="C1026" s="13" t="s">
        <v>3320</v>
      </c>
      <c r="D1026" s="36">
        <v>5393.19</v>
      </c>
      <c r="E1026" s="43" t="s">
        <v>3596</v>
      </c>
    </row>
    <row r="1027" spans="1:5" x14ac:dyDescent="0.35">
      <c r="A1027" s="40">
        <v>45437</v>
      </c>
      <c r="B1027" s="38">
        <v>-10.66</v>
      </c>
      <c r="C1027" s="13" t="s">
        <v>3320</v>
      </c>
      <c r="D1027" s="36">
        <v>5416.03</v>
      </c>
      <c r="E1027" s="43" t="s">
        <v>3596</v>
      </c>
    </row>
    <row r="1028" spans="1:5" x14ac:dyDescent="0.35">
      <c r="A1028" s="40">
        <v>45437</v>
      </c>
      <c r="B1028" s="38">
        <v>-10.66</v>
      </c>
      <c r="C1028" s="13" t="s">
        <v>3320</v>
      </c>
      <c r="D1028" s="36">
        <v>5426.69</v>
      </c>
      <c r="E1028" s="43" t="s">
        <v>3596</v>
      </c>
    </row>
    <row r="1029" spans="1:5" x14ac:dyDescent="0.35">
      <c r="A1029" s="40">
        <v>45437</v>
      </c>
      <c r="B1029" s="38">
        <v>-25.38</v>
      </c>
      <c r="C1029" s="13" t="s">
        <v>3320</v>
      </c>
      <c r="D1029" s="36">
        <v>5437.35</v>
      </c>
      <c r="E1029" s="43" t="s">
        <v>3596</v>
      </c>
    </row>
    <row r="1030" spans="1:5" x14ac:dyDescent="0.35">
      <c r="A1030" s="40">
        <v>45437</v>
      </c>
      <c r="B1030" s="38">
        <v>-10.66</v>
      </c>
      <c r="C1030" s="13" t="s">
        <v>3320</v>
      </c>
      <c r="D1030" s="36">
        <v>5462.73</v>
      </c>
      <c r="E1030" s="43" t="s">
        <v>3596</v>
      </c>
    </row>
    <row r="1031" spans="1:5" x14ac:dyDescent="0.35">
      <c r="A1031" s="40">
        <v>45436</v>
      </c>
      <c r="B1031" s="38">
        <v>-20</v>
      </c>
      <c r="C1031" s="13" t="s">
        <v>3863</v>
      </c>
      <c r="D1031" s="36">
        <v>5473.39</v>
      </c>
      <c r="E1031" s="43" t="s">
        <v>3596</v>
      </c>
    </row>
    <row r="1032" spans="1:5" x14ac:dyDescent="0.35">
      <c r="A1032" s="40">
        <v>45436</v>
      </c>
      <c r="B1032" s="38">
        <v>-18.989999999999998</v>
      </c>
      <c r="C1032" s="13" t="s">
        <v>4112</v>
      </c>
      <c r="D1032" s="36">
        <v>5493.39</v>
      </c>
      <c r="E1032" s="43" t="s">
        <v>3596</v>
      </c>
    </row>
    <row r="1033" spans="1:5" x14ac:dyDescent="0.35">
      <c r="A1033" s="40">
        <v>45436</v>
      </c>
      <c r="B1033" s="38">
        <v>-29.5</v>
      </c>
      <c r="C1033" s="13" t="s">
        <v>4113</v>
      </c>
      <c r="D1033" s="36">
        <v>5512.38</v>
      </c>
      <c r="E1033" s="43" t="s">
        <v>3596</v>
      </c>
    </row>
    <row r="1034" spans="1:5" x14ac:dyDescent="0.35">
      <c r="A1034" s="40">
        <v>45435</v>
      </c>
      <c r="B1034" s="38">
        <v>-11.35</v>
      </c>
      <c r="C1034" s="13" t="s">
        <v>3406</v>
      </c>
      <c r="D1034" s="36">
        <v>5541.88</v>
      </c>
      <c r="E1034" s="43" t="s">
        <v>3596</v>
      </c>
    </row>
    <row r="1035" spans="1:5" x14ac:dyDescent="0.35">
      <c r="A1035" s="40">
        <v>45435</v>
      </c>
      <c r="B1035" s="38">
        <v>-1408.62</v>
      </c>
      <c r="C1035" s="13" t="s">
        <v>3668</v>
      </c>
      <c r="D1035" s="36">
        <v>5553.23</v>
      </c>
      <c r="E1035" s="43" t="s">
        <v>3596</v>
      </c>
    </row>
    <row r="1036" spans="1:5" x14ac:dyDescent="0.35">
      <c r="A1036" s="40">
        <v>45435</v>
      </c>
      <c r="B1036" s="38">
        <v>-37.11</v>
      </c>
      <c r="C1036" s="13" t="s">
        <v>4114</v>
      </c>
      <c r="D1036" s="36">
        <v>6961.85</v>
      </c>
      <c r="E1036" s="43" t="s">
        <v>3596</v>
      </c>
    </row>
    <row r="1037" spans="1:5" x14ac:dyDescent="0.35">
      <c r="A1037" s="40">
        <v>45435</v>
      </c>
      <c r="B1037" s="38">
        <v>-40</v>
      </c>
      <c r="C1037" s="13" t="s">
        <v>4115</v>
      </c>
      <c r="D1037" s="36">
        <v>6998.96</v>
      </c>
      <c r="E1037" s="43" t="s">
        <v>3596</v>
      </c>
    </row>
    <row r="1038" spans="1:5" x14ac:dyDescent="0.35">
      <c r="A1038" s="40">
        <v>45435</v>
      </c>
      <c r="B1038" s="38">
        <v>2599.9899999999998</v>
      </c>
      <c r="C1038" s="13" t="s">
        <v>4116</v>
      </c>
      <c r="D1038" s="36">
        <v>7038.96</v>
      </c>
      <c r="E1038" s="43" t="s">
        <v>3596</v>
      </c>
    </row>
    <row r="1039" spans="1:5" x14ac:dyDescent="0.35">
      <c r="A1039" s="40">
        <v>45434</v>
      </c>
      <c r="B1039" s="38">
        <v>-12.5</v>
      </c>
      <c r="C1039" s="13" t="s">
        <v>3111</v>
      </c>
      <c r="D1039" s="36">
        <v>4438.97</v>
      </c>
      <c r="E1039" s="43" t="s">
        <v>3596</v>
      </c>
    </row>
    <row r="1040" spans="1:5" x14ac:dyDescent="0.35">
      <c r="A1040" s="40">
        <v>45433</v>
      </c>
      <c r="B1040" s="38">
        <v>-23.38</v>
      </c>
      <c r="C1040" s="13" t="s">
        <v>4090</v>
      </c>
      <c r="D1040" s="36">
        <v>4451.47</v>
      </c>
      <c r="E1040" s="43" t="s">
        <v>3596</v>
      </c>
    </row>
    <row r="1041" spans="1:5" x14ac:dyDescent="0.35">
      <c r="A1041" s="40">
        <v>45433</v>
      </c>
      <c r="B1041" s="38">
        <v>-15</v>
      </c>
      <c r="C1041" s="13" t="s">
        <v>3111</v>
      </c>
      <c r="D1041" s="36">
        <v>4474.8500000000004</v>
      </c>
      <c r="E1041" s="43" t="s">
        <v>3596</v>
      </c>
    </row>
    <row r="1042" spans="1:5" x14ac:dyDescent="0.35">
      <c r="A1042" s="40">
        <v>45433</v>
      </c>
      <c r="B1042" s="38">
        <v>-57.03</v>
      </c>
      <c r="C1042" s="13" t="s">
        <v>4117</v>
      </c>
      <c r="D1042" s="36">
        <v>4489.8500000000004</v>
      </c>
      <c r="E1042" s="43" t="s">
        <v>3596</v>
      </c>
    </row>
    <row r="1043" spans="1:5" x14ac:dyDescent="0.35">
      <c r="A1043" s="40">
        <v>45433</v>
      </c>
      <c r="B1043" s="38">
        <v>-69.95</v>
      </c>
      <c r="C1043" s="13" t="s">
        <v>4118</v>
      </c>
      <c r="D1043" s="36">
        <v>4546.88</v>
      </c>
      <c r="E1043" s="43" t="s">
        <v>3596</v>
      </c>
    </row>
    <row r="1044" spans="1:5" x14ac:dyDescent="0.35">
      <c r="A1044" s="40">
        <v>45430</v>
      </c>
      <c r="B1044" s="38">
        <v>-198</v>
      </c>
      <c r="C1044" s="13" t="s">
        <v>4119</v>
      </c>
      <c r="D1044" s="36">
        <v>4616.83</v>
      </c>
      <c r="E1044" s="43" t="s">
        <v>3596</v>
      </c>
    </row>
    <row r="1045" spans="1:5" x14ac:dyDescent="0.35">
      <c r="A1045" s="40">
        <v>45430</v>
      </c>
      <c r="B1045" s="38">
        <v>-5.3</v>
      </c>
      <c r="C1045" s="13" t="s">
        <v>4119</v>
      </c>
      <c r="D1045" s="36">
        <v>4814.83</v>
      </c>
      <c r="E1045" s="43" t="s">
        <v>3596</v>
      </c>
    </row>
    <row r="1046" spans="1:5" x14ac:dyDescent="0.35">
      <c r="A1046" s="40">
        <v>45430</v>
      </c>
      <c r="B1046" s="38">
        <v>-339</v>
      </c>
      <c r="C1046" s="13" t="s">
        <v>3674</v>
      </c>
      <c r="D1046" s="36">
        <v>4820.13</v>
      </c>
      <c r="E1046" s="43" t="s">
        <v>3596</v>
      </c>
    </row>
    <row r="1047" spans="1:5" x14ac:dyDescent="0.35">
      <c r="A1047" s="40">
        <v>45429</v>
      </c>
      <c r="B1047" s="38">
        <v>-138.47</v>
      </c>
      <c r="C1047" s="13" t="s">
        <v>4120</v>
      </c>
      <c r="D1047" s="36">
        <v>5159.13</v>
      </c>
      <c r="E1047" s="43" t="s">
        <v>3596</v>
      </c>
    </row>
    <row r="1048" spans="1:5" x14ac:dyDescent="0.35">
      <c r="A1048" s="40">
        <v>45428</v>
      </c>
      <c r="B1048" s="38">
        <v>-22.35</v>
      </c>
      <c r="C1048" s="13" t="s">
        <v>3664</v>
      </c>
      <c r="D1048" s="36">
        <v>5297.6</v>
      </c>
      <c r="E1048" s="43" t="s">
        <v>3596</v>
      </c>
    </row>
    <row r="1049" spans="1:5" x14ac:dyDescent="0.35">
      <c r="A1049" s="40">
        <v>45428</v>
      </c>
      <c r="B1049" s="38">
        <v>-30</v>
      </c>
      <c r="C1049" s="13" t="s">
        <v>4121</v>
      </c>
      <c r="D1049" s="36">
        <v>5319.95</v>
      </c>
      <c r="E1049" s="43" t="s">
        <v>3596</v>
      </c>
    </row>
    <row r="1050" spans="1:5" x14ac:dyDescent="0.35">
      <c r="A1050" s="40">
        <v>45428</v>
      </c>
      <c r="B1050" s="38">
        <v>-220.09</v>
      </c>
      <c r="C1050" s="13" t="s">
        <v>4122</v>
      </c>
      <c r="D1050" s="36">
        <v>5349.95</v>
      </c>
      <c r="E1050" s="43" t="s">
        <v>3596</v>
      </c>
    </row>
    <row r="1051" spans="1:5" x14ac:dyDescent="0.35">
      <c r="A1051" s="40">
        <v>45426</v>
      </c>
      <c r="B1051" s="38">
        <v>-12.78</v>
      </c>
      <c r="C1051" s="13" t="s">
        <v>3664</v>
      </c>
      <c r="D1051" s="36">
        <v>5570.04</v>
      </c>
      <c r="E1051" s="43" t="s">
        <v>3596</v>
      </c>
    </row>
    <row r="1052" spans="1:5" x14ac:dyDescent="0.35">
      <c r="A1052" s="40">
        <v>45426</v>
      </c>
      <c r="B1052" s="38">
        <v>30.17</v>
      </c>
      <c r="C1052" s="13" t="s">
        <v>3745</v>
      </c>
      <c r="D1052" s="36">
        <v>5582.82</v>
      </c>
      <c r="E1052" s="43" t="s">
        <v>3596</v>
      </c>
    </row>
    <row r="1053" spans="1:5" x14ac:dyDescent="0.35">
      <c r="A1053" s="40">
        <v>45426</v>
      </c>
      <c r="B1053" s="38">
        <v>-70.5</v>
      </c>
      <c r="C1053" s="13" t="s">
        <v>4123</v>
      </c>
      <c r="D1053" s="36">
        <v>5552.65</v>
      </c>
      <c r="E1053" s="43" t="s">
        <v>3596</v>
      </c>
    </row>
    <row r="1054" spans="1:5" x14ac:dyDescent="0.35">
      <c r="A1054" s="40">
        <v>45426</v>
      </c>
      <c r="B1054" s="38">
        <v>-11.9</v>
      </c>
      <c r="C1054" s="13" t="s">
        <v>3111</v>
      </c>
      <c r="D1054" s="36">
        <v>5623.15</v>
      </c>
      <c r="E1054" s="43" t="s">
        <v>3596</v>
      </c>
    </row>
    <row r="1055" spans="1:5" x14ac:dyDescent="0.35">
      <c r="A1055" s="40">
        <v>45426</v>
      </c>
      <c r="B1055" s="38">
        <v>-75.900000000000006</v>
      </c>
      <c r="C1055" s="13" t="s">
        <v>4124</v>
      </c>
      <c r="D1055" s="36">
        <v>5635.05</v>
      </c>
      <c r="E1055" s="43" t="s">
        <v>3596</v>
      </c>
    </row>
    <row r="1056" spans="1:5" x14ac:dyDescent="0.35">
      <c r="A1056" s="40">
        <v>45426</v>
      </c>
      <c r="B1056" s="38">
        <v>-102</v>
      </c>
      <c r="C1056" s="13" t="s">
        <v>4125</v>
      </c>
      <c r="D1056" s="36">
        <v>5710.95</v>
      </c>
      <c r="E1056" s="43" t="s">
        <v>3596</v>
      </c>
    </row>
    <row r="1057" spans="1:5" x14ac:dyDescent="0.35">
      <c r="A1057" s="40">
        <v>45426</v>
      </c>
      <c r="B1057" s="38">
        <v>-558</v>
      </c>
      <c r="C1057" s="13" t="s">
        <v>4126</v>
      </c>
      <c r="D1057" s="36">
        <v>5812.95</v>
      </c>
      <c r="E1057" s="43" t="s">
        <v>3596</v>
      </c>
    </row>
    <row r="1058" spans="1:5" x14ac:dyDescent="0.35">
      <c r="A1058" s="40">
        <v>45426</v>
      </c>
      <c r="B1058" s="38">
        <v>-409</v>
      </c>
      <c r="C1058" s="13" t="s">
        <v>4127</v>
      </c>
      <c r="D1058" s="36">
        <v>6370.95</v>
      </c>
      <c r="E1058" s="43" t="s">
        <v>3596</v>
      </c>
    </row>
    <row r="1059" spans="1:5" x14ac:dyDescent="0.35">
      <c r="A1059" s="40">
        <v>45426</v>
      </c>
      <c r="B1059" s="38">
        <v>-1</v>
      </c>
      <c r="C1059" s="13" t="s">
        <v>4128</v>
      </c>
      <c r="D1059" s="36">
        <v>6779.95</v>
      </c>
      <c r="E1059" s="43" t="s">
        <v>3596</v>
      </c>
    </row>
    <row r="1060" spans="1:5" x14ac:dyDescent="0.35">
      <c r="A1060" s="40">
        <v>45426</v>
      </c>
      <c r="B1060" s="38">
        <v>-33.36</v>
      </c>
      <c r="C1060" s="13" t="s">
        <v>4129</v>
      </c>
      <c r="D1060" s="36">
        <v>6780.95</v>
      </c>
      <c r="E1060" s="43" t="s">
        <v>3596</v>
      </c>
    </row>
    <row r="1061" spans="1:5" x14ac:dyDescent="0.35">
      <c r="A1061" s="40">
        <v>45426</v>
      </c>
      <c r="B1061" s="38">
        <v>-1699</v>
      </c>
      <c r="C1061" s="13" t="s">
        <v>4130</v>
      </c>
      <c r="D1061" s="36">
        <v>6814.31</v>
      </c>
      <c r="E1061" s="43" t="s">
        <v>3596</v>
      </c>
    </row>
    <row r="1062" spans="1:5" x14ac:dyDescent="0.35">
      <c r="A1062" s="40">
        <v>45426</v>
      </c>
      <c r="B1062" s="38">
        <v>-50.19</v>
      </c>
      <c r="C1062" s="13" t="s">
        <v>4131</v>
      </c>
      <c r="D1062" s="36">
        <v>8513.31</v>
      </c>
      <c r="E1062" s="43" t="s">
        <v>3596</v>
      </c>
    </row>
    <row r="1063" spans="1:5" x14ac:dyDescent="0.35">
      <c r="A1063" s="40">
        <v>45424</v>
      </c>
      <c r="B1063" s="38">
        <v>-127</v>
      </c>
      <c r="C1063" s="13" t="s">
        <v>3675</v>
      </c>
      <c r="D1063" s="36">
        <v>8563.5</v>
      </c>
      <c r="E1063" s="43" t="s">
        <v>3596</v>
      </c>
    </row>
    <row r="1064" spans="1:5" x14ac:dyDescent="0.35">
      <c r="A1064" s="40">
        <v>45423</v>
      </c>
      <c r="B1064" s="38">
        <v>-28.42</v>
      </c>
      <c r="C1064" s="13" t="s">
        <v>3882</v>
      </c>
      <c r="D1064" s="36">
        <v>8690.5</v>
      </c>
      <c r="E1064" s="43" t="s">
        <v>3596</v>
      </c>
    </row>
    <row r="1065" spans="1:5" x14ac:dyDescent="0.35">
      <c r="A1065" s="40">
        <v>45423</v>
      </c>
      <c r="B1065" s="38">
        <v>-11.65</v>
      </c>
      <c r="C1065" s="13" t="s">
        <v>4132</v>
      </c>
      <c r="D1065" s="36">
        <v>8718.92</v>
      </c>
      <c r="E1065" s="43" t="s">
        <v>3596</v>
      </c>
    </row>
    <row r="1066" spans="1:5" x14ac:dyDescent="0.35">
      <c r="A1066" s="40">
        <v>45423</v>
      </c>
      <c r="B1066" s="38">
        <v>-11.3</v>
      </c>
      <c r="C1066" s="13" t="s">
        <v>4133</v>
      </c>
      <c r="D1066" s="36">
        <v>8730.57</v>
      </c>
      <c r="E1066" s="43" t="s">
        <v>3596</v>
      </c>
    </row>
    <row r="1067" spans="1:5" x14ac:dyDescent="0.35">
      <c r="A1067" s="40">
        <v>45422</v>
      </c>
      <c r="B1067" s="38">
        <v>-300</v>
      </c>
      <c r="C1067" s="13" t="s">
        <v>4134</v>
      </c>
      <c r="D1067" s="36">
        <v>8741.8700000000008</v>
      </c>
      <c r="E1067" s="43" t="s">
        <v>3596</v>
      </c>
    </row>
    <row r="1068" spans="1:5" x14ac:dyDescent="0.35">
      <c r="A1068" s="40">
        <v>45421</v>
      </c>
      <c r="B1068" s="38">
        <v>-11.35</v>
      </c>
      <c r="C1068" s="13" t="s">
        <v>3406</v>
      </c>
      <c r="D1068" s="36">
        <v>9041.8700000000008</v>
      </c>
      <c r="E1068" s="43" t="s">
        <v>3596</v>
      </c>
    </row>
    <row r="1069" spans="1:5" x14ac:dyDescent="0.35">
      <c r="A1069" s="40">
        <v>45421</v>
      </c>
      <c r="B1069" s="38">
        <v>-14.05</v>
      </c>
      <c r="C1069" s="13" t="s">
        <v>4135</v>
      </c>
      <c r="D1069" s="36">
        <v>9053.2199999999993</v>
      </c>
      <c r="E1069" s="43" t="s">
        <v>3596</v>
      </c>
    </row>
    <row r="1070" spans="1:5" x14ac:dyDescent="0.35">
      <c r="A1070" s="40">
        <v>45421</v>
      </c>
      <c r="B1070" s="38">
        <v>-1849</v>
      </c>
      <c r="C1070" s="13" t="s">
        <v>3676</v>
      </c>
      <c r="D1070" s="36">
        <v>9067.27</v>
      </c>
      <c r="E1070" s="43" t="s">
        <v>3596</v>
      </c>
    </row>
    <row r="1071" spans="1:5" x14ac:dyDescent="0.35">
      <c r="A1071" s="40">
        <v>45421</v>
      </c>
      <c r="B1071" s="38">
        <v>-40</v>
      </c>
      <c r="C1071" s="13" t="s">
        <v>4136</v>
      </c>
      <c r="D1071" s="36">
        <v>10916.27</v>
      </c>
      <c r="E1071" s="43" t="s">
        <v>3596</v>
      </c>
    </row>
    <row r="1072" spans="1:5" x14ac:dyDescent="0.35">
      <c r="A1072" s="40">
        <v>45421</v>
      </c>
      <c r="B1072" s="38">
        <v>-1408.62</v>
      </c>
      <c r="C1072" s="13" t="s">
        <v>3668</v>
      </c>
      <c r="D1072" s="36">
        <v>10956.27</v>
      </c>
      <c r="E1072" s="43" t="s">
        <v>3596</v>
      </c>
    </row>
    <row r="1073" spans="1:5" x14ac:dyDescent="0.35">
      <c r="A1073" s="40">
        <v>45421</v>
      </c>
      <c r="B1073" s="38">
        <v>2599.9899999999998</v>
      </c>
      <c r="C1073" s="13" t="s">
        <v>4137</v>
      </c>
      <c r="D1073" s="36">
        <v>12364.89</v>
      </c>
      <c r="E1073" s="43" t="s">
        <v>3596</v>
      </c>
    </row>
    <row r="1074" spans="1:5" x14ac:dyDescent="0.35">
      <c r="A1074" s="40">
        <v>45420</v>
      </c>
      <c r="B1074" s="38">
        <v>-16</v>
      </c>
      <c r="C1074" s="13" t="s">
        <v>3334</v>
      </c>
      <c r="D1074" s="36">
        <v>9764.9</v>
      </c>
      <c r="E1074" s="43" t="s">
        <v>3596</v>
      </c>
    </row>
    <row r="1075" spans="1:5" x14ac:dyDescent="0.35">
      <c r="A1075" s="40">
        <v>45420</v>
      </c>
      <c r="B1075" s="38">
        <v>472.77</v>
      </c>
      <c r="C1075" s="13" t="s">
        <v>4138</v>
      </c>
      <c r="D1075" s="36">
        <v>9780.9</v>
      </c>
      <c r="E1075" s="43" t="s">
        <v>3596</v>
      </c>
    </row>
    <row r="1076" spans="1:5" x14ac:dyDescent="0.35">
      <c r="A1076" s="40">
        <v>45420</v>
      </c>
      <c r="B1076" s="38">
        <v>-50.98</v>
      </c>
      <c r="C1076" s="13" t="s">
        <v>4139</v>
      </c>
      <c r="D1076" s="36">
        <v>9308.1299999999992</v>
      </c>
      <c r="E1076" s="43" t="s">
        <v>3596</v>
      </c>
    </row>
    <row r="1077" spans="1:5" x14ac:dyDescent="0.35">
      <c r="A1077" s="40">
        <v>45418</v>
      </c>
      <c r="B1077" s="38">
        <v>-1514.59</v>
      </c>
      <c r="C1077" s="13" t="s">
        <v>4083</v>
      </c>
      <c r="D1077" s="36">
        <v>9359.11</v>
      </c>
      <c r="E1077" s="43" t="s">
        <v>3596</v>
      </c>
    </row>
    <row r="1078" spans="1:5" x14ac:dyDescent="0.35">
      <c r="A1078" s="40">
        <v>45417</v>
      </c>
      <c r="B1078" s="38">
        <v>-11.37</v>
      </c>
      <c r="C1078" s="13" t="s">
        <v>4140</v>
      </c>
      <c r="D1078" s="36">
        <v>10873.7</v>
      </c>
      <c r="E1078" s="43" t="s">
        <v>3596</v>
      </c>
    </row>
    <row r="1079" spans="1:5" x14ac:dyDescent="0.35">
      <c r="A1079" s="40">
        <v>45417</v>
      </c>
      <c r="B1079" s="38">
        <v>-32.1</v>
      </c>
      <c r="C1079" s="13" t="s">
        <v>3664</v>
      </c>
      <c r="D1079" s="36">
        <v>10885.07</v>
      </c>
      <c r="E1079" s="43" t="s">
        <v>3596</v>
      </c>
    </row>
    <row r="1080" spans="1:5" x14ac:dyDescent="0.35">
      <c r="A1080" s="40">
        <v>45415</v>
      </c>
      <c r="B1080" s="38">
        <v>-70.38</v>
      </c>
      <c r="C1080" s="13" t="s">
        <v>4141</v>
      </c>
      <c r="D1080" s="36">
        <v>10917.17</v>
      </c>
      <c r="E1080" s="43" t="s">
        <v>3596</v>
      </c>
    </row>
    <row r="1081" spans="1:5" x14ac:dyDescent="0.35">
      <c r="A1081" s="40">
        <v>45415</v>
      </c>
      <c r="B1081" s="38">
        <v>-12</v>
      </c>
      <c r="C1081" s="13" t="s">
        <v>4119</v>
      </c>
      <c r="D1081" s="36">
        <v>10987.55</v>
      </c>
      <c r="E1081" s="43" t="s">
        <v>3596</v>
      </c>
    </row>
    <row r="1082" spans="1:5" x14ac:dyDescent="0.35">
      <c r="A1082" s="40">
        <v>45413</v>
      </c>
      <c r="B1082" s="38">
        <v>-201.79</v>
      </c>
      <c r="C1082" s="13" t="s">
        <v>4142</v>
      </c>
      <c r="D1082" s="36">
        <v>10999.55</v>
      </c>
      <c r="E1082" s="43" t="s">
        <v>3596</v>
      </c>
    </row>
    <row r="1083" spans="1:5" x14ac:dyDescent="0.35">
      <c r="A1083" s="40">
        <v>45413</v>
      </c>
      <c r="B1083" s="38">
        <v>-10.8</v>
      </c>
      <c r="C1083" s="13" t="s">
        <v>4143</v>
      </c>
      <c r="D1083" s="36">
        <v>11201.34</v>
      </c>
      <c r="E1083" s="43" t="s">
        <v>3596</v>
      </c>
    </row>
    <row r="1084" spans="1:5" x14ac:dyDescent="0.35">
      <c r="A1084" s="40">
        <v>45413</v>
      </c>
      <c r="B1084" s="38">
        <v>-53.4</v>
      </c>
      <c r="C1084" s="13" t="s">
        <v>4144</v>
      </c>
      <c r="D1084" s="36">
        <v>11212.14</v>
      </c>
      <c r="E1084" s="43" t="s">
        <v>3596</v>
      </c>
    </row>
    <row r="1085" spans="1:5" x14ac:dyDescent="0.35">
      <c r="A1085" s="40">
        <v>45413</v>
      </c>
      <c r="B1085" s="38">
        <v>-132.19999999999999</v>
      </c>
      <c r="C1085" s="13" t="s">
        <v>4145</v>
      </c>
      <c r="D1085" s="36">
        <v>11265.54</v>
      </c>
      <c r="E1085" s="43" t="s">
        <v>3596</v>
      </c>
    </row>
    <row r="1086" spans="1:5" x14ac:dyDescent="0.35">
      <c r="A1086" s="40">
        <v>45413</v>
      </c>
      <c r="B1086" s="38">
        <v>-31.73</v>
      </c>
      <c r="C1086" s="13" t="s">
        <v>4146</v>
      </c>
      <c r="D1086" s="36">
        <v>11397.74</v>
      </c>
      <c r="E1086" s="43" t="s">
        <v>3596</v>
      </c>
    </row>
    <row r="1087" spans="1:5" x14ac:dyDescent="0.35">
      <c r="A1087" s="40">
        <v>45413</v>
      </c>
      <c r="B1087" s="38">
        <v>-35.99</v>
      </c>
      <c r="C1087" s="13" t="s">
        <v>4146</v>
      </c>
      <c r="D1087" s="36">
        <v>11429.47</v>
      </c>
      <c r="E1087" s="43" t="s">
        <v>3596</v>
      </c>
    </row>
    <row r="1088" spans="1:5" x14ac:dyDescent="0.35">
      <c r="A1088" s="40">
        <v>45412</v>
      </c>
      <c r="B1088" s="38">
        <v>-15</v>
      </c>
      <c r="C1088" s="13" t="s">
        <v>3111</v>
      </c>
      <c r="D1088" s="36">
        <v>11465.46</v>
      </c>
      <c r="E1088" s="43" t="s">
        <v>3596</v>
      </c>
    </row>
    <row r="1089" spans="1:5" x14ac:dyDescent="0.35">
      <c r="A1089" s="40">
        <v>45412</v>
      </c>
      <c r="B1089" s="38">
        <v>-28.6</v>
      </c>
      <c r="C1089" s="13" t="s">
        <v>4147</v>
      </c>
      <c r="D1089" s="36">
        <v>11480.46</v>
      </c>
      <c r="E1089" s="43" t="s">
        <v>3596</v>
      </c>
    </row>
    <row r="1090" spans="1:5" x14ac:dyDescent="0.35">
      <c r="A1090" s="40">
        <v>45412</v>
      </c>
      <c r="B1090" s="38">
        <v>-48.93</v>
      </c>
      <c r="C1090" s="13" t="s">
        <v>4148</v>
      </c>
      <c r="D1090" s="36">
        <v>11509.06</v>
      </c>
      <c r="E1090" s="43" t="s">
        <v>3596</v>
      </c>
    </row>
    <row r="1091" spans="1:5" x14ac:dyDescent="0.35">
      <c r="A1091" s="40">
        <v>45412</v>
      </c>
      <c r="B1091" s="38">
        <v>-0.34</v>
      </c>
      <c r="C1091" s="13" t="s">
        <v>4149</v>
      </c>
      <c r="D1091" s="36">
        <v>11557.99</v>
      </c>
      <c r="E1091" s="43" t="s">
        <v>3596</v>
      </c>
    </row>
    <row r="1092" spans="1:5" x14ac:dyDescent="0.35">
      <c r="A1092" s="40">
        <v>45412</v>
      </c>
      <c r="B1092" s="38">
        <v>-11.38</v>
      </c>
      <c r="C1092" s="13" t="s">
        <v>3666</v>
      </c>
      <c r="D1092" s="36">
        <v>11558.33</v>
      </c>
      <c r="E1092" s="43" t="s">
        <v>3596</v>
      </c>
    </row>
    <row r="1093" spans="1:5" x14ac:dyDescent="0.35">
      <c r="A1093" s="40">
        <v>45409</v>
      </c>
      <c r="B1093" s="38">
        <v>-31.15</v>
      </c>
      <c r="C1093" s="13" t="s">
        <v>3667</v>
      </c>
      <c r="D1093" s="36">
        <v>11569.71</v>
      </c>
      <c r="E1093" s="43" t="s">
        <v>3596</v>
      </c>
    </row>
    <row r="1094" spans="1:5" x14ac:dyDescent="0.35">
      <c r="A1094" s="40">
        <v>45409</v>
      </c>
      <c r="B1094" s="38">
        <v>-48</v>
      </c>
      <c r="C1094" s="13" t="s">
        <v>4150</v>
      </c>
      <c r="D1094" s="36">
        <v>11600.86</v>
      </c>
      <c r="E1094" s="43" t="s">
        <v>3596</v>
      </c>
    </row>
    <row r="1095" spans="1:5" x14ac:dyDescent="0.35">
      <c r="A1095" s="40">
        <v>45409</v>
      </c>
      <c r="B1095" s="38">
        <v>48</v>
      </c>
      <c r="C1095" s="13" t="s">
        <v>4151</v>
      </c>
      <c r="D1095" s="36">
        <v>11648.86</v>
      </c>
      <c r="E1095" s="43" t="s">
        <v>3596</v>
      </c>
    </row>
    <row r="1096" spans="1:5" x14ac:dyDescent="0.35">
      <c r="A1096" s="40">
        <v>45408</v>
      </c>
      <c r="B1096" s="38">
        <v>-11.35</v>
      </c>
      <c r="C1096" s="13" t="s">
        <v>3406</v>
      </c>
      <c r="D1096" s="36">
        <v>11600.86</v>
      </c>
      <c r="E1096" s="43" t="s">
        <v>3596</v>
      </c>
    </row>
    <row r="1097" spans="1:5" x14ac:dyDescent="0.35">
      <c r="A1097" s="40">
        <v>45408</v>
      </c>
      <c r="B1097" s="38">
        <v>-1408.62</v>
      </c>
      <c r="C1097" s="13" t="s">
        <v>3668</v>
      </c>
      <c r="D1097" s="36">
        <v>11612.21</v>
      </c>
      <c r="E1097" s="43" t="s">
        <v>3596</v>
      </c>
    </row>
    <row r="1098" spans="1:5" x14ac:dyDescent="0.35">
      <c r="A1098" s="40">
        <v>45407</v>
      </c>
      <c r="B1098" s="38">
        <v>-2.6</v>
      </c>
      <c r="C1098" s="13" t="s">
        <v>24</v>
      </c>
      <c r="D1098" s="36">
        <v>13020.83</v>
      </c>
      <c r="E1098" s="43" t="s">
        <v>3596</v>
      </c>
    </row>
    <row r="1099" spans="1:5" x14ac:dyDescent="0.35">
      <c r="A1099" s="40">
        <v>45407</v>
      </c>
      <c r="B1099" s="38">
        <v>-40</v>
      </c>
      <c r="C1099" s="13" t="s">
        <v>4152</v>
      </c>
      <c r="D1099" s="36">
        <v>13023.43</v>
      </c>
      <c r="E1099" s="43" t="s">
        <v>3596</v>
      </c>
    </row>
    <row r="1100" spans="1:5" x14ac:dyDescent="0.35">
      <c r="A1100" s="40">
        <v>45407</v>
      </c>
      <c r="B1100" s="38">
        <v>-13.2</v>
      </c>
      <c r="C1100" s="13" t="s">
        <v>3669</v>
      </c>
      <c r="D1100" s="36">
        <v>13063.43</v>
      </c>
      <c r="E1100" s="43" t="s">
        <v>3596</v>
      </c>
    </row>
    <row r="1101" spans="1:5" x14ac:dyDescent="0.35">
      <c r="A1101" s="40">
        <v>45407</v>
      </c>
      <c r="B1101" s="38">
        <v>-704.31</v>
      </c>
      <c r="C1101" s="13" t="s">
        <v>3668</v>
      </c>
      <c r="D1101" s="36">
        <v>13076.63</v>
      </c>
      <c r="E1101" s="43" t="s">
        <v>3596</v>
      </c>
    </row>
    <row r="1102" spans="1:5" x14ac:dyDescent="0.35">
      <c r="A1102" s="40">
        <v>45407</v>
      </c>
      <c r="B1102" s="38">
        <v>-48</v>
      </c>
      <c r="C1102" s="13" t="s">
        <v>4153</v>
      </c>
      <c r="D1102" s="36">
        <v>13780.94</v>
      </c>
      <c r="E1102" s="43" t="s">
        <v>3596</v>
      </c>
    </row>
    <row r="1103" spans="1:5" x14ac:dyDescent="0.35">
      <c r="A1103" s="40">
        <v>45407</v>
      </c>
      <c r="B1103" s="38">
        <v>-40</v>
      </c>
      <c r="C1103" s="13" t="s">
        <v>4154</v>
      </c>
      <c r="D1103" s="36">
        <v>13828.94</v>
      </c>
      <c r="E1103" s="43" t="s">
        <v>3596</v>
      </c>
    </row>
    <row r="1104" spans="1:5" x14ac:dyDescent="0.35">
      <c r="A1104" s="40">
        <v>45406</v>
      </c>
      <c r="B1104" s="38">
        <v>-60.18</v>
      </c>
      <c r="C1104" s="13" t="s">
        <v>4155</v>
      </c>
      <c r="D1104" s="36">
        <v>13868.94</v>
      </c>
      <c r="E1104" s="43" t="s">
        <v>3596</v>
      </c>
    </row>
    <row r="1105" spans="1:5" x14ac:dyDescent="0.35">
      <c r="A1105" s="40">
        <v>45406</v>
      </c>
      <c r="B1105" s="38">
        <v>-20.07</v>
      </c>
      <c r="C1105" s="13" t="s">
        <v>4156</v>
      </c>
      <c r="D1105" s="36">
        <v>13881.12</v>
      </c>
      <c r="E1105" s="43" t="s">
        <v>3596</v>
      </c>
    </row>
    <row r="1106" spans="1:5" x14ac:dyDescent="0.35">
      <c r="A1106" s="40">
        <v>45406</v>
      </c>
      <c r="B1106" s="38">
        <v>2599.98</v>
      </c>
      <c r="C1106" s="13" t="s">
        <v>2593</v>
      </c>
      <c r="D1106" s="36">
        <v>13901.19</v>
      </c>
      <c r="E1106" s="43" t="s">
        <v>3596</v>
      </c>
    </row>
    <row r="1107" spans="1:5" x14ac:dyDescent="0.35">
      <c r="A1107" s="40">
        <v>45406</v>
      </c>
      <c r="B1107" s="38">
        <v>48</v>
      </c>
      <c r="C1107" s="13" t="s">
        <v>4157</v>
      </c>
      <c r="D1107" s="36">
        <v>13929.12</v>
      </c>
      <c r="E1107" s="43" t="s">
        <v>3596</v>
      </c>
    </row>
    <row r="1108" spans="1:5" x14ac:dyDescent="0.35">
      <c r="A1108" s="40">
        <v>45405</v>
      </c>
      <c r="B1108" s="38">
        <v>-15.35</v>
      </c>
      <c r="C1108" s="13" t="s">
        <v>3739</v>
      </c>
      <c r="D1108" s="36">
        <v>11301.21</v>
      </c>
      <c r="E1108" s="43" t="s">
        <v>3596</v>
      </c>
    </row>
    <row r="1109" spans="1:5" x14ac:dyDescent="0.35">
      <c r="A1109" s="40">
        <v>45405</v>
      </c>
      <c r="B1109" s="38">
        <v>-15</v>
      </c>
      <c r="C1109" s="13" t="s">
        <v>3111</v>
      </c>
      <c r="D1109" s="36">
        <v>11337.56</v>
      </c>
      <c r="E1109" s="43" t="s">
        <v>3596</v>
      </c>
    </row>
    <row r="1110" spans="1:5" x14ac:dyDescent="0.35">
      <c r="A1110" s="40">
        <v>45405</v>
      </c>
      <c r="B1110" s="38">
        <v>-21</v>
      </c>
      <c r="C1110" s="13" t="s">
        <v>3927</v>
      </c>
      <c r="D1110" s="36">
        <v>11316.56</v>
      </c>
      <c r="E1110" s="43" t="s">
        <v>3596</v>
      </c>
    </row>
    <row r="1111" spans="1:5" x14ac:dyDescent="0.35">
      <c r="A1111" s="40">
        <v>45405</v>
      </c>
      <c r="B1111" s="38">
        <v>-48</v>
      </c>
      <c r="C1111" s="13" t="s">
        <v>4158</v>
      </c>
      <c r="D1111" s="36">
        <v>11352.56</v>
      </c>
      <c r="E1111" s="43" t="s">
        <v>3596</v>
      </c>
    </row>
    <row r="1112" spans="1:5" x14ac:dyDescent="0.35">
      <c r="A1112" s="40">
        <v>45405</v>
      </c>
      <c r="B1112" s="38">
        <v>-8</v>
      </c>
      <c r="C1112" s="13" t="s">
        <v>4159</v>
      </c>
      <c r="D1112" s="36">
        <v>11400.56</v>
      </c>
      <c r="E1112" s="43" t="s">
        <v>3596</v>
      </c>
    </row>
    <row r="1113" spans="1:5" x14ac:dyDescent="0.35">
      <c r="A1113" s="40">
        <v>45403</v>
      </c>
      <c r="B1113" s="38">
        <v>-11.34</v>
      </c>
      <c r="C1113" s="13" t="s">
        <v>4123</v>
      </c>
      <c r="D1113" s="36">
        <v>11408.56</v>
      </c>
      <c r="E1113" s="43" t="s">
        <v>3596</v>
      </c>
    </row>
    <row r="1114" spans="1:5" x14ac:dyDescent="0.35">
      <c r="A1114" s="40">
        <v>45403</v>
      </c>
      <c r="B1114" s="38">
        <v>-220</v>
      </c>
      <c r="C1114" s="13" t="s">
        <v>4160</v>
      </c>
      <c r="D1114" s="36">
        <v>11419.9</v>
      </c>
      <c r="E1114" s="43" t="s">
        <v>3596</v>
      </c>
    </row>
    <row r="1115" spans="1:5" x14ac:dyDescent="0.35">
      <c r="A1115" s="40">
        <v>45402</v>
      </c>
      <c r="B1115" s="38">
        <v>-73.709999999999994</v>
      </c>
      <c r="C1115" s="13" t="s">
        <v>3739</v>
      </c>
      <c r="D1115" s="36">
        <v>11639.9</v>
      </c>
      <c r="E1115" s="43" t="s">
        <v>3596</v>
      </c>
    </row>
    <row r="1116" spans="1:5" x14ac:dyDescent="0.35">
      <c r="A1116" s="40">
        <v>45402</v>
      </c>
      <c r="B1116" s="38">
        <v>-17.72</v>
      </c>
      <c r="C1116" s="13" t="s">
        <v>3664</v>
      </c>
      <c r="D1116" s="36">
        <v>11713.61</v>
      </c>
      <c r="E1116" s="43" t="s">
        <v>3596</v>
      </c>
    </row>
    <row r="1117" spans="1:5" x14ac:dyDescent="0.35">
      <c r="A1117" s="40">
        <v>45402</v>
      </c>
      <c r="B1117" s="38">
        <v>-22.99</v>
      </c>
      <c r="C1117" s="13" t="s">
        <v>4161</v>
      </c>
      <c r="D1117" s="36">
        <v>11731.33</v>
      </c>
      <c r="E1117" s="43" t="s">
        <v>3596</v>
      </c>
    </row>
    <row r="1118" spans="1:5" x14ac:dyDescent="0.35">
      <c r="A1118" s="40">
        <v>45401</v>
      </c>
      <c r="B1118" s="38">
        <v>-13.36</v>
      </c>
      <c r="C1118" s="13" t="s">
        <v>4162</v>
      </c>
      <c r="D1118" s="36">
        <v>11754.32</v>
      </c>
      <c r="E1118" s="43" t="s">
        <v>3596</v>
      </c>
    </row>
    <row r="1119" spans="1:5" x14ac:dyDescent="0.35">
      <c r="A1119" s="40">
        <v>45400</v>
      </c>
      <c r="B1119" s="38">
        <v>-25.38</v>
      </c>
      <c r="C1119" s="13" t="s">
        <v>3882</v>
      </c>
      <c r="D1119" s="36">
        <v>11767.68</v>
      </c>
      <c r="E1119" s="43" t="s">
        <v>3596</v>
      </c>
    </row>
    <row r="1120" spans="1:5" x14ac:dyDescent="0.35">
      <c r="A1120" s="40">
        <v>45400</v>
      </c>
      <c r="B1120" s="38">
        <v>-4.84</v>
      </c>
      <c r="C1120" s="13" t="s">
        <v>3664</v>
      </c>
      <c r="D1120" s="36">
        <v>11793.06</v>
      </c>
      <c r="E1120" s="43" t="s">
        <v>3596</v>
      </c>
    </row>
    <row r="1121" spans="1:5" x14ac:dyDescent="0.35">
      <c r="A1121" s="40">
        <v>45399</v>
      </c>
      <c r="B1121" s="38">
        <v>-28.83</v>
      </c>
      <c r="C1121" s="13" t="s">
        <v>4163</v>
      </c>
      <c r="D1121" s="36">
        <v>12005.21</v>
      </c>
      <c r="E1121" s="43" t="s">
        <v>3596</v>
      </c>
    </row>
    <row r="1122" spans="1:5" x14ac:dyDescent="0.35">
      <c r="A1122" s="40">
        <v>45399</v>
      </c>
      <c r="B1122" s="38">
        <v>-33.5</v>
      </c>
      <c r="C1122" s="13" t="s">
        <v>4163</v>
      </c>
      <c r="D1122" s="36">
        <v>12034.04</v>
      </c>
      <c r="E1122" s="43" t="s">
        <v>3596</v>
      </c>
    </row>
    <row r="1123" spans="1:5" x14ac:dyDescent="0.35">
      <c r="A1123" s="40">
        <v>45399</v>
      </c>
      <c r="B1123" s="38">
        <v>-35.130000000000003</v>
      </c>
      <c r="C1123" s="13" t="s">
        <v>4164</v>
      </c>
      <c r="D1123" s="36">
        <v>12067.54</v>
      </c>
      <c r="E1123" s="43" t="s">
        <v>3596</v>
      </c>
    </row>
    <row r="1124" spans="1:5" x14ac:dyDescent="0.35">
      <c r="A1124" s="40">
        <v>45399</v>
      </c>
      <c r="B1124" s="38">
        <v>-97.58</v>
      </c>
      <c r="C1124" s="13" t="s">
        <v>3664</v>
      </c>
      <c r="D1124" s="36">
        <v>11797.9</v>
      </c>
      <c r="E1124" s="43" t="s">
        <v>3596</v>
      </c>
    </row>
    <row r="1125" spans="1:5" x14ac:dyDescent="0.35">
      <c r="A1125" s="40">
        <v>45399</v>
      </c>
      <c r="B1125" s="38">
        <v>-97.23</v>
      </c>
      <c r="C1125" s="13" t="s">
        <v>3664</v>
      </c>
      <c r="D1125" s="36">
        <v>11895.48</v>
      </c>
      <c r="E1125" s="43" t="s">
        <v>3596</v>
      </c>
    </row>
    <row r="1126" spans="1:5" x14ac:dyDescent="0.35">
      <c r="A1126" s="40">
        <v>45399</v>
      </c>
      <c r="B1126" s="38">
        <v>-12.5</v>
      </c>
      <c r="C1126" s="13" t="s">
        <v>3111</v>
      </c>
      <c r="D1126" s="36">
        <v>11992.71</v>
      </c>
      <c r="E1126" s="43" t="s">
        <v>3596</v>
      </c>
    </row>
    <row r="1127" spans="1:5" x14ac:dyDescent="0.35">
      <c r="A1127" s="40">
        <v>45398</v>
      </c>
      <c r="B1127" s="38">
        <v>-67.5</v>
      </c>
      <c r="C1127" s="13" t="s">
        <v>4165</v>
      </c>
      <c r="D1127" s="36">
        <v>12262.04</v>
      </c>
      <c r="E1127" s="43" t="s">
        <v>3596</v>
      </c>
    </row>
    <row r="1128" spans="1:5" x14ac:dyDescent="0.35">
      <c r="A1128" s="40">
        <v>45398</v>
      </c>
      <c r="B1128" s="38">
        <v>-10</v>
      </c>
      <c r="C1128" s="13" t="s">
        <v>3739</v>
      </c>
      <c r="D1128" s="36">
        <v>12102.67</v>
      </c>
      <c r="E1128" s="43" t="s">
        <v>3596</v>
      </c>
    </row>
    <row r="1129" spans="1:5" x14ac:dyDescent="0.35">
      <c r="A1129" s="40">
        <v>45398</v>
      </c>
      <c r="B1129" s="38">
        <v>-15</v>
      </c>
      <c r="C1129" s="13" t="s">
        <v>3111</v>
      </c>
      <c r="D1129" s="36">
        <v>12112.67</v>
      </c>
      <c r="E1129" s="43" t="s">
        <v>3596</v>
      </c>
    </row>
    <row r="1130" spans="1:5" x14ac:dyDescent="0.35">
      <c r="A1130" s="40">
        <v>45398</v>
      </c>
      <c r="B1130" s="38">
        <v>-134.37</v>
      </c>
      <c r="C1130" s="13" t="s">
        <v>4166</v>
      </c>
      <c r="D1130" s="36">
        <v>12127.67</v>
      </c>
      <c r="E1130" s="43" t="s">
        <v>3596</v>
      </c>
    </row>
    <row r="1131" spans="1:5" x14ac:dyDescent="0.35">
      <c r="A1131" s="40">
        <v>45397</v>
      </c>
      <c r="B1131" s="38">
        <v>-13.3</v>
      </c>
      <c r="C1131" s="13" t="s">
        <v>4167</v>
      </c>
      <c r="D1131" s="36">
        <v>12329.54</v>
      </c>
      <c r="E1131" s="43" t="s">
        <v>3596</v>
      </c>
    </row>
    <row r="1132" spans="1:5" x14ac:dyDescent="0.35">
      <c r="A1132" s="40">
        <v>45396</v>
      </c>
      <c r="B1132" s="38">
        <v>-31.28</v>
      </c>
      <c r="C1132" s="13" t="s">
        <v>4168</v>
      </c>
      <c r="D1132" s="36">
        <v>12342.84</v>
      </c>
      <c r="E1132" s="43" t="s">
        <v>3596</v>
      </c>
    </row>
    <row r="1133" spans="1:5" x14ac:dyDescent="0.35">
      <c r="A1133" s="40">
        <v>45395</v>
      </c>
      <c r="B1133" s="38">
        <v>-3419.9</v>
      </c>
      <c r="C1133" s="13" t="s">
        <v>4169</v>
      </c>
      <c r="D1133" s="36">
        <v>12374.12</v>
      </c>
      <c r="E1133" s="43" t="s">
        <v>3596</v>
      </c>
    </row>
    <row r="1134" spans="1:5" x14ac:dyDescent="0.35">
      <c r="A1134" s="40">
        <v>45395</v>
      </c>
      <c r="B1134" s="38">
        <v>-51.53</v>
      </c>
      <c r="C1134" s="13" t="s">
        <v>4109</v>
      </c>
      <c r="D1134" s="36">
        <v>15794.02</v>
      </c>
      <c r="E1134" s="43" t="s">
        <v>3596</v>
      </c>
    </row>
    <row r="1135" spans="1:5" x14ac:dyDescent="0.35">
      <c r="A1135" s="40">
        <v>45395</v>
      </c>
      <c r="B1135" s="38">
        <v>-10.3</v>
      </c>
      <c r="C1135" s="13" t="s">
        <v>3251</v>
      </c>
      <c r="D1135" s="36">
        <v>15845.55</v>
      </c>
      <c r="E1135" s="43" t="s">
        <v>3596</v>
      </c>
    </row>
    <row r="1136" spans="1:5" x14ac:dyDescent="0.35">
      <c r="A1136" s="40">
        <v>45395</v>
      </c>
      <c r="B1136" s="38">
        <v>-1.01</v>
      </c>
      <c r="C1136" s="13" t="s">
        <v>4170</v>
      </c>
      <c r="D1136" s="36">
        <v>15855.85</v>
      </c>
      <c r="E1136" s="43" t="s">
        <v>3596</v>
      </c>
    </row>
    <row r="1137" spans="1:5" x14ac:dyDescent="0.35">
      <c r="A1137" s="40">
        <v>45395</v>
      </c>
      <c r="B1137" s="38">
        <v>-33.83</v>
      </c>
      <c r="C1137" s="13" t="s">
        <v>4171</v>
      </c>
      <c r="D1137" s="36">
        <v>15856.86</v>
      </c>
      <c r="E1137" s="43" t="s">
        <v>3596</v>
      </c>
    </row>
    <row r="1138" spans="1:5" x14ac:dyDescent="0.35">
      <c r="A1138" s="40">
        <v>45395</v>
      </c>
      <c r="B1138" s="38">
        <v>-129.69999999999999</v>
      </c>
      <c r="C1138" s="13" t="s">
        <v>4172</v>
      </c>
      <c r="D1138" s="36">
        <v>15890.69</v>
      </c>
      <c r="E1138" s="43" t="s">
        <v>3596</v>
      </c>
    </row>
    <row r="1139" spans="1:5" x14ac:dyDescent="0.35">
      <c r="A1139" s="40">
        <v>45394</v>
      </c>
      <c r="B1139" s="38">
        <v>-26.25</v>
      </c>
      <c r="C1139" s="13" t="s">
        <v>4173</v>
      </c>
      <c r="D1139" s="36">
        <v>16020.39</v>
      </c>
      <c r="E1139" s="43" t="s">
        <v>3596</v>
      </c>
    </row>
    <row r="1140" spans="1:5" x14ac:dyDescent="0.35">
      <c r="A1140" s="40">
        <v>45393</v>
      </c>
      <c r="B1140" s="38">
        <v>-100</v>
      </c>
      <c r="C1140" s="13" t="s">
        <v>4174</v>
      </c>
      <c r="D1140" s="36">
        <v>16064.34</v>
      </c>
      <c r="E1140" s="43" t="s">
        <v>3596</v>
      </c>
    </row>
    <row r="1141" spans="1:5" x14ac:dyDescent="0.35">
      <c r="A1141" s="40">
        <v>45393</v>
      </c>
      <c r="B1141" s="38">
        <v>-11.35</v>
      </c>
      <c r="C1141" s="13" t="s">
        <v>3406</v>
      </c>
      <c r="D1141" s="36">
        <v>16046.64</v>
      </c>
      <c r="E1141" s="43" t="s">
        <v>3596</v>
      </c>
    </row>
    <row r="1142" spans="1:5" x14ac:dyDescent="0.35">
      <c r="A1142" s="40">
        <v>45393</v>
      </c>
      <c r="B1142" s="38">
        <v>-6.35</v>
      </c>
      <c r="C1142" s="13" t="s">
        <v>4175</v>
      </c>
      <c r="D1142" s="36">
        <v>16057.99</v>
      </c>
      <c r="E1142" s="43" t="s">
        <v>3596</v>
      </c>
    </row>
    <row r="1143" spans="1:5" x14ac:dyDescent="0.35">
      <c r="A1143" s="40">
        <v>45393</v>
      </c>
      <c r="B1143" s="38">
        <v>-3.5</v>
      </c>
      <c r="C1143" s="13" t="s">
        <v>4176</v>
      </c>
      <c r="D1143" s="36">
        <v>16164.34</v>
      </c>
      <c r="E1143" s="43" t="s">
        <v>3596</v>
      </c>
    </row>
    <row r="1144" spans="1:5" x14ac:dyDescent="0.35">
      <c r="A1144" s="40">
        <v>45393</v>
      </c>
      <c r="B1144" s="38">
        <v>-3</v>
      </c>
      <c r="C1144" s="13" t="s">
        <v>4176</v>
      </c>
      <c r="D1144" s="36">
        <v>16167.84</v>
      </c>
      <c r="E1144" s="43" t="s">
        <v>3596</v>
      </c>
    </row>
    <row r="1145" spans="1:5" x14ac:dyDescent="0.35">
      <c r="A1145" s="40">
        <v>45393</v>
      </c>
      <c r="B1145" s="38">
        <v>-40</v>
      </c>
      <c r="C1145" s="13" t="s">
        <v>4177</v>
      </c>
      <c r="D1145" s="36">
        <v>16170.84</v>
      </c>
      <c r="E1145" s="43" t="s">
        <v>3596</v>
      </c>
    </row>
    <row r="1146" spans="1:5" x14ac:dyDescent="0.35">
      <c r="A1146" s="40">
        <v>45393</v>
      </c>
      <c r="B1146" s="38">
        <v>-10.49</v>
      </c>
      <c r="C1146" s="13" t="s">
        <v>4178</v>
      </c>
      <c r="D1146" s="36">
        <v>16210.84</v>
      </c>
      <c r="E1146" s="43" t="s">
        <v>3596</v>
      </c>
    </row>
    <row r="1147" spans="1:5" x14ac:dyDescent="0.35">
      <c r="A1147" s="40">
        <v>45393</v>
      </c>
      <c r="B1147" s="38">
        <v>-500</v>
      </c>
      <c r="C1147" s="13" t="s">
        <v>4179</v>
      </c>
      <c r="D1147" s="36">
        <v>16221.33</v>
      </c>
      <c r="E1147" s="43" t="s">
        <v>3596</v>
      </c>
    </row>
    <row r="1148" spans="1:5" x14ac:dyDescent="0.35">
      <c r="A1148" s="40">
        <v>45393</v>
      </c>
      <c r="B1148" s="38">
        <v>2599.9899999999998</v>
      </c>
      <c r="C1148" s="13" t="s">
        <v>4180</v>
      </c>
      <c r="D1148" s="36">
        <v>16721.330000000002</v>
      </c>
      <c r="E1148" s="43" t="s">
        <v>3596</v>
      </c>
    </row>
    <row r="1149" spans="1:5" x14ac:dyDescent="0.35">
      <c r="A1149" s="40">
        <v>45392</v>
      </c>
      <c r="B1149" s="38">
        <v>-16</v>
      </c>
      <c r="C1149" s="13" t="s">
        <v>3334</v>
      </c>
      <c r="D1149" s="36">
        <v>14121.34</v>
      </c>
      <c r="E1149" s="43" t="s">
        <v>3596</v>
      </c>
    </row>
    <row r="1150" spans="1:5" x14ac:dyDescent="0.35">
      <c r="A1150" s="40">
        <v>45391</v>
      </c>
      <c r="B1150" s="38">
        <v>-42.57</v>
      </c>
      <c r="C1150" s="13" t="s">
        <v>3742</v>
      </c>
      <c r="D1150" s="36">
        <v>14137.34</v>
      </c>
      <c r="E1150" s="43" t="s">
        <v>3596</v>
      </c>
    </row>
    <row r="1151" spans="1:5" x14ac:dyDescent="0.35">
      <c r="A1151" s="40">
        <v>45391</v>
      </c>
      <c r="B1151" s="38">
        <v>-16</v>
      </c>
      <c r="C1151" s="13" t="s">
        <v>3334</v>
      </c>
      <c r="D1151" s="36">
        <v>14179.91</v>
      </c>
      <c r="E1151" s="43" t="s">
        <v>3596</v>
      </c>
    </row>
    <row r="1152" spans="1:5" x14ac:dyDescent="0.35">
      <c r="A1152" s="40">
        <v>45391</v>
      </c>
      <c r="B1152" s="38">
        <v>-31.14</v>
      </c>
      <c r="C1152" s="13" t="s">
        <v>4181</v>
      </c>
      <c r="D1152" s="36">
        <v>14195.91</v>
      </c>
      <c r="E1152" s="43" t="s">
        <v>3596</v>
      </c>
    </row>
    <row r="1153" spans="1:5" x14ac:dyDescent="0.35">
      <c r="A1153" s="40">
        <v>45391</v>
      </c>
      <c r="B1153" s="38">
        <v>-139</v>
      </c>
      <c r="C1153" s="13" t="s">
        <v>4182</v>
      </c>
      <c r="D1153" s="36">
        <v>14227.05</v>
      </c>
      <c r="E1153" s="43" t="s">
        <v>3596</v>
      </c>
    </row>
    <row r="1154" spans="1:5" x14ac:dyDescent="0.35">
      <c r="A1154" s="40">
        <v>45389</v>
      </c>
      <c r="B1154" s="38">
        <v>-3.07</v>
      </c>
      <c r="C1154" s="13" t="s">
        <v>4183</v>
      </c>
      <c r="D1154" s="36">
        <v>14366.05</v>
      </c>
      <c r="E1154" s="43" t="s">
        <v>3596</v>
      </c>
    </row>
    <row r="1155" spans="1:5" x14ac:dyDescent="0.35">
      <c r="A1155" s="40">
        <v>45389</v>
      </c>
      <c r="B1155" s="38">
        <v>-5.5</v>
      </c>
      <c r="C1155" s="13" t="s">
        <v>3184</v>
      </c>
      <c r="D1155" s="36">
        <v>14369.12</v>
      </c>
      <c r="E1155" s="43" t="s">
        <v>3596</v>
      </c>
    </row>
    <row r="1156" spans="1:5" x14ac:dyDescent="0.35">
      <c r="A1156" s="40">
        <v>45389</v>
      </c>
      <c r="B1156" s="38">
        <v>-9</v>
      </c>
      <c r="C1156" s="13" t="s">
        <v>3198</v>
      </c>
      <c r="D1156" s="36">
        <v>14374.62</v>
      </c>
      <c r="E1156" s="43" t="s">
        <v>3596</v>
      </c>
    </row>
    <row r="1157" spans="1:5" x14ac:dyDescent="0.35">
      <c r="A1157" s="40">
        <v>45389</v>
      </c>
      <c r="B1157" s="38">
        <v>-43.95</v>
      </c>
      <c r="C1157" s="13" t="s">
        <v>2281</v>
      </c>
      <c r="D1157" s="36">
        <v>14383.62</v>
      </c>
      <c r="E1157" s="43" t="s">
        <v>3596</v>
      </c>
    </row>
    <row r="1158" spans="1:5" x14ac:dyDescent="0.35">
      <c r="A1158" s="40">
        <v>45388</v>
      </c>
      <c r="B1158" s="38">
        <v>5000</v>
      </c>
      <c r="C1158" s="13" t="s">
        <v>4184</v>
      </c>
      <c r="D1158" s="36">
        <v>14427.57</v>
      </c>
      <c r="E1158" s="43" t="s">
        <v>3596</v>
      </c>
    </row>
    <row r="1159" spans="1:5" x14ac:dyDescent="0.35">
      <c r="A1159" s="40">
        <v>45388</v>
      </c>
      <c r="B1159" s="38">
        <v>-23.9</v>
      </c>
      <c r="C1159" s="13" t="s">
        <v>4185</v>
      </c>
      <c r="D1159" s="36">
        <v>9427.57</v>
      </c>
      <c r="E1159" s="43" t="s">
        <v>3596</v>
      </c>
    </row>
    <row r="1160" spans="1:5" x14ac:dyDescent="0.35">
      <c r="A1160" s="40">
        <v>45387</v>
      </c>
      <c r="B1160" s="38">
        <v>-1045.5</v>
      </c>
      <c r="C1160" s="13" t="s">
        <v>3497</v>
      </c>
      <c r="D1160" s="36">
        <v>9451.4699999999993</v>
      </c>
      <c r="E1160" s="43" t="s">
        <v>3596</v>
      </c>
    </row>
    <row r="1161" spans="1:5" x14ac:dyDescent="0.35">
      <c r="A1161" s="40">
        <v>45387</v>
      </c>
      <c r="B1161" s="38">
        <v>-75000</v>
      </c>
      <c r="C1161" s="13" t="s">
        <v>4186</v>
      </c>
      <c r="D1161" s="36">
        <v>10496.97</v>
      </c>
      <c r="E1161" s="43" t="s">
        <v>3596</v>
      </c>
    </row>
    <row r="1162" spans="1:5" x14ac:dyDescent="0.35">
      <c r="A1162" s="40">
        <v>45387</v>
      </c>
      <c r="B1162" s="38">
        <v>75000</v>
      </c>
      <c r="C1162" s="13" t="s">
        <v>1521</v>
      </c>
      <c r="D1162" s="36">
        <v>85496.97</v>
      </c>
      <c r="E1162" s="43" t="s">
        <v>3596</v>
      </c>
    </row>
    <row r="1163" spans="1:5" x14ac:dyDescent="0.35">
      <c r="A1163" s="40">
        <v>45387</v>
      </c>
      <c r="B1163" s="38">
        <v>-10000</v>
      </c>
      <c r="C1163" s="13" t="s">
        <v>3418</v>
      </c>
      <c r="D1163" s="36">
        <v>10496.97</v>
      </c>
      <c r="E1163" s="43" t="s">
        <v>3596</v>
      </c>
    </row>
    <row r="1164" spans="1:5" x14ac:dyDescent="0.35">
      <c r="A1164" s="40">
        <v>45385</v>
      </c>
      <c r="B1164" s="38">
        <v>10000</v>
      </c>
      <c r="C1164" s="13" t="s">
        <v>4187</v>
      </c>
      <c r="D1164" s="36">
        <v>20496.97</v>
      </c>
      <c r="E1164" s="43" t="s">
        <v>3596</v>
      </c>
    </row>
    <row r="1165" spans="1:5" x14ac:dyDescent="0.35">
      <c r="A1165" s="40">
        <v>45385</v>
      </c>
      <c r="B1165" s="38">
        <v>-36.32</v>
      </c>
      <c r="C1165" s="13" t="s">
        <v>4188</v>
      </c>
      <c r="D1165" s="36">
        <v>10496.97</v>
      </c>
      <c r="E1165" s="43" t="s">
        <v>3596</v>
      </c>
    </row>
    <row r="1166" spans="1:5" x14ac:dyDescent="0.35">
      <c r="A1166" s="40">
        <v>45385</v>
      </c>
      <c r="B1166" s="38">
        <v>-8.3800000000000008</v>
      </c>
      <c r="C1166" s="13" t="s">
        <v>4189</v>
      </c>
      <c r="D1166" s="36">
        <v>10533.29</v>
      </c>
      <c r="E1166" s="43" t="s">
        <v>3596</v>
      </c>
    </row>
    <row r="1167" spans="1:5" x14ac:dyDescent="0.35">
      <c r="A1167" s="40">
        <v>45385</v>
      </c>
      <c r="B1167" s="38">
        <v>-9.39</v>
      </c>
      <c r="C1167" s="13" t="s">
        <v>4189</v>
      </c>
      <c r="D1167" s="36">
        <v>10541.67</v>
      </c>
      <c r="E1167" s="43" t="s">
        <v>3596</v>
      </c>
    </row>
    <row r="1168" spans="1:5" x14ac:dyDescent="0.35">
      <c r="A1168" s="40">
        <v>45385</v>
      </c>
      <c r="B1168" s="38">
        <v>-23.9</v>
      </c>
      <c r="C1168" s="13" t="s">
        <v>4190</v>
      </c>
      <c r="D1168" s="36">
        <v>10551.06</v>
      </c>
      <c r="E1168" s="43" t="s">
        <v>3596</v>
      </c>
    </row>
    <row r="1169" spans="1:5" x14ac:dyDescent="0.35">
      <c r="A1169" s="40">
        <v>45385</v>
      </c>
      <c r="B1169" s="38">
        <v>-24.2</v>
      </c>
      <c r="C1169" s="13" t="s">
        <v>4191</v>
      </c>
      <c r="D1169" s="36">
        <v>10574.96</v>
      </c>
      <c r="E1169" s="43" t="s">
        <v>3596</v>
      </c>
    </row>
    <row r="1170" spans="1:5" x14ac:dyDescent="0.35">
      <c r="A1170" s="40">
        <v>45385</v>
      </c>
      <c r="B1170" s="38">
        <v>-45</v>
      </c>
      <c r="C1170" s="13" t="s">
        <v>4192</v>
      </c>
      <c r="D1170" s="36">
        <v>10599.16</v>
      </c>
      <c r="E1170" s="43" t="s">
        <v>3596</v>
      </c>
    </row>
    <row r="1171" spans="1:5" x14ac:dyDescent="0.35">
      <c r="A1171" s="40">
        <v>45384</v>
      </c>
      <c r="B1171" s="38">
        <v>-201.79</v>
      </c>
      <c r="C1171" s="13" t="s">
        <v>4193</v>
      </c>
      <c r="D1171" s="36">
        <v>10644.16</v>
      </c>
      <c r="E1171" s="43" t="s">
        <v>3596</v>
      </c>
    </row>
    <row r="1172" spans="1:5" x14ac:dyDescent="0.35">
      <c r="A1172" s="40">
        <v>45384</v>
      </c>
      <c r="B1172" s="38">
        <v>-35.85</v>
      </c>
      <c r="C1172" s="13" t="s">
        <v>2281</v>
      </c>
      <c r="D1172" s="36">
        <v>10845.95</v>
      </c>
      <c r="E1172" s="43" t="s">
        <v>3596</v>
      </c>
    </row>
    <row r="1173" spans="1:5" x14ac:dyDescent="0.35">
      <c r="A1173" s="40">
        <v>45384</v>
      </c>
      <c r="B1173" s="38">
        <v>-15.65</v>
      </c>
      <c r="C1173" s="13" t="s">
        <v>4194</v>
      </c>
      <c r="D1173" s="36">
        <v>10881.8</v>
      </c>
      <c r="E1173" s="43" t="s">
        <v>3596</v>
      </c>
    </row>
    <row r="1174" spans="1:5" x14ac:dyDescent="0.35">
      <c r="A1174" s="40">
        <v>45383</v>
      </c>
      <c r="B1174" s="38">
        <v>-30.17</v>
      </c>
      <c r="C1174" s="13" t="s">
        <v>3251</v>
      </c>
      <c r="D1174" s="36">
        <v>10897.45</v>
      </c>
      <c r="E1174" s="43" t="s">
        <v>3596</v>
      </c>
    </row>
    <row r="1175" spans="1:5" x14ac:dyDescent="0.35">
      <c r="A1175" s="40">
        <v>45383</v>
      </c>
      <c r="B1175" s="38">
        <v>10000</v>
      </c>
      <c r="C1175" s="13" t="s">
        <v>4195</v>
      </c>
      <c r="D1175" s="36">
        <v>10927.62</v>
      </c>
      <c r="E1175" s="43" t="s">
        <v>3596</v>
      </c>
    </row>
    <row r="1176" spans="1:5" x14ac:dyDescent="0.35">
      <c r="A1176" s="40">
        <v>45381</v>
      </c>
      <c r="B1176" s="38">
        <v>-2</v>
      </c>
      <c r="C1176" s="13" t="s">
        <v>4196</v>
      </c>
      <c r="D1176" s="36">
        <v>927.62</v>
      </c>
      <c r="E1176" s="43" t="s">
        <v>3596</v>
      </c>
    </row>
    <row r="1177" spans="1:5" x14ac:dyDescent="0.35">
      <c r="A1177" s="40">
        <v>45381</v>
      </c>
      <c r="B1177" s="38">
        <v>-1</v>
      </c>
      <c r="C1177" s="13" t="s">
        <v>4196</v>
      </c>
      <c r="D1177" s="36">
        <v>929.62</v>
      </c>
      <c r="E1177" s="43" t="s">
        <v>3596</v>
      </c>
    </row>
    <row r="1178" spans="1:5" x14ac:dyDescent="0.35">
      <c r="A1178" s="40">
        <v>45381</v>
      </c>
      <c r="B1178" s="38">
        <v>-13</v>
      </c>
      <c r="C1178" s="13" t="s">
        <v>1584</v>
      </c>
      <c r="D1178" s="36">
        <v>930.62</v>
      </c>
      <c r="E1178" s="43" t="s">
        <v>3596</v>
      </c>
    </row>
    <row r="1179" spans="1:5" x14ac:dyDescent="0.35">
      <c r="A1179" s="40">
        <v>45380</v>
      </c>
      <c r="B1179" s="38">
        <v>-24000</v>
      </c>
      <c r="C1179" s="13" t="s">
        <v>3418</v>
      </c>
      <c r="D1179" s="36">
        <v>943.62</v>
      </c>
      <c r="E1179" s="43" t="s">
        <v>3596</v>
      </c>
    </row>
    <row r="1180" spans="1:5" x14ac:dyDescent="0.35">
      <c r="A1180" s="40">
        <v>45380</v>
      </c>
      <c r="B1180" s="38">
        <v>10000</v>
      </c>
      <c r="C1180" s="13" t="s">
        <v>4197</v>
      </c>
      <c r="D1180" s="36">
        <v>24943.62</v>
      </c>
      <c r="E1180" s="43" t="s">
        <v>3596</v>
      </c>
    </row>
    <row r="1181" spans="1:5" x14ac:dyDescent="0.35">
      <c r="A1181" s="40">
        <v>45379</v>
      </c>
      <c r="B1181" s="38">
        <v>-11.35</v>
      </c>
      <c r="C1181" s="13" t="s">
        <v>3406</v>
      </c>
      <c r="D1181" s="36">
        <v>14943.62</v>
      </c>
      <c r="E1181" s="43" t="s">
        <v>3596</v>
      </c>
    </row>
    <row r="1182" spans="1:5" x14ac:dyDescent="0.35">
      <c r="A1182" s="40">
        <v>45379</v>
      </c>
      <c r="B1182" s="38">
        <v>10000</v>
      </c>
      <c r="C1182" s="13" t="s">
        <v>4198</v>
      </c>
      <c r="D1182" s="36">
        <v>14954.97</v>
      </c>
      <c r="E1182" s="43" t="s">
        <v>3596</v>
      </c>
    </row>
    <row r="1183" spans="1:5" x14ac:dyDescent="0.35">
      <c r="A1183" s="40">
        <v>45379</v>
      </c>
      <c r="B1183" s="38">
        <v>-500</v>
      </c>
      <c r="C1183" s="13" t="s">
        <v>4179</v>
      </c>
      <c r="D1183" s="36">
        <v>4954.97</v>
      </c>
      <c r="E1183" s="43" t="s">
        <v>3596</v>
      </c>
    </row>
    <row r="1184" spans="1:5" x14ac:dyDescent="0.35">
      <c r="A1184" s="40">
        <v>45379</v>
      </c>
      <c r="B1184" s="38">
        <v>2599.9899999999998</v>
      </c>
      <c r="C1184" s="13" t="s">
        <v>4199</v>
      </c>
      <c r="D1184" s="36">
        <v>5454.97</v>
      </c>
      <c r="E1184" s="43" t="s">
        <v>3596</v>
      </c>
    </row>
    <row r="1185" spans="1:5" x14ac:dyDescent="0.35">
      <c r="A1185" s="40">
        <v>45378</v>
      </c>
      <c r="B1185" s="38">
        <v>-2.8</v>
      </c>
      <c r="C1185" s="13" t="s">
        <v>24</v>
      </c>
      <c r="D1185" s="36">
        <v>2854.98</v>
      </c>
      <c r="E1185" s="43" t="s">
        <v>3596</v>
      </c>
    </row>
    <row r="1186" spans="1:5" x14ac:dyDescent="0.35">
      <c r="A1186" s="40">
        <v>45378</v>
      </c>
      <c r="B1186" s="38">
        <v>-50</v>
      </c>
      <c r="C1186" s="13" t="s">
        <v>4200</v>
      </c>
      <c r="D1186" s="36">
        <v>2857.78</v>
      </c>
      <c r="E1186" s="43" t="s">
        <v>3596</v>
      </c>
    </row>
    <row r="1187" spans="1:5" x14ac:dyDescent="0.35">
      <c r="A1187" s="40">
        <v>45377</v>
      </c>
      <c r="B1187" s="38">
        <v>-6.99</v>
      </c>
      <c r="C1187" s="13" t="s">
        <v>2281</v>
      </c>
      <c r="D1187" s="36">
        <v>2907.78</v>
      </c>
      <c r="E1187" s="43" t="s">
        <v>3596</v>
      </c>
    </row>
    <row r="1188" spans="1:5" x14ac:dyDescent="0.35">
      <c r="A1188" s="40">
        <v>45377</v>
      </c>
      <c r="B1188" s="38">
        <v>-36.36</v>
      </c>
      <c r="C1188" s="13" t="s">
        <v>4201</v>
      </c>
      <c r="D1188" s="36">
        <v>2914.77</v>
      </c>
      <c r="E1188" s="43" t="s">
        <v>3596</v>
      </c>
    </row>
    <row r="1189" spans="1:5" x14ac:dyDescent="0.35">
      <c r="A1189" s="40">
        <v>45377</v>
      </c>
      <c r="B1189" s="38">
        <v>-25.65</v>
      </c>
      <c r="C1189" s="13" t="s">
        <v>4202</v>
      </c>
      <c r="D1189" s="36">
        <v>2951.13</v>
      </c>
      <c r="E1189" s="43" t="s">
        <v>3596</v>
      </c>
    </row>
    <row r="1190" spans="1:5" x14ac:dyDescent="0.35">
      <c r="A1190" s="40">
        <v>45377</v>
      </c>
      <c r="B1190" s="38">
        <v>-16.47</v>
      </c>
      <c r="C1190" s="13" t="s">
        <v>4203</v>
      </c>
      <c r="D1190" s="36">
        <v>2976.78</v>
      </c>
      <c r="E1190" s="43" t="s">
        <v>3596</v>
      </c>
    </row>
    <row r="1191" spans="1:5" x14ac:dyDescent="0.35">
      <c r="A1191" s="40">
        <v>45376</v>
      </c>
      <c r="B1191" s="38">
        <v>-53.27</v>
      </c>
      <c r="C1191" s="13" t="s">
        <v>3184</v>
      </c>
      <c r="D1191" s="36">
        <v>2993.25</v>
      </c>
      <c r="E1191" s="43" t="s">
        <v>3596</v>
      </c>
    </row>
    <row r="1192" spans="1:5" x14ac:dyDescent="0.35">
      <c r="A1192" s="40">
        <v>45376</v>
      </c>
      <c r="B1192" s="38">
        <v>-20000</v>
      </c>
      <c r="C1192" s="13" t="s">
        <v>3418</v>
      </c>
      <c r="D1192" s="36">
        <v>3046.52</v>
      </c>
      <c r="E1192" s="43" t="s">
        <v>3596</v>
      </c>
    </row>
    <row r="1193" spans="1:5" x14ac:dyDescent="0.35">
      <c r="A1193" s="40">
        <v>45375</v>
      </c>
      <c r="B1193" s="38">
        <v>10000</v>
      </c>
      <c r="C1193" s="13" t="s">
        <v>4204</v>
      </c>
      <c r="D1193" s="36">
        <v>23046.52</v>
      </c>
      <c r="E1193" s="43" t="s">
        <v>3596</v>
      </c>
    </row>
    <row r="1194" spans="1:5" x14ac:dyDescent="0.35">
      <c r="A1194" s="40">
        <v>45375</v>
      </c>
      <c r="B1194" s="38">
        <v>-14.21</v>
      </c>
      <c r="C1194" s="13" t="s">
        <v>4205</v>
      </c>
      <c r="D1194" s="36">
        <v>13046.52</v>
      </c>
      <c r="E1194" s="43" t="s">
        <v>3596</v>
      </c>
    </row>
    <row r="1195" spans="1:5" x14ac:dyDescent="0.35">
      <c r="A1195" s="40">
        <v>45375</v>
      </c>
      <c r="B1195" s="38">
        <v>-13.52</v>
      </c>
      <c r="C1195" s="13" t="s">
        <v>2281</v>
      </c>
      <c r="D1195" s="36">
        <v>13060.73</v>
      </c>
      <c r="E1195" s="43" t="s">
        <v>3596</v>
      </c>
    </row>
    <row r="1196" spans="1:5" x14ac:dyDescent="0.35">
      <c r="A1196" s="40">
        <v>45375</v>
      </c>
      <c r="B1196" s="38">
        <v>-10.82</v>
      </c>
      <c r="C1196" s="13" t="s">
        <v>3198</v>
      </c>
      <c r="D1196" s="36">
        <v>13074.25</v>
      </c>
      <c r="E1196" s="43" t="s">
        <v>3596</v>
      </c>
    </row>
    <row r="1197" spans="1:5" x14ac:dyDescent="0.35">
      <c r="A1197" s="40">
        <v>45373</v>
      </c>
      <c r="B1197" s="38">
        <v>10000</v>
      </c>
      <c r="C1197" s="13" t="s">
        <v>4206</v>
      </c>
      <c r="D1197" s="36">
        <v>13085.07</v>
      </c>
      <c r="E1197" s="43" t="s">
        <v>3596</v>
      </c>
    </row>
    <row r="1198" spans="1:5" x14ac:dyDescent="0.35">
      <c r="A1198" s="40">
        <v>45373</v>
      </c>
      <c r="B1198" s="38">
        <v>-12.98</v>
      </c>
      <c r="C1198" s="13" t="s">
        <v>4207</v>
      </c>
      <c r="D1198" s="36">
        <v>3085.07</v>
      </c>
      <c r="E1198" s="43" t="s">
        <v>3596</v>
      </c>
    </row>
    <row r="1199" spans="1:5" x14ac:dyDescent="0.35">
      <c r="A1199" s="40">
        <v>45373</v>
      </c>
      <c r="B1199" s="38">
        <v>-69</v>
      </c>
      <c r="C1199" s="13" t="s">
        <v>4208</v>
      </c>
      <c r="D1199" s="36">
        <v>3098.05</v>
      </c>
      <c r="E1199" s="43" t="s">
        <v>3596</v>
      </c>
    </row>
    <row r="1200" spans="1:5" x14ac:dyDescent="0.35">
      <c r="A1200" s="40">
        <v>45373</v>
      </c>
      <c r="B1200" s="38">
        <v>-43</v>
      </c>
      <c r="C1200" s="13" t="s">
        <v>3415</v>
      </c>
      <c r="D1200" s="36">
        <v>3167.05</v>
      </c>
      <c r="E1200" s="43" t="s">
        <v>3596</v>
      </c>
    </row>
    <row r="1201" spans="1:5" x14ac:dyDescent="0.35">
      <c r="A1201" s="40">
        <v>45372</v>
      </c>
      <c r="B1201" s="38">
        <v>-4.5</v>
      </c>
      <c r="C1201" s="13" t="s">
        <v>4209</v>
      </c>
      <c r="D1201" s="36">
        <v>3210.05</v>
      </c>
      <c r="E1201" s="43" t="s">
        <v>3596</v>
      </c>
    </row>
    <row r="1202" spans="1:5" x14ac:dyDescent="0.35">
      <c r="A1202" s="40">
        <v>45372</v>
      </c>
      <c r="B1202" s="38">
        <v>-29.99</v>
      </c>
      <c r="C1202" s="13" t="s">
        <v>4210</v>
      </c>
      <c r="D1202" s="36">
        <v>3214.55</v>
      </c>
      <c r="E1202" s="43" t="s">
        <v>3596</v>
      </c>
    </row>
    <row r="1203" spans="1:5" x14ac:dyDescent="0.35">
      <c r="A1203" s="40">
        <v>45372</v>
      </c>
      <c r="B1203" s="38">
        <v>-134.72999999999999</v>
      </c>
      <c r="C1203" s="13" t="s">
        <v>4211</v>
      </c>
      <c r="D1203" s="36">
        <v>3244.54</v>
      </c>
      <c r="E1203" s="43" t="s">
        <v>3596</v>
      </c>
    </row>
    <row r="1204" spans="1:5" x14ac:dyDescent="0.35">
      <c r="A1204" s="40">
        <v>45371</v>
      </c>
      <c r="B1204" s="38">
        <v>-155</v>
      </c>
      <c r="C1204" s="13" t="s">
        <v>4212</v>
      </c>
      <c r="D1204" s="36">
        <v>3379.27</v>
      </c>
      <c r="E1204" s="43" t="s">
        <v>3596</v>
      </c>
    </row>
    <row r="1205" spans="1:5" x14ac:dyDescent="0.35">
      <c r="A1205" s="40">
        <v>45371</v>
      </c>
      <c r="B1205" s="38">
        <v>-20.03</v>
      </c>
      <c r="C1205" s="13" t="s">
        <v>4213</v>
      </c>
      <c r="D1205" s="36">
        <v>3534.27</v>
      </c>
      <c r="E1205" s="43" t="s">
        <v>3596</v>
      </c>
    </row>
    <row r="1206" spans="1:5" x14ac:dyDescent="0.35">
      <c r="A1206" s="40">
        <v>45371</v>
      </c>
      <c r="B1206" s="38">
        <v>-36.58</v>
      </c>
      <c r="C1206" s="13" t="s">
        <v>4214</v>
      </c>
      <c r="D1206" s="36">
        <v>3554.3</v>
      </c>
      <c r="E1206" s="43" t="s">
        <v>3596</v>
      </c>
    </row>
    <row r="1207" spans="1:5" x14ac:dyDescent="0.35">
      <c r="A1207" s="40">
        <v>45370</v>
      </c>
      <c r="B1207" s="38">
        <v>-2.8</v>
      </c>
      <c r="C1207" s="13" t="s">
        <v>24</v>
      </c>
      <c r="D1207" s="36">
        <v>3590.88</v>
      </c>
      <c r="E1207" s="43" t="s">
        <v>3596</v>
      </c>
    </row>
    <row r="1208" spans="1:5" x14ac:dyDescent="0.35">
      <c r="A1208" s="40">
        <v>45370</v>
      </c>
      <c r="B1208" s="38">
        <v>-20</v>
      </c>
      <c r="C1208" s="13" t="s">
        <v>4200</v>
      </c>
      <c r="D1208" s="36">
        <v>3593.68</v>
      </c>
      <c r="E1208" s="43" t="s">
        <v>3596</v>
      </c>
    </row>
    <row r="1209" spans="1:5" x14ac:dyDescent="0.35">
      <c r="A1209" s="40">
        <v>45370</v>
      </c>
      <c r="B1209" s="38">
        <v>-8.6999999999999993</v>
      </c>
      <c r="C1209" s="13" t="s">
        <v>4183</v>
      </c>
      <c r="D1209" s="36">
        <v>3613.68</v>
      </c>
      <c r="E1209" s="43" t="s">
        <v>3596</v>
      </c>
    </row>
    <row r="1210" spans="1:5" x14ac:dyDescent="0.35">
      <c r="A1210" s="40">
        <v>45370</v>
      </c>
      <c r="B1210" s="38">
        <v>-73.88</v>
      </c>
      <c r="C1210" s="13" t="s">
        <v>4215</v>
      </c>
      <c r="D1210" s="36">
        <v>3622.38</v>
      </c>
      <c r="E1210" s="43" t="s">
        <v>3596</v>
      </c>
    </row>
    <row r="1211" spans="1:5" x14ac:dyDescent="0.35">
      <c r="A1211" s="40">
        <v>45370</v>
      </c>
      <c r="B1211" s="38">
        <v>-36.36</v>
      </c>
      <c r="C1211" s="13" t="s">
        <v>4216</v>
      </c>
      <c r="D1211" s="36">
        <v>3696.26</v>
      </c>
      <c r="E1211" s="43" t="s">
        <v>3596</v>
      </c>
    </row>
    <row r="1212" spans="1:5" x14ac:dyDescent="0.35">
      <c r="A1212" s="40">
        <v>45369</v>
      </c>
      <c r="B1212" s="38">
        <v>-8.3800000000000008</v>
      </c>
      <c r="C1212" s="13" t="s">
        <v>4217</v>
      </c>
      <c r="D1212" s="36">
        <v>3732.62</v>
      </c>
      <c r="E1212" s="43" t="s">
        <v>3596</v>
      </c>
    </row>
    <row r="1213" spans="1:5" x14ac:dyDescent="0.35">
      <c r="A1213" s="40">
        <v>45367</v>
      </c>
      <c r="B1213" s="38">
        <v>-8.08</v>
      </c>
      <c r="C1213" s="13" t="s">
        <v>4218</v>
      </c>
      <c r="D1213" s="36">
        <v>3741</v>
      </c>
      <c r="E1213" s="43" t="s">
        <v>3596</v>
      </c>
    </row>
    <row r="1214" spans="1:5" x14ac:dyDescent="0.35">
      <c r="A1214" s="40">
        <v>45367</v>
      </c>
      <c r="B1214" s="38">
        <v>-30</v>
      </c>
      <c r="C1214" s="13" t="s">
        <v>4219</v>
      </c>
      <c r="D1214" s="36">
        <v>3749.08</v>
      </c>
      <c r="E1214" s="43" t="s">
        <v>3596</v>
      </c>
    </row>
    <row r="1215" spans="1:5" x14ac:dyDescent="0.35">
      <c r="A1215" s="40">
        <v>45367</v>
      </c>
      <c r="B1215" s="38">
        <v>-3000</v>
      </c>
      <c r="C1215" s="13" t="s">
        <v>4220</v>
      </c>
      <c r="D1215" s="36">
        <v>3779.08</v>
      </c>
      <c r="E1215" s="43" t="s">
        <v>3596</v>
      </c>
    </row>
    <row r="1216" spans="1:5" x14ac:dyDescent="0.35">
      <c r="A1216" s="40">
        <v>45367</v>
      </c>
      <c r="B1216" s="38">
        <v>6.42</v>
      </c>
      <c r="C1216" s="13" t="s">
        <v>4221</v>
      </c>
      <c r="D1216" s="36">
        <v>6779.08</v>
      </c>
      <c r="E1216" s="43" t="s">
        <v>3596</v>
      </c>
    </row>
    <row r="1217" spans="1:5" x14ac:dyDescent="0.35">
      <c r="A1217" s="40">
        <v>45367</v>
      </c>
      <c r="B1217" s="38">
        <v>23.09</v>
      </c>
      <c r="C1217" s="13" t="s">
        <v>4221</v>
      </c>
      <c r="D1217" s="36">
        <v>6772.66</v>
      </c>
      <c r="E1217" s="43" t="s">
        <v>3596</v>
      </c>
    </row>
    <row r="1218" spans="1:5" x14ac:dyDescent="0.35">
      <c r="A1218" s="40">
        <v>45367</v>
      </c>
      <c r="B1218" s="38">
        <v>23.09</v>
      </c>
      <c r="C1218" s="13" t="s">
        <v>4221</v>
      </c>
      <c r="D1218" s="36">
        <v>6749.57</v>
      </c>
      <c r="E1218" s="43" t="s">
        <v>3596</v>
      </c>
    </row>
    <row r="1219" spans="1:5" x14ac:dyDescent="0.35">
      <c r="A1219" s="40">
        <v>45367</v>
      </c>
      <c r="B1219" s="38">
        <v>7.5</v>
      </c>
      <c r="C1219" s="13" t="s">
        <v>4221</v>
      </c>
      <c r="D1219" s="36">
        <v>6726.48</v>
      </c>
      <c r="E1219" s="43" t="s">
        <v>3596</v>
      </c>
    </row>
    <row r="1220" spans="1:5" x14ac:dyDescent="0.35">
      <c r="A1220" s="40">
        <v>45367</v>
      </c>
      <c r="B1220" s="38">
        <v>-23.09</v>
      </c>
      <c r="C1220" s="13" t="s">
        <v>4222</v>
      </c>
      <c r="D1220" s="36">
        <v>6718.98</v>
      </c>
      <c r="E1220" s="43" t="s">
        <v>3596</v>
      </c>
    </row>
    <row r="1221" spans="1:5" x14ac:dyDescent="0.35">
      <c r="A1221" s="40">
        <v>45367</v>
      </c>
      <c r="B1221" s="38">
        <v>-23.09</v>
      </c>
      <c r="C1221" s="13" t="s">
        <v>4223</v>
      </c>
      <c r="D1221" s="36">
        <v>6742.07</v>
      </c>
      <c r="E1221" s="43" t="s">
        <v>3596</v>
      </c>
    </row>
    <row r="1222" spans="1:5" x14ac:dyDescent="0.35">
      <c r="A1222" s="40">
        <v>45367</v>
      </c>
      <c r="B1222" s="38">
        <v>-16</v>
      </c>
      <c r="C1222" s="13" t="s">
        <v>4224</v>
      </c>
      <c r="D1222" s="36">
        <v>6765.16</v>
      </c>
      <c r="E1222" s="43" t="s">
        <v>3596</v>
      </c>
    </row>
    <row r="1223" spans="1:5" x14ac:dyDescent="0.35">
      <c r="A1223" s="40">
        <v>45367</v>
      </c>
      <c r="B1223" s="38">
        <v>-17.22</v>
      </c>
      <c r="C1223" s="13" t="s">
        <v>3414</v>
      </c>
      <c r="D1223" s="36">
        <v>6781.16</v>
      </c>
      <c r="E1223" s="43" t="s">
        <v>3596</v>
      </c>
    </row>
    <row r="1224" spans="1:5" x14ac:dyDescent="0.35">
      <c r="A1224" s="40">
        <v>45366</v>
      </c>
      <c r="B1224" s="38">
        <v>15</v>
      </c>
      <c r="C1224" s="13" t="s">
        <v>4225</v>
      </c>
      <c r="D1224" s="36">
        <v>6798.38</v>
      </c>
      <c r="E1224" s="43" t="s">
        <v>3596</v>
      </c>
    </row>
    <row r="1225" spans="1:5" x14ac:dyDescent="0.35">
      <c r="A1225" s="40">
        <v>45366</v>
      </c>
      <c r="B1225" s="38">
        <v>-2000</v>
      </c>
      <c r="C1225" s="13" t="s">
        <v>4226</v>
      </c>
      <c r="D1225" s="36">
        <v>6783.38</v>
      </c>
      <c r="E1225" s="43" t="s">
        <v>3596</v>
      </c>
    </row>
    <row r="1226" spans="1:5" x14ac:dyDescent="0.35">
      <c r="A1226" s="40">
        <v>45366</v>
      </c>
      <c r="B1226" s="38">
        <v>4000</v>
      </c>
      <c r="C1226" s="13" t="s">
        <v>1521</v>
      </c>
      <c r="D1226" s="36">
        <v>8783.3799999999992</v>
      </c>
      <c r="E1226" s="43" t="s">
        <v>3596</v>
      </c>
    </row>
    <row r="1227" spans="1:5" x14ac:dyDescent="0.35">
      <c r="A1227" s="40">
        <v>45366</v>
      </c>
      <c r="B1227" s="38">
        <v>-4000</v>
      </c>
      <c r="C1227" s="13" t="s">
        <v>3597</v>
      </c>
      <c r="D1227" s="36">
        <v>20945.41</v>
      </c>
      <c r="E1227" s="43" t="s">
        <v>3604</v>
      </c>
    </row>
    <row r="1228" spans="1:5" x14ac:dyDescent="0.35">
      <c r="A1228" s="40">
        <v>45365</v>
      </c>
      <c r="B1228" s="38">
        <v>-11.35</v>
      </c>
      <c r="C1228" s="13" t="s">
        <v>3406</v>
      </c>
      <c r="D1228" s="36">
        <v>4783.38</v>
      </c>
      <c r="E1228" s="43" t="s">
        <v>3596</v>
      </c>
    </row>
    <row r="1229" spans="1:5" x14ac:dyDescent="0.35">
      <c r="A1229" s="40">
        <v>45365</v>
      </c>
      <c r="B1229" s="38">
        <v>-7.8</v>
      </c>
      <c r="C1229" s="13" t="s">
        <v>3198</v>
      </c>
      <c r="D1229" s="36">
        <v>4794.7299999999996</v>
      </c>
      <c r="E1229" s="43" t="s">
        <v>3596</v>
      </c>
    </row>
    <row r="1230" spans="1:5" x14ac:dyDescent="0.35">
      <c r="A1230" s="40">
        <v>45365</v>
      </c>
      <c r="B1230" s="38">
        <v>-29307.5</v>
      </c>
      <c r="C1230" s="13" t="s">
        <v>4227</v>
      </c>
      <c r="D1230" s="36">
        <v>4802.53</v>
      </c>
      <c r="E1230" s="43" t="s">
        <v>3596</v>
      </c>
    </row>
    <row r="1231" spans="1:5" x14ac:dyDescent="0.35">
      <c r="A1231" s="40">
        <v>45365</v>
      </c>
      <c r="B1231" s="38">
        <v>20000</v>
      </c>
      <c r="C1231" s="13" t="s">
        <v>4228</v>
      </c>
      <c r="D1231" s="36">
        <v>34110.03</v>
      </c>
      <c r="E1231" s="43" t="s">
        <v>3596</v>
      </c>
    </row>
    <row r="1232" spans="1:5" x14ac:dyDescent="0.35">
      <c r="A1232" s="40">
        <v>45365</v>
      </c>
      <c r="B1232" s="38">
        <v>-27.1</v>
      </c>
      <c r="C1232" s="13" t="s">
        <v>4229</v>
      </c>
      <c r="D1232" s="36">
        <v>14110.03</v>
      </c>
      <c r="E1232" s="43" t="s">
        <v>3596</v>
      </c>
    </row>
    <row r="1233" spans="1:5" x14ac:dyDescent="0.35">
      <c r="A1233" s="40">
        <v>45365</v>
      </c>
      <c r="B1233" s="38">
        <v>-20000</v>
      </c>
      <c r="C1233" s="13" t="s">
        <v>4230</v>
      </c>
      <c r="D1233" s="36">
        <v>24945.41</v>
      </c>
      <c r="E1233" s="43" t="s">
        <v>3604</v>
      </c>
    </row>
    <row r="1234" spans="1:5" x14ac:dyDescent="0.35">
      <c r="A1234" s="40">
        <v>45365</v>
      </c>
      <c r="B1234" s="38">
        <v>3203.84</v>
      </c>
      <c r="C1234" s="13" t="s">
        <v>4231</v>
      </c>
      <c r="D1234" s="36">
        <v>14637.13</v>
      </c>
      <c r="E1234" s="43" t="s">
        <v>3596</v>
      </c>
    </row>
    <row r="1235" spans="1:5" x14ac:dyDescent="0.35">
      <c r="A1235" s="40">
        <v>45365</v>
      </c>
      <c r="B1235" s="38">
        <v>-500</v>
      </c>
      <c r="C1235" s="13" t="s">
        <v>4179</v>
      </c>
      <c r="D1235" s="36">
        <v>14137.13</v>
      </c>
      <c r="E1235" s="43" t="s">
        <v>3596</v>
      </c>
    </row>
    <row r="1236" spans="1:5" x14ac:dyDescent="0.35">
      <c r="A1236" s="40">
        <v>45364</v>
      </c>
      <c r="B1236" s="38">
        <v>-78.5</v>
      </c>
      <c r="C1236" s="13" t="s">
        <v>4232</v>
      </c>
      <c r="D1236" s="36">
        <v>11433.29</v>
      </c>
      <c r="E1236" s="43" t="s">
        <v>3596</v>
      </c>
    </row>
    <row r="1237" spans="1:5" x14ac:dyDescent="0.35">
      <c r="A1237" s="40">
        <v>45364</v>
      </c>
      <c r="B1237" s="38">
        <v>-9.3800000000000008</v>
      </c>
      <c r="C1237" s="13" t="s">
        <v>4233</v>
      </c>
      <c r="D1237" s="36">
        <v>11511.79</v>
      </c>
      <c r="E1237" s="43" t="s">
        <v>3596</v>
      </c>
    </row>
    <row r="1238" spans="1:5" x14ac:dyDescent="0.35">
      <c r="A1238" s="40">
        <v>45364</v>
      </c>
      <c r="B1238" s="38">
        <v>-21.49</v>
      </c>
      <c r="C1238" s="13" t="s">
        <v>4233</v>
      </c>
      <c r="D1238" s="36">
        <v>11521.17</v>
      </c>
      <c r="E1238" s="43" t="s">
        <v>3596</v>
      </c>
    </row>
    <row r="1239" spans="1:5" x14ac:dyDescent="0.35">
      <c r="A1239" s="40">
        <v>45364</v>
      </c>
      <c r="B1239" s="38">
        <v>-9.3800000000000008</v>
      </c>
      <c r="C1239" s="13" t="s">
        <v>4233</v>
      </c>
      <c r="D1239" s="36">
        <v>11542.66</v>
      </c>
      <c r="E1239" s="43" t="s">
        <v>3596</v>
      </c>
    </row>
    <row r="1240" spans="1:5" x14ac:dyDescent="0.35">
      <c r="A1240" s="40">
        <v>45364</v>
      </c>
      <c r="B1240" s="38">
        <v>-1</v>
      </c>
      <c r="C1240" s="13" t="s">
        <v>4234</v>
      </c>
      <c r="D1240" s="36">
        <v>11552.04</v>
      </c>
      <c r="E1240" s="43" t="s">
        <v>3596</v>
      </c>
    </row>
    <row r="1241" spans="1:5" x14ac:dyDescent="0.35">
      <c r="A1241" s="40">
        <v>45364</v>
      </c>
      <c r="B1241" s="38">
        <v>-33.28</v>
      </c>
      <c r="C1241" s="13" t="s">
        <v>4235</v>
      </c>
      <c r="D1241" s="36">
        <v>11553.04</v>
      </c>
      <c r="E1241" s="43" t="s">
        <v>3596</v>
      </c>
    </row>
    <row r="1242" spans="1:5" x14ac:dyDescent="0.35">
      <c r="A1242" s="40">
        <v>45364</v>
      </c>
      <c r="B1242" s="38">
        <v>-20.03</v>
      </c>
      <c r="C1242" s="13" t="s">
        <v>4236</v>
      </c>
      <c r="D1242" s="36">
        <v>11586.32</v>
      </c>
      <c r="E1242" s="43" t="s">
        <v>3596</v>
      </c>
    </row>
    <row r="1243" spans="1:5" x14ac:dyDescent="0.35">
      <c r="A1243" s="40">
        <v>45364</v>
      </c>
      <c r="B1243" s="38">
        <v>-29.38</v>
      </c>
      <c r="C1243" s="13" t="s">
        <v>4237</v>
      </c>
      <c r="D1243" s="36">
        <v>11606.35</v>
      </c>
      <c r="E1243" s="43" t="s">
        <v>3596</v>
      </c>
    </row>
    <row r="1244" spans="1:5" x14ac:dyDescent="0.35">
      <c r="A1244" s="40">
        <v>45364</v>
      </c>
      <c r="B1244" s="38">
        <v>-40</v>
      </c>
      <c r="C1244" s="13" t="s">
        <v>4238</v>
      </c>
      <c r="D1244" s="36">
        <v>11635.73</v>
      </c>
      <c r="E1244" s="43" t="s">
        <v>3596</v>
      </c>
    </row>
    <row r="1245" spans="1:5" x14ac:dyDescent="0.35">
      <c r="A1245" s="40">
        <v>45363</v>
      </c>
      <c r="B1245" s="38">
        <v>-23.43</v>
      </c>
      <c r="C1245" s="13" t="s">
        <v>3414</v>
      </c>
      <c r="D1245" s="36">
        <v>11675.73</v>
      </c>
      <c r="E1245" s="43" t="s">
        <v>3596</v>
      </c>
    </row>
    <row r="1246" spans="1:5" x14ac:dyDescent="0.35">
      <c r="A1246" s="40">
        <v>45363</v>
      </c>
      <c r="B1246" s="38">
        <v>-1.5</v>
      </c>
      <c r="C1246" s="13" t="s">
        <v>3251</v>
      </c>
      <c r="D1246" s="36">
        <v>11699.16</v>
      </c>
      <c r="E1246" s="43" t="s">
        <v>3596</v>
      </c>
    </row>
    <row r="1247" spans="1:5" x14ac:dyDescent="0.35">
      <c r="A1247" s="40">
        <v>45363</v>
      </c>
      <c r="B1247" s="38">
        <v>-15</v>
      </c>
      <c r="C1247" s="13" t="s">
        <v>3111</v>
      </c>
      <c r="D1247" s="36">
        <v>11700.66</v>
      </c>
      <c r="E1247" s="43" t="s">
        <v>3596</v>
      </c>
    </row>
    <row r="1248" spans="1:5" x14ac:dyDescent="0.35">
      <c r="A1248" s="40">
        <v>45363</v>
      </c>
      <c r="B1248" s="38">
        <v>-39.93</v>
      </c>
      <c r="C1248" s="13" t="s">
        <v>4239</v>
      </c>
      <c r="D1248" s="36">
        <v>11715.66</v>
      </c>
      <c r="E1248" s="43" t="s">
        <v>3596</v>
      </c>
    </row>
    <row r="1249" spans="1:5" x14ac:dyDescent="0.35">
      <c r="A1249" s="40">
        <v>45362</v>
      </c>
      <c r="B1249" s="38">
        <v>-8</v>
      </c>
      <c r="C1249" s="13" t="s">
        <v>3184</v>
      </c>
      <c r="D1249" s="36">
        <v>11755.59</v>
      </c>
      <c r="E1249" s="43" t="s">
        <v>3596</v>
      </c>
    </row>
    <row r="1250" spans="1:5" x14ac:dyDescent="0.35">
      <c r="A1250" s="40">
        <v>45361</v>
      </c>
      <c r="B1250" s="38">
        <v>-13.88</v>
      </c>
      <c r="C1250" s="13" t="s">
        <v>4240</v>
      </c>
      <c r="D1250" s="36">
        <v>11784.59</v>
      </c>
      <c r="E1250" s="43" t="s">
        <v>3596</v>
      </c>
    </row>
    <row r="1251" spans="1:5" x14ac:dyDescent="0.35">
      <c r="A1251" s="40">
        <v>45361</v>
      </c>
      <c r="B1251" s="38">
        <v>-21</v>
      </c>
      <c r="C1251" s="13" t="s">
        <v>4241</v>
      </c>
      <c r="D1251" s="36">
        <v>11763.59</v>
      </c>
      <c r="E1251" s="43" t="s">
        <v>3596</v>
      </c>
    </row>
    <row r="1252" spans="1:5" x14ac:dyDescent="0.35">
      <c r="A1252" s="40">
        <v>45360</v>
      </c>
      <c r="B1252" s="38">
        <v>150</v>
      </c>
      <c r="C1252" s="13" t="s">
        <v>4242</v>
      </c>
      <c r="D1252" s="36">
        <v>11798.47</v>
      </c>
      <c r="E1252" s="43" t="s">
        <v>3596</v>
      </c>
    </row>
    <row r="1253" spans="1:5" x14ac:dyDescent="0.35">
      <c r="A1253" s="40">
        <v>45360</v>
      </c>
      <c r="B1253" s="38">
        <v>-8.4</v>
      </c>
      <c r="C1253" s="13" t="s">
        <v>3184</v>
      </c>
      <c r="D1253" s="36">
        <v>11648.47</v>
      </c>
      <c r="E1253" s="43" t="s">
        <v>3596</v>
      </c>
    </row>
    <row r="1254" spans="1:5" x14ac:dyDescent="0.35">
      <c r="A1254" s="40">
        <v>45359</v>
      </c>
      <c r="B1254" s="38">
        <v>-31.17</v>
      </c>
      <c r="C1254" s="13" t="s">
        <v>2281</v>
      </c>
      <c r="D1254" s="36">
        <v>11656.87</v>
      </c>
      <c r="E1254" s="43" t="s">
        <v>3596</v>
      </c>
    </row>
    <row r="1255" spans="1:5" x14ac:dyDescent="0.35">
      <c r="A1255" s="40">
        <v>45359</v>
      </c>
      <c r="B1255" s="38">
        <v>-17.36</v>
      </c>
      <c r="C1255" s="13" t="s">
        <v>4183</v>
      </c>
      <c r="D1255" s="36">
        <v>11688.04</v>
      </c>
      <c r="E1255" s="43" t="s">
        <v>3596</v>
      </c>
    </row>
    <row r="1256" spans="1:5" x14ac:dyDescent="0.35">
      <c r="A1256" s="40">
        <v>45358</v>
      </c>
      <c r="B1256" s="38">
        <v>-11</v>
      </c>
      <c r="C1256" s="13" t="s">
        <v>2281</v>
      </c>
      <c r="D1256" s="36">
        <v>11705.4</v>
      </c>
      <c r="E1256" s="43" t="s">
        <v>3596</v>
      </c>
    </row>
    <row r="1257" spans="1:5" x14ac:dyDescent="0.35">
      <c r="A1257" s="40">
        <v>45358</v>
      </c>
      <c r="B1257" s="38">
        <v>-2</v>
      </c>
      <c r="C1257" s="13" t="s">
        <v>4243</v>
      </c>
      <c r="D1257" s="36">
        <v>11716.4</v>
      </c>
      <c r="E1257" s="43" t="s">
        <v>3596</v>
      </c>
    </row>
    <row r="1258" spans="1:5" x14ac:dyDescent="0.35">
      <c r="A1258" s="40">
        <v>45357</v>
      </c>
      <c r="B1258" s="38">
        <v>-31.94</v>
      </c>
      <c r="C1258" s="13" t="s">
        <v>4244</v>
      </c>
      <c r="D1258" s="36">
        <v>11718.4</v>
      </c>
      <c r="E1258" s="43" t="s">
        <v>3596</v>
      </c>
    </row>
    <row r="1259" spans="1:5" x14ac:dyDescent="0.35">
      <c r="A1259" s="40">
        <v>45356</v>
      </c>
      <c r="B1259" s="38">
        <v>-10.66</v>
      </c>
      <c r="C1259" s="13" t="s">
        <v>4245</v>
      </c>
      <c r="D1259" s="36">
        <v>11750.34</v>
      </c>
      <c r="E1259" s="43" t="s">
        <v>3596</v>
      </c>
    </row>
    <row r="1260" spans="1:5" x14ac:dyDescent="0.35">
      <c r="A1260" s="40">
        <v>45356</v>
      </c>
      <c r="B1260" s="38">
        <v>-19.87</v>
      </c>
      <c r="C1260" s="13" t="s">
        <v>4246</v>
      </c>
      <c r="D1260" s="36">
        <v>11761</v>
      </c>
      <c r="E1260" s="43" t="s">
        <v>3596</v>
      </c>
    </row>
    <row r="1261" spans="1:5" x14ac:dyDescent="0.35">
      <c r="A1261" s="40">
        <v>45356</v>
      </c>
      <c r="B1261" s="38">
        <v>-27.93</v>
      </c>
      <c r="C1261" s="13" t="s">
        <v>4247</v>
      </c>
      <c r="D1261" s="36">
        <v>11780.87</v>
      </c>
      <c r="E1261" s="43" t="s">
        <v>3596</v>
      </c>
    </row>
    <row r="1262" spans="1:5" x14ac:dyDescent="0.35">
      <c r="A1262" s="40">
        <v>45356</v>
      </c>
      <c r="B1262" s="38">
        <v>-25.89</v>
      </c>
      <c r="C1262" s="13" t="s">
        <v>4248</v>
      </c>
      <c r="D1262" s="36">
        <v>11808.8</v>
      </c>
      <c r="E1262" s="43" t="s">
        <v>3596</v>
      </c>
    </row>
    <row r="1263" spans="1:5" x14ac:dyDescent="0.35">
      <c r="A1263" s="40">
        <v>45355</v>
      </c>
      <c r="B1263" s="38">
        <v>-26.54</v>
      </c>
      <c r="C1263" s="13" t="s">
        <v>4183</v>
      </c>
      <c r="D1263" s="36">
        <v>11834.69</v>
      </c>
      <c r="E1263" s="43" t="s">
        <v>3596</v>
      </c>
    </row>
    <row r="1264" spans="1:5" x14ac:dyDescent="0.35">
      <c r="A1264" s="40">
        <v>45354</v>
      </c>
      <c r="B1264" s="38">
        <v>-27.04</v>
      </c>
      <c r="C1264" s="13" t="s">
        <v>2281</v>
      </c>
      <c r="D1264" s="36">
        <v>11861.23</v>
      </c>
      <c r="E1264" s="43" t="s">
        <v>3596</v>
      </c>
    </row>
    <row r="1265" spans="1:5" x14ac:dyDescent="0.35">
      <c r="A1265" s="40">
        <v>45354</v>
      </c>
      <c r="B1265" s="38">
        <v>10000</v>
      </c>
      <c r="C1265" s="13" t="s">
        <v>4249</v>
      </c>
      <c r="D1265" s="36">
        <v>11888.27</v>
      </c>
      <c r="E1265" s="43" t="s">
        <v>3596</v>
      </c>
    </row>
    <row r="1266" spans="1:5" x14ac:dyDescent="0.35">
      <c r="A1266" s="40">
        <v>45352</v>
      </c>
      <c r="B1266" s="38">
        <v>-11.42</v>
      </c>
      <c r="C1266" s="13" t="s">
        <v>3582</v>
      </c>
      <c r="D1266" s="36">
        <v>1888.27</v>
      </c>
      <c r="E1266" s="43" t="s">
        <v>3596</v>
      </c>
    </row>
    <row r="1267" spans="1:5" x14ac:dyDescent="0.35">
      <c r="A1267" s="40">
        <v>45352</v>
      </c>
      <c r="B1267" s="38">
        <v>-195.05</v>
      </c>
      <c r="C1267" s="13" t="s">
        <v>4250</v>
      </c>
      <c r="D1267" s="36">
        <v>1899.69</v>
      </c>
      <c r="E1267" s="43" t="s">
        <v>3596</v>
      </c>
    </row>
    <row r="1268" spans="1:5" x14ac:dyDescent="0.35">
      <c r="A1268" s="40">
        <v>45352</v>
      </c>
      <c r="B1268" s="38">
        <v>-18.5</v>
      </c>
      <c r="C1268" s="13" t="s">
        <v>4251</v>
      </c>
      <c r="D1268" s="36">
        <v>2094.7399999999998</v>
      </c>
      <c r="E1268" s="43" t="s">
        <v>3596</v>
      </c>
    </row>
    <row r="1269" spans="1:5" x14ac:dyDescent="0.35">
      <c r="A1269" s="40">
        <v>45352</v>
      </c>
      <c r="B1269" s="38">
        <v>-11.75</v>
      </c>
      <c r="C1269" s="13" t="s">
        <v>4252</v>
      </c>
      <c r="D1269" s="36">
        <v>2113.2399999999998</v>
      </c>
      <c r="E1269" s="43" t="s">
        <v>3596</v>
      </c>
    </row>
    <row r="1270" spans="1:5" x14ac:dyDescent="0.35">
      <c r="A1270" s="40">
        <v>45352</v>
      </c>
      <c r="B1270" s="38">
        <v>84.34</v>
      </c>
      <c r="C1270" s="13" t="s">
        <v>3598</v>
      </c>
      <c r="D1270" s="36">
        <v>44945.41</v>
      </c>
      <c r="E1270" s="43" t="s">
        <v>3604</v>
      </c>
    </row>
    <row r="1271" spans="1:5" x14ac:dyDescent="0.35">
      <c r="A1271" s="40">
        <v>45351</v>
      </c>
      <c r="B1271" s="38">
        <v>-11.35</v>
      </c>
      <c r="C1271" s="13" t="s">
        <v>3406</v>
      </c>
      <c r="D1271" s="36">
        <v>2124.9899999999998</v>
      </c>
      <c r="E1271" s="43" t="s">
        <v>3596</v>
      </c>
    </row>
    <row r="1272" spans="1:5" x14ac:dyDescent="0.35">
      <c r="A1272" s="40">
        <v>45351</v>
      </c>
      <c r="B1272" s="38">
        <v>2348.84</v>
      </c>
      <c r="C1272" s="13" t="s">
        <v>4253</v>
      </c>
      <c r="D1272" s="36">
        <v>2636.34</v>
      </c>
      <c r="E1272" s="43" t="s">
        <v>3596</v>
      </c>
    </row>
    <row r="1273" spans="1:5" x14ac:dyDescent="0.35">
      <c r="A1273" s="40">
        <v>45351</v>
      </c>
      <c r="B1273" s="38">
        <v>-500</v>
      </c>
      <c r="C1273" s="13" t="s">
        <v>4179</v>
      </c>
      <c r="D1273" s="36">
        <v>2136.34</v>
      </c>
      <c r="E1273" s="43" t="s">
        <v>3596</v>
      </c>
    </row>
    <row r="1274" spans="1:5" x14ac:dyDescent="0.35">
      <c r="A1274" s="40">
        <v>45350</v>
      </c>
      <c r="B1274" s="38">
        <v>-20</v>
      </c>
      <c r="C1274" s="13" t="s">
        <v>3334</v>
      </c>
      <c r="D1274" s="36">
        <v>287.5</v>
      </c>
      <c r="E1274" s="43" t="s">
        <v>3596</v>
      </c>
    </row>
    <row r="1275" spans="1:5" x14ac:dyDescent="0.35">
      <c r="A1275" s="40">
        <v>45350</v>
      </c>
      <c r="B1275" s="38">
        <v>-1542.5</v>
      </c>
      <c r="C1275" s="13" t="s">
        <v>4254</v>
      </c>
      <c r="D1275" s="36">
        <v>307.5</v>
      </c>
      <c r="E1275" s="43" t="s">
        <v>3596</v>
      </c>
    </row>
    <row r="1276" spans="1:5" x14ac:dyDescent="0.35">
      <c r="A1276" s="40">
        <v>45349</v>
      </c>
      <c r="B1276" s="38">
        <v>-13.19</v>
      </c>
      <c r="C1276" s="13" t="s">
        <v>3414</v>
      </c>
      <c r="D1276" s="36">
        <v>1850</v>
      </c>
      <c r="E1276" s="43" t="s">
        <v>3596</v>
      </c>
    </row>
    <row r="1277" spans="1:5" x14ac:dyDescent="0.35">
      <c r="A1277" s="40">
        <v>45349</v>
      </c>
      <c r="B1277" s="38">
        <v>-25.44</v>
      </c>
      <c r="C1277" s="13" t="s">
        <v>4183</v>
      </c>
      <c r="D1277" s="36">
        <v>1863.19</v>
      </c>
      <c r="E1277" s="43" t="s">
        <v>3596</v>
      </c>
    </row>
    <row r="1278" spans="1:5" x14ac:dyDescent="0.35">
      <c r="A1278" s="40">
        <v>45349</v>
      </c>
      <c r="B1278" s="38">
        <v>150</v>
      </c>
      <c r="C1278" s="13" t="s">
        <v>4255</v>
      </c>
      <c r="D1278" s="36">
        <v>1888.63</v>
      </c>
      <c r="E1278" s="43" t="s">
        <v>3596</v>
      </c>
    </row>
    <row r="1279" spans="1:5" x14ac:dyDescent="0.35">
      <c r="A1279" s="40">
        <v>45349</v>
      </c>
      <c r="B1279" s="38">
        <v>-26.06</v>
      </c>
      <c r="C1279" s="13" t="s">
        <v>4256</v>
      </c>
      <c r="D1279" s="36">
        <v>1738.63</v>
      </c>
      <c r="E1279" s="43" t="s">
        <v>3596</v>
      </c>
    </row>
    <row r="1280" spans="1:5" x14ac:dyDescent="0.35">
      <c r="A1280" s="40">
        <v>45349</v>
      </c>
      <c r="B1280" s="38">
        <v>-34.36</v>
      </c>
      <c r="C1280" s="13" t="s">
        <v>4257</v>
      </c>
      <c r="D1280" s="36">
        <v>1764.69</v>
      </c>
      <c r="E1280" s="43" t="s">
        <v>3596</v>
      </c>
    </row>
    <row r="1281" spans="1:5" x14ac:dyDescent="0.35">
      <c r="A1281" s="40">
        <v>45348</v>
      </c>
      <c r="B1281" s="38">
        <v>-16</v>
      </c>
      <c r="C1281" s="13" t="s">
        <v>3334</v>
      </c>
      <c r="D1281" s="36">
        <v>1799.05</v>
      </c>
      <c r="E1281" s="43" t="s">
        <v>3596</v>
      </c>
    </row>
    <row r="1282" spans="1:5" x14ac:dyDescent="0.35">
      <c r="A1282" s="40">
        <v>45346</v>
      </c>
      <c r="B1282" s="38">
        <v>-18.75</v>
      </c>
      <c r="C1282" s="13" t="s">
        <v>4258</v>
      </c>
      <c r="D1282" s="36">
        <v>1815.05</v>
      </c>
      <c r="E1282" s="43" t="s">
        <v>3596</v>
      </c>
    </row>
    <row r="1283" spans="1:5" x14ac:dyDescent="0.35">
      <c r="A1283" s="40">
        <v>45346</v>
      </c>
      <c r="B1283" s="38">
        <v>-29.99</v>
      </c>
      <c r="C1283" s="13" t="s">
        <v>4259</v>
      </c>
      <c r="D1283" s="36">
        <v>1833.8</v>
      </c>
      <c r="E1283" s="43" t="s">
        <v>3596</v>
      </c>
    </row>
    <row r="1284" spans="1:5" x14ac:dyDescent="0.35">
      <c r="A1284" s="40">
        <v>45345</v>
      </c>
      <c r="B1284" s="38">
        <v>-29</v>
      </c>
      <c r="C1284" s="13" t="s">
        <v>4260</v>
      </c>
      <c r="D1284" s="36">
        <v>1863.79</v>
      </c>
      <c r="E1284" s="43" t="s">
        <v>3596</v>
      </c>
    </row>
    <row r="1285" spans="1:5" x14ac:dyDescent="0.35">
      <c r="A1285" s="40">
        <v>45345</v>
      </c>
      <c r="B1285" s="38">
        <v>-29</v>
      </c>
      <c r="C1285" s="13" t="s">
        <v>4261</v>
      </c>
      <c r="D1285" s="36">
        <v>1892.79</v>
      </c>
      <c r="E1285" s="43" t="s">
        <v>3596</v>
      </c>
    </row>
    <row r="1286" spans="1:5" x14ac:dyDescent="0.35">
      <c r="A1286" s="40">
        <v>45345</v>
      </c>
      <c r="B1286" s="38">
        <v>-29.99</v>
      </c>
      <c r="C1286" s="13" t="s">
        <v>4259</v>
      </c>
      <c r="D1286" s="36">
        <v>1921.79</v>
      </c>
      <c r="E1286" s="43" t="s">
        <v>3596</v>
      </c>
    </row>
    <row r="1287" spans="1:5" x14ac:dyDescent="0.35">
      <c r="A1287" s="40">
        <v>45344</v>
      </c>
      <c r="B1287" s="38">
        <v>-17.2</v>
      </c>
      <c r="C1287" s="13" t="s">
        <v>4262</v>
      </c>
      <c r="D1287" s="36">
        <v>1994.78</v>
      </c>
      <c r="E1287" s="43" t="s">
        <v>3596</v>
      </c>
    </row>
    <row r="1288" spans="1:5" x14ac:dyDescent="0.35">
      <c r="A1288" s="40">
        <v>45344</v>
      </c>
      <c r="B1288" s="38">
        <v>-3.85</v>
      </c>
      <c r="C1288" s="13" t="s">
        <v>4263</v>
      </c>
      <c r="D1288" s="36">
        <v>2011.98</v>
      </c>
      <c r="E1288" s="43" t="s">
        <v>3596</v>
      </c>
    </row>
    <row r="1289" spans="1:5" x14ac:dyDescent="0.35">
      <c r="A1289" s="40">
        <v>45344</v>
      </c>
      <c r="B1289" s="38">
        <v>-43</v>
      </c>
      <c r="C1289" s="13" t="s">
        <v>3415</v>
      </c>
      <c r="D1289" s="36">
        <v>1951.78</v>
      </c>
      <c r="E1289" s="43" t="s">
        <v>3596</v>
      </c>
    </row>
    <row r="1290" spans="1:5" x14ac:dyDescent="0.35">
      <c r="A1290" s="40">
        <v>45343</v>
      </c>
      <c r="B1290" s="38">
        <v>-3.75</v>
      </c>
      <c r="C1290" s="13" t="s">
        <v>4264</v>
      </c>
      <c r="D1290" s="36">
        <v>2015.83</v>
      </c>
      <c r="E1290" s="43" t="s">
        <v>3596</v>
      </c>
    </row>
    <row r="1291" spans="1:5" x14ac:dyDescent="0.35">
      <c r="A1291" s="40">
        <v>45343</v>
      </c>
      <c r="B1291" s="38">
        <v>-16</v>
      </c>
      <c r="C1291" s="13" t="s">
        <v>3334</v>
      </c>
      <c r="D1291" s="36">
        <v>2019.58</v>
      </c>
      <c r="E1291" s="43" t="s">
        <v>3596</v>
      </c>
    </row>
    <row r="1292" spans="1:5" x14ac:dyDescent="0.35">
      <c r="A1292" s="40">
        <v>45343</v>
      </c>
      <c r="B1292" s="38">
        <v>-101.61</v>
      </c>
      <c r="C1292" s="13" t="s">
        <v>4265</v>
      </c>
      <c r="D1292" s="36">
        <v>2035.58</v>
      </c>
      <c r="E1292" s="43" t="s">
        <v>3596</v>
      </c>
    </row>
    <row r="1293" spans="1:5" x14ac:dyDescent="0.35">
      <c r="A1293" s="40">
        <v>45343</v>
      </c>
      <c r="B1293" s="38">
        <v>-40</v>
      </c>
      <c r="C1293" s="13" t="s">
        <v>4266</v>
      </c>
      <c r="D1293" s="36">
        <v>2137.19</v>
      </c>
      <c r="E1293" s="43" t="s">
        <v>3596</v>
      </c>
    </row>
    <row r="1294" spans="1:5" x14ac:dyDescent="0.35">
      <c r="A1294" s="40">
        <v>45341</v>
      </c>
      <c r="B1294" s="38">
        <v>300</v>
      </c>
      <c r="C1294" s="13" t="s">
        <v>4267</v>
      </c>
      <c r="D1294" s="36">
        <v>2177.19</v>
      </c>
      <c r="E1294" s="43" t="s">
        <v>3596</v>
      </c>
    </row>
    <row r="1295" spans="1:5" x14ac:dyDescent="0.35">
      <c r="A1295" s="40">
        <v>45341</v>
      </c>
      <c r="B1295" s="38">
        <v>-3.2</v>
      </c>
      <c r="C1295" s="13" t="s">
        <v>3184</v>
      </c>
      <c r="D1295" s="36">
        <v>1877.19</v>
      </c>
      <c r="E1295" s="43" t="s">
        <v>3596</v>
      </c>
    </row>
    <row r="1296" spans="1:5" x14ac:dyDescent="0.35">
      <c r="A1296" s="40">
        <v>45341</v>
      </c>
      <c r="B1296" s="38">
        <v>-15</v>
      </c>
      <c r="C1296" s="13" t="s">
        <v>3111</v>
      </c>
      <c r="D1296" s="36">
        <v>1880.39</v>
      </c>
      <c r="E1296" s="43" t="s">
        <v>3596</v>
      </c>
    </row>
    <row r="1297" spans="1:5" x14ac:dyDescent="0.35">
      <c r="A1297" s="40">
        <v>45340</v>
      </c>
      <c r="B1297" s="38">
        <v>-34.880000000000003</v>
      </c>
      <c r="C1297" s="13" t="s">
        <v>3801</v>
      </c>
      <c r="D1297" s="36">
        <v>1895.39</v>
      </c>
      <c r="E1297" s="43" t="s">
        <v>3596</v>
      </c>
    </row>
    <row r="1298" spans="1:5" x14ac:dyDescent="0.35">
      <c r="A1298" s="40">
        <v>45340</v>
      </c>
      <c r="B1298" s="38">
        <v>-13.88</v>
      </c>
      <c r="C1298" s="13" t="s">
        <v>4240</v>
      </c>
      <c r="D1298" s="36">
        <v>1930.27</v>
      </c>
      <c r="E1298" s="43" t="s">
        <v>3596</v>
      </c>
    </row>
    <row r="1299" spans="1:5" x14ac:dyDescent="0.35">
      <c r="A1299" s="40">
        <v>45339</v>
      </c>
      <c r="B1299" s="38">
        <v>-39</v>
      </c>
      <c r="C1299" s="13" t="s">
        <v>4268</v>
      </c>
      <c r="D1299" s="36">
        <v>1944.15</v>
      </c>
      <c r="E1299" s="43" t="s">
        <v>3596</v>
      </c>
    </row>
    <row r="1300" spans="1:5" x14ac:dyDescent="0.35">
      <c r="A1300" s="40">
        <v>45339</v>
      </c>
      <c r="B1300" s="38">
        <v>-29</v>
      </c>
      <c r="C1300" s="13" t="s">
        <v>4269</v>
      </c>
      <c r="D1300" s="36">
        <v>1983.15</v>
      </c>
      <c r="E1300" s="43" t="s">
        <v>3596</v>
      </c>
    </row>
    <row r="1301" spans="1:5" x14ac:dyDescent="0.35">
      <c r="A1301" s="40">
        <v>45338</v>
      </c>
      <c r="B1301" s="38">
        <v>-29</v>
      </c>
      <c r="C1301" s="13" t="s">
        <v>4270</v>
      </c>
      <c r="D1301" s="36">
        <v>2012.15</v>
      </c>
      <c r="E1301" s="43" t="s">
        <v>3596</v>
      </c>
    </row>
    <row r="1302" spans="1:5" x14ac:dyDescent="0.35">
      <c r="A1302" s="40">
        <v>45338</v>
      </c>
      <c r="B1302" s="38">
        <v>-69</v>
      </c>
      <c r="C1302" s="13" t="s">
        <v>4271</v>
      </c>
      <c r="D1302" s="36">
        <v>2041.15</v>
      </c>
      <c r="E1302" s="43" t="s">
        <v>3596</v>
      </c>
    </row>
    <row r="1303" spans="1:5" x14ac:dyDescent="0.35">
      <c r="A1303" s="40">
        <v>45337</v>
      </c>
      <c r="B1303" s="38">
        <v>-11.35</v>
      </c>
      <c r="C1303" s="13" t="s">
        <v>3406</v>
      </c>
      <c r="D1303" s="36">
        <v>2110.15</v>
      </c>
      <c r="E1303" s="43" t="s">
        <v>3596</v>
      </c>
    </row>
    <row r="1304" spans="1:5" x14ac:dyDescent="0.35">
      <c r="A1304" s="40">
        <v>45337</v>
      </c>
      <c r="B1304" s="38">
        <v>-10.130000000000001</v>
      </c>
      <c r="C1304" s="13" t="s">
        <v>4183</v>
      </c>
      <c r="D1304" s="36">
        <v>2121.5</v>
      </c>
      <c r="E1304" s="43" t="s">
        <v>3596</v>
      </c>
    </row>
    <row r="1305" spans="1:5" x14ac:dyDescent="0.35">
      <c r="A1305" s="40">
        <v>45337</v>
      </c>
      <c r="B1305" s="38">
        <v>2348.84</v>
      </c>
      <c r="C1305" s="13" t="s">
        <v>4272</v>
      </c>
      <c r="D1305" s="36">
        <v>2631.63</v>
      </c>
      <c r="E1305" s="43" t="s">
        <v>3596</v>
      </c>
    </row>
    <row r="1306" spans="1:5" x14ac:dyDescent="0.35">
      <c r="A1306" s="40">
        <v>45337</v>
      </c>
      <c r="B1306" s="38">
        <v>-500</v>
      </c>
      <c r="C1306" s="13" t="s">
        <v>4179</v>
      </c>
      <c r="D1306" s="36">
        <v>2131.63</v>
      </c>
      <c r="E1306" s="43" t="s">
        <v>3596</v>
      </c>
    </row>
    <row r="1307" spans="1:5" x14ac:dyDescent="0.35">
      <c r="A1307" s="40">
        <v>45336</v>
      </c>
      <c r="B1307" s="38">
        <v>-91.81</v>
      </c>
      <c r="C1307" s="13" t="s">
        <v>2281</v>
      </c>
      <c r="D1307" s="36">
        <v>582.79</v>
      </c>
      <c r="E1307" s="43" t="s">
        <v>3596</v>
      </c>
    </row>
    <row r="1308" spans="1:5" x14ac:dyDescent="0.35">
      <c r="A1308" s="40">
        <v>45336</v>
      </c>
      <c r="B1308" s="38">
        <v>-15</v>
      </c>
      <c r="C1308" s="13" t="s">
        <v>3111</v>
      </c>
      <c r="D1308" s="36">
        <v>674.6</v>
      </c>
      <c r="E1308" s="43" t="s">
        <v>3596</v>
      </c>
    </row>
    <row r="1309" spans="1:5" x14ac:dyDescent="0.35">
      <c r="A1309" s="40">
        <v>45336</v>
      </c>
      <c r="B1309" s="38">
        <v>-41.19</v>
      </c>
      <c r="C1309" s="13" t="s">
        <v>4273</v>
      </c>
      <c r="D1309" s="36">
        <v>689.6</v>
      </c>
      <c r="E1309" s="43" t="s">
        <v>3596</v>
      </c>
    </row>
    <row r="1310" spans="1:5" x14ac:dyDescent="0.35">
      <c r="A1310" s="40">
        <v>45336</v>
      </c>
      <c r="B1310" s="38">
        <v>-27.11</v>
      </c>
      <c r="C1310" s="13" t="s">
        <v>4274</v>
      </c>
      <c r="D1310" s="36">
        <v>730.79</v>
      </c>
      <c r="E1310" s="43" t="s">
        <v>3596</v>
      </c>
    </row>
    <row r="1311" spans="1:5" x14ac:dyDescent="0.35">
      <c r="A1311" s="40">
        <v>45336</v>
      </c>
      <c r="B1311" s="38">
        <v>-300</v>
      </c>
      <c r="C1311" s="13" t="s">
        <v>4275</v>
      </c>
      <c r="D1311" s="36">
        <v>282.79000000000002</v>
      </c>
      <c r="E1311" s="43" t="s">
        <v>3596</v>
      </c>
    </row>
    <row r="1312" spans="1:5" x14ac:dyDescent="0.35">
      <c r="A1312" s="40">
        <v>45335</v>
      </c>
      <c r="B1312" s="38">
        <v>-16</v>
      </c>
      <c r="C1312" s="13" t="s">
        <v>3334</v>
      </c>
      <c r="D1312" s="36">
        <v>757.9</v>
      </c>
      <c r="E1312" s="43" t="s">
        <v>3596</v>
      </c>
    </row>
    <row r="1313" spans="1:5" x14ac:dyDescent="0.35">
      <c r="A1313" s="40">
        <v>45335</v>
      </c>
      <c r="B1313" s="38">
        <v>-50</v>
      </c>
      <c r="C1313" s="13" t="s">
        <v>4276</v>
      </c>
      <c r="D1313" s="36">
        <v>773.9</v>
      </c>
      <c r="E1313" s="43" t="s">
        <v>3596</v>
      </c>
    </row>
    <row r="1314" spans="1:5" x14ac:dyDescent="0.35">
      <c r="A1314" s="40">
        <v>45335</v>
      </c>
      <c r="B1314" s="38">
        <v>-1.02</v>
      </c>
      <c r="C1314" s="13" t="s">
        <v>4277</v>
      </c>
      <c r="D1314" s="36">
        <v>823.9</v>
      </c>
      <c r="E1314" s="43" t="s">
        <v>3596</v>
      </c>
    </row>
    <row r="1315" spans="1:5" x14ac:dyDescent="0.35">
      <c r="A1315" s="40">
        <v>45335</v>
      </c>
      <c r="B1315" s="38">
        <v>-33.93</v>
      </c>
      <c r="C1315" s="13" t="s">
        <v>4278</v>
      </c>
      <c r="D1315" s="36">
        <v>824.92</v>
      </c>
      <c r="E1315" s="43" t="s">
        <v>3596</v>
      </c>
    </row>
    <row r="1316" spans="1:5" x14ac:dyDescent="0.35">
      <c r="A1316" s="40">
        <v>45335</v>
      </c>
      <c r="B1316" s="38">
        <v>-34.36</v>
      </c>
      <c r="C1316" s="13" t="s">
        <v>4279</v>
      </c>
      <c r="D1316" s="36">
        <v>858.85</v>
      </c>
      <c r="E1316" s="43" t="s">
        <v>3596</v>
      </c>
    </row>
    <row r="1317" spans="1:5" x14ac:dyDescent="0.35">
      <c r="A1317" s="40">
        <v>45335</v>
      </c>
      <c r="B1317" s="38">
        <v>-10.039999999999999</v>
      </c>
      <c r="C1317" s="13" t="s">
        <v>4280</v>
      </c>
      <c r="D1317" s="36">
        <v>893.21</v>
      </c>
      <c r="E1317" s="43" t="s">
        <v>3596</v>
      </c>
    </row>
    <row r="1318" spans="1:5" x14ac:dyDescent="0.35">
      <c r="A1318" s="40">
        <v>45335</v>
      </c>
      <c r="B1318" s="38">
        <v>-40</v>
      </c>
      <c r="C1318" s="13" t="s">
        <v>4281</v>
      </c>
      <c r="D1318" s="36">
        <v>903.25</v>
      </c>
      <c r="E1318" s="43" t="s">
        <v>3596</v>
      </c>
    </row>
    <row r="1319" spans="1:5" x14ac:dyDescent="0.35">
      <c r="A1319" s="40">
        <v>45334</v>
      </c>
      <c r="B1319" s="38">
        <v>-16.5</v>
      </c>
      <c r="C1319" s="13" t="s">
        <v>3334</v>
      </c>
      <c r="D1319" s="36">
        <v>943.25</v>
      </c>
      <c r="E1319" s="43" t="s">
        <v>3596</v>
      </c>
    </row>
    <row r="1320" spans="1:5" x14ac:dyDescent="0.35">
      <c r="A1320" s="40">
        <v>45333</v>
      </c>
      <c r="B1320" s="38">
        <v>800</v>
      </c>
      <c r="C1320" s="13" t="s">
        <v>1521</v>
      </c>
      <c r="D1320" s="36">
        <v>959.75</v>
      </c>
      <c r="E1320" s="43" t="s">
        <v>3596</v>
      </c>
    </row>
    <row r="1321" spans="1:5" x14ac:dyDescent="0.35">
      <c r="A1321" s="40">
        <v>45333</v>
      </c>
      <c r="B1321" s="38">
        <v>-3.5</v>
      </c>
      <c r="C1321" s="13" t="s">
        <v>4282</v>
      </c>
      <c r="D1321" s="36">
        <v>159.75</v>
      </c>
      <c r="E1321" s="43" t="s">
        <v>3596</v>
      </c>
    </row>
    <row r="1322" spans="1:5" x14ac:dyDescent="0.35">
      <c r="A1322" s="40">
        <v>45333</v>
      </c>
      <c r="B1322" s="38">
        <v>-13.88</v>
      </c>
      <c r="C1322" s="13" t="s">
        <v>4240</v>
      </c>
      <c r="D1322" s="36">
        <v>163.25</v>
      </c>
      <c r="E1322" s="43" t="s">
        <v>3596</v>
      </c>
    </row>
    <row r="1323" spans="1:5" x14ac:dyDescent="0.35">
      <c r="A1323" s="40">
        <v>45333</v>
      </c>
      <c r="B1323" s="38">
        <v>100</v>
      </c>
      <c r="C1323" s="13" t="s">
        <v>1521</v>
      </c>
      <c r="D1323" s="36">
        <v>177.13</v>
      </c>
      <c r="E1323" s="43" t="s">
        <v>3596</v>
      </c>
    </row>
    <row r="1324" spans="1:5" x14ac:dyDescent="0.35">
      <c r="A1324" s="40">
        <v>45333</v>
      </c>
      <c r="B1324" s="38">
        <v>-800</v>
      </c>
      <c r="C1324" s="13" t="s">
        <v>3597</v>
      </c>
      <c r="D1324" s="36">
        <v>44861.07</v>
      </c>
      <c r="E1324" s="43" t="s">
        <v>3604</v>
      </c>
    </row>
    <row r="1325" spans="1:5" x14ac:dyDescent="0.35">
      <c r="A1325" s="40">
        <v>45333</v>
      </c>
      <c r="B1325" s="38">
        <v>-100</v>
      </c>
      <c r="C1325" s="13" t="s">
        <v>3597</v>
      </c>
      <c r="D1325" s="36">
        <v>45661.07</v>
      </c>
      <c r="E1325" s="43" t="s">
        <v>3604</v>
      </c>
    </row>
    <row r="1326" spans="1:5" x14ac:dyDescent="0.35">
      <c r="A1326" s="40">
        <v>45332</v>
      </c>
      <c r="B1326" s="38">
        <v>-6.09</v>
      </c>
      <c r="C1326" s="13" t="s">
        <v>4283</v>
      </c>
      <c r="D1326" s="36">
        <v>132.13</v>
      </c>
      <c r="E1326" s="43" t="s">
        <v>3596</v>
      </c>
    </row>
    <row r="1327" spans="1:5" x14ac:dyDescent="0.35">
      <c r="A1327" s="40">
        <v>45332</v>
      </c>
      <c r="B1327" s="38">
        <v>-29</v>
      </c>
      <c r="C1327" s="13" t="s">
        <v>4284</v>
      </c>
      <c r="D1327" s="36">
        <v>138.22</v>
      </c>
      <c r="E1327" s="43" t="s">
        <v>3596</v>
      </c>
    </row>
    <row r="1328" spans="1:5" x14ac:dyDescent="0.35">
      <c r="A1328" s="40">
        <v>45332</v>
      </c>
      <c r="B1328" s="38">
        <v>-44.48</v>
      </c>
      <c r="C1328" s="13" t="s">
        <v>4285</v>
      </c>
      <c r="D1328" s="36">
        <v>167.22</v>
      </c>
      <c r="E1328" s="43" t="s">
        <v>3596</v>
      </c>
    </row>
    <row r="1329" spans="1:5" x14ac:dyDescent="0.35">
      <c r="A1329" s="40">
        <v>45332</v>
      </c>
      <c r="B1329" s="38">
        <v>-55</v>
      </c>
      <c r="C1329" s="13" t="s">
        <v>4286</v>
      </c>
      <c r="D1329" s="36">
        <v>77.13</v>
      </c>
      <c r="E1329" s="43" t="s">
        <v>3596</v>
      </c>
    </row>
    <row r="1330" spans="1:5" x14ac:dyDescent="0.35">
      <c r="A1330" s="40">
        <v>45331</v>
      </c>
      <c r="B1330" s="38">
        <v>99.5</v>
      </c>
      <c r="C1330" s="13" t="s">
        <v>4287</v>
      </c>
      <c r="D1330" s="36">
        <v>211.7</v>
      </c>
      <c r="E1330" s="43" t="s">
        <v>3596</v>
      </c>
    </row>
    <row r="1331" spans="1:5" x14ac:dyDescent="0.35">
      <c r="A1331" s="40">
        <v>45330</v>
      </c>
      <c r="B1331" s="38">
        <v>-99.5</v>
      </c>
      <c r="C1331" s="13" t="s">
        <v>4288</v>
      </c>
      <c r="D1331" s="36">
        <v>112.2</v>
      </c>
      <c r="E1331" s="43" t="s">
        <v>3596</v>
      </c>
    </row>
    <row r="1332" spans="1:5" x14ac:dyDescent="0.35">
      <c r="A1332" s="40">
        <v>45329</v>
      </c>
      <c r="B1332" s="38">
        <v>-60</v>
      </c>
      <c r="C1332" s="13" t="s">
        <v>4289</v>
      </c>
      <c r="D1332" s="36">
        <v>211.7</v>
      </c>
      <c r="E1332" s="43" t="s">
        <v>3596</v>
      </c>
    </row>
    <row r="1333" spans="1:5" x14ac:dyDescent="0.35">
      <c r="A1333" s="40">
        <v>45329</v>
      </c>
      <c r="B1333" s="38">
        <v>-14.99</v>
      </c>
      <c r="C1333" s="13" t="s">
        <v>4290</v>
      </c>
      <c r="D1333" s="36">
        <v>271.7</v>
      </c>
      <c r="E1333" s="43" t="s">
        <v>3596</v>
      </c>
    </row>
    <row r="1334" spans="1:5" x14ac:dyDescent="0.35">
      <c r="A1334" s="40">
        <v>45329</v>
      </c>
      <c r="B1334" s="38">
        <v>-1302.76</v>
      </c>
      <c r="C1334" s="13" t="s">
        <v>4291</v>
      </c>
      <c r="D1334" s="36">
        <v>286.69</v>
      </c>
      <c r="E1334" s="43" t="s">
        <v>3596</v>
      </c>
    </row>
    <row r="1335" spans="1:5" x14ac:dyDescent="0.35">
      <c r="A1335" s="40">
        <v>45328</v>
      </c>
      <c r="B1335" s="38">
        <v>-3.75</v>
      </c>
      <c r="C1335" s="13" t="s">
        <v>4264</v>
      </c>
      <c r="D1335" s="36">
        <v>1589.45</v>
      </c>
      <c r="E1335" s="43" t="s">
        <v>3596</v>
      </c>
    </row>
    <row r="1336" spans="1:5" x14ac:dyDescent="0.35">
      <c r="A1336" s="40">
        <v>45328</v>
      </c>
      <c r="B1336" s="38">
        <v>-16.5</v>
      </c>
      <c r="C1336" s="13" t="s">
        <v>3334</v>
      </c>
      <c r="D1336" s="36">
        <v>1593.2</v>
      </c>
      <c r="E1336" s="43" t="s">
        <v>3596</v>
      </c>
    </row>
    <row r="1337" spans="1:5" x14ac:dyDescent="0.35">
      <c r="A1337" s="40">
        <v>45328</v>
      </c>
      <c r="B1337" s="38">
        <v>-29</v>
      </c>
      <c r="C1337" s="13" t="s">
        <v>4292</v>
      </c>
      <c r="D1337" s="36">
        <v>1609.7</v>
      </c>
      <c r="E1337" s="43" t="s">
        <v>3596</v>
      </c>
    </row>
    <row r="1338" spans="1:5" x14ac:dyDescent="0.35">
      <c r="A1338" s="40">
        <v>45328</v>
      </c>
      <c r="B1338" s="38">
        <v>-19</v>
      </c>
      <c r="C1338" s="13" t="s">
        <v>4293</v>
      </c>
      <c r="D1338" s="36">
        <v>1638.7</v>
      </c>
      <c r="E1338" s="43" t="s">
        <v>3596</v>
      </c>
    </row>
    <row r="1339" spans="1:5" x14ac:dyDescent="0.35">
      <c r="A1339" s="40">
        <v>45327</v>
      </c>
      <c r="B1339" s="38">
        <v>-30.13</v>
      </c>
      <c r="C1339" s="13" t="s">
        <v>3414</v>
      </c>
      <c r="D1339" s="36">
        <v>1657.7</v>
      </c>
      <c r="E1339" s="43" t="s">
        <v>3596</v>
      </c>
    </row>
    <row r="1340" spans="1:5" x14ac:dyDescent="0.35">
      <c r="A1340" s="40">
        <v>45327</v>
      </c>
      <c r="B1340" s="38">
        <v>-20</v>
      </c>
      <c r="C1340" s="13" t="s">
        <v>3334</v>
      </c>
      <c r="D1340" s="36">
        <v>1687.83</v>
      </c>
      <c r="E1340" s="43" t="s">
        <v>3596</v>
      </c>
    </row>
    <row r="1341" spans="1:5" x14ac:dyDescent="0.35">
      <c r="A1341" s="40">
        <v>45324</v>
      </c>
      <c r="B1341" s="38">
        <v>-13</v>
      </c>
      <c r="C1341" s="13" t="s">
        <v>4294</v>
      </c>
      <c r="D1341" s="36">
        <v>1711.02</v>
      </c>
      <c r="E1341" s="43" t="s">
        <v>3596</v>
      </c>
    </row>
    <row r="1342" spans="1:5" x14ac:dyDescent="0.35">
      <c r="A1342" s="40">
        <v>45324</v>
      </c>
      <c r="B1342" s="38">
        <v>-3.19</v>
      </c>
      <c r="C1342" s="13" t="s">
        <v>4183</v>
      </c>
      <c r="D1342" s="36">
        <v>1707.83</v>
      </c>
      <c r="E1342" s="43" t="s">
        <v>3596</v>
      </c>
    </row>
    <row r="1343" spans="1:5" x14ac:dyDescent="0.35">
      <c r="A1343" s="40">
        <v>45323</v>
      </c>
      <c r="B1343" s="38">
        <v>-296</v>
      </c>
      <c r="C1343" s="13" t="s">
        <v>4295</v>
      </c>
      <c r="D1343" s="36">
        <v>2234.42</v>
      </c>
      <c r="E1343" s="43" t="s">
        <v>3596</v>
      </c>
    </row>
    <row r="1344" spans="1:5" x14ac:dyDescent="0.35">
      <c r="A1344" s="40">
        <v>45323</v>
      </c>
      <c r="B1344" s="38">
        <v>2348.84</v>
      </c>
      <c r="C1344" s="13" t="s">
        <v>4296</v>
      </c>
      <c r="D1344" s="36">
        <v>3030.44</v>
      </c>
      <c r="E1344" s="43" t="s">
        <v>3596</v>
      </c>
    </row>
    <row r="1345" spans="1:5" x14ac:dyDescent="0.35">
      <c r="A1345" s="40">
        <v>45323</v>
      </c>
      <c r="B1345" s="38">
        <v>-4</v>
      </c>
      <c r="C1345" s="13" t="s">
        <v>4183</v>
      </c>
      <c r="D1345" s="36">
        <v>2230.42</v>
      </c>
      <c r="E1345" s="43" t="s">
        <v>3596</v>
      </c>
    </row>
    <row r="1346" spans="1:5" x14ac:dyDescent="0.35">
      <c r="A1346" s="40">
        <v>45323</v>
      </c>
      <c r="B1346" s="38">
        <v>-195.05</v>
      </c>
      <c r="C1346" s="13" t="s">
        <v>4297</v>
      </c>
      <c r="D1346" s="36">
        <v>1724.02</v>
      </c>
      <c r="E1346" s="43" t="s">
        <v>3596</v>
      </c>
    </row>
    <row r="1347" spans="1:5" x14ac:dyDescent="0.35">
      <c r="A1347" s="40">
        <v>45323</v>
      </c>
      <c r="B1347" s="38">
        <v>-11.35</v>
      </c>
      <c r="C1347" s="13" t="s">
        <v>3406</v>
      </c>
      <c r="D1347" s="36">
        <v>1919.07</v>
      </c>
      <c r="E1347" s="43" t="s">
        <v>3596</v>
      </c>
    </row>
    <row r="1348" spans="1:5" x14ac:dyDescent="0.35">
      <c r="A1348" s="40">
        <v>45323</v>
      </c>
      <c r="B1348" s="38">
        <v>-0.02</v>
      </c>
      <c r="C1348" s="13" t="s">
        <v>1873</v>
      </c>
      <c r="D1348" s="36">
        <v>2530.42</v>
      </c>
      <c r="E1348" s="43" t="s">
        <v>3596</v>
      </c>
    </row>
    <row r="1349" spans="1:5" x14ac:dyDescent="0.35">
      <c r="A1349" s="40">
        <v>45323</v>
      </c>
      <c r="B1349" s="38">
        <v>91.35</v>
      </c>
      <c r="C1349" s="13" t="s">
        <v>3598</v>
      </c>
      <c r="D1349" s="36">
        <v>45761.07</v>
      </c>
      <c r="E1349" s="43" t="s">
        <v>3604</v>
      </c>
    </row>
    <row r="1350" spans="1:5" x14ac:dyDescent="0.35">
      <c r="A1350" s="40">
        <v>45323</v>
      </c>
      <c r="B1350" s="38">
        <v>-500</v>
      </c>
      <c r="C1350" s="13" t="s">
        <v>1395</v>
      </c>
      <c r="D1350" s="36">
        <v>2530.44</v>
      </c>
      <c r="E1350" s="43" t="s">
        <v>3596</v>
      </c>
    </row>
    <row r="1351" spans="1:5" x14ac:dyDescent="0.35">
      <c r="A1351" s="40">
        <v>45323</v>
      </c>
      <c r="B1351" s="38">
        <v>-300</v>
      </c>
      <c r="C1351" s="13" t="s">
        <v>3293</v>
      </c>
      <c r="D1351" s="36">
        <v>1930.42</v>
      </c>
      <c r="E1351" s="43" t="s">
        <v>3596</v>
      </c>
    </row>
    <row r="1352" spans="1:5" x14ac:dyDescent="0.35">
      <c r="A1352" s="40">
        <v>45322</v>
      </c>
      <c r="B1352" s="38">
        <v>-40</v>
      </c>
      <c r="C1352" s="13" t="s">
        <v>4298</v>
      </c>
      <c r="D1352" s="36">
        <v>811.26</v>
      </c>
      <c r="E1352" s="43" t="s">
        <v>3596</v>
      </c>
    </row>
    <row r="1353" spans="1:5" x14ac:dyDescent="0.35">
      <c r="A1353" s="40">
        <v>45322</v>
      </c>
      <c r="B1353" s="38">
        <v>-19.149999999999999</v>
      </c>
      <c r="C1353" s="13" t="s">
        <v>2766</v>
      </c>
      <c r="D1353" s="36">
        <v>766.47</v>
      </c>
      <c r="E1353" s="43" t="s">
        <v>3596</v>
      </c>
    </row>
    <row r="1354" spans="1:5" x14ac:dyDescent="0.35">
      <c r="A1354" s="40">
        <v>45322</v>
      </c>
      <c r="B1354" s="38">
        <v>-25.64</v>
      </c>
      <c r="C1354" s="13" t="s">
        <v>4299</v>
      </c>
      <c r="D1354" s="36">
        <v>785.62</v>
      </c>
      <c r="E1354" s="43" t="s">
        <v>3596</v>
      </c>
    </row>
    <row r="1355" spans="1:5" x14ac:dyDescent="0.35">
      <c r="A1355" s="40">
        <v>45322</v>
      </c>
      <c r="B1355" s="38">
        <v>-0.25</v>
      </c>
      <c r="C1355" s="13" t="s">
        <v>3184</v>
      </c>
      <c r="D1355" s="36">
        <v>681.6</v>
      </c>
      <c r="E1355" s="43" t="s">
        <v>3596</v>
      </c>
    </row>
    <row r="1356" spans="1:5" x14ac:dyDescent="0.35">
      <c r="A1356" s="40">
        <v>45322</v>
      </c>
      <c r="B1356" s="38">
        <v>-84.62</v>
      </c>
      <c r="C1356" s="13" t="s">
        <v>3184</v>
      </c>
      <c r="D1356" s="36">
        <v>681.85</v>
      </c>
      <c r="E1356" s="43" t="s">
        <v>3596</v>
      </c>
    </row>
    <row r="1357" spans="1:5" x14ac:dyDescent="0.35">
      <c r="A1357" s="40">
        <v>45321</v>
      </c>
      <c r="B1357" s="38">
        <v>-46.21</v>
      </c>
      <c r="C1357" s="13" t="s">
        <v>4300</v>
      </c>
      <c r="D1357" s="36">
        <v>978.17</v>
      </c>
      <c r="E1357" s="43" t="s">
        <v>3596</v>
      </c>
    </row>
    <row r="1358" spans="1:5" x14ac:dyDescent="0.35">
      <c r="A1358" s="40">
        <v>45321</v>
      </c>
      <c r="B1358" s="38">
        <v>-18.18</v>
      </c>
      <c r="C1358" s="13" t="s">
        <v>4301</v>
      </c>
      <c r="D1358" s="36">
        <v>871.26</v>
      </c>
      <c r="E1358" s="43" t="s">
        <v>3596</v>
      </c>
    </row>
    <row r="1359" spans="1:5" x14ac:dyDescent="0.35">
      <c r="A1359" s="40">
        <v>45321</v>
      </c>
      <c r="B1359" s="38">
        <v>-9.6</v>
      </c>
      <c r="C1359" s="13" t="s">
        <v>4301</v>
      </c>
      <c r="D1359" s="36">
        <v>889.44</v>
      </c>
      <c r="E1359" s="43" t="s">
        <v>3596</v>
      </c>
    </row>
    <row r="1360" spans="1:5" x14ac:dyDescent="0.35">
      <c r="A1360" s="40">
        <v>45321</v>
      </c>
      <c r="B1360" s="38">
        <v>-22.62</v>
      </c>
      <c r="C1360" s="13" t="s">
        <v>4301</v>
      </c>
      <c r="D1360" s="36">
        <v>899.04</v>
      </c>
      <c r="E1360" s="43" t="s">
        <v>3596</v>
      </c>
    </row>
    <row r="1361" spans="1:5" x14ac:dyDescent="0.35">
      <c r="A1361" s="40">
        <v>45321</v>
      </c>
      <c r="B1361" s="38">
        <v>-28.28</v>
      </c>
      <c r="C1361" s="13" t="s">
        <v>4301</v>
      </c>
      <c r="D1361" s="36">
        <v>921.66</v>
      </c>
      <c r="E1361" s="43" t="s">
        <v>3596</v>
      </c>
    </row>
    <row r="1362" spans="1:5" x14ac:dyDescent="0.35">
      <c r="A1362" s="40">
        <v>45321</v>
      </c>
      <c r="B1362" s="38">
        <v>-20</v>
      </c>
      <c r="C1362" s="13" t="s">
        <v>3334</v>
      </c>
      <c r="D1362" s="36">
        <v>851.26</v>
      </c>
      <c r="E1362" s="43" t="s">
        <v>3596</v>
      </c>
    </row>
    <row r="1363" spans="1:5" x14ac:dyDescent="0.35">
      <c r="A1363" s="40">
        <v>45321</v>
      </c>
      <c r="B1363" s="38">
        <v>-28.23</v>
      </c>
      <c r="C1363" s="13" t="s">
        <v>4302</v>
      </c>
      <c r="D1363" s="36">
        <v>949.94</v>
      </c>
      <c r="E1363" s="43" t="s">
        <v>3596</v>
      </c>
    </row>
    <row r="1364" spans="1:5" x14ac:dyDescent="0.35">
      <c r="A1364" s="40">
        <v>45320</v>
      </c>
      <c r="B1364" s="38">
        <v>-105.75</v>
      </c>
      <c r="C1364" s="13" t="s">
        <v>4303</v>
      </c>
      <c r="D1364" s="36">
        <v>1024.3800000000001</v>
      </c>
      <c r="E1364" s="43" t="s">
        <v>3596</v>
      </c>
    </row>
    <row r="1365" spans="1:5" x14ac:dyDescent="0.35">
      <c r="A1365" s="40">
        <v>45318</v>
      </c>
      <c r="B1365" s="38">
        <v>-35.68</v>
      </c>
      <c r="C1365" s="13" t="s">
        <v>2281</v>
      </c>
      <c r="D1365" s="36">
        <v>1186.5899999999999</v>
      </c>
      <c r="E1365" s="43" t="s">
        <v>3596</v>
      </c>
    </row>
    <row r="1366" spans="1:5" x14ac:dyDescent="0.35">
      <c r="A1366" s="40">
        <v>45318</v>
      </c>
      <c r="B1366" s="38">
        <v>-56.46</v>
      </c>
      <c r="C1366" s="13" t="s">
        <v>3184</v>
      </c>
      <c r="D1366" s="36">
        <v>1130.1300000000001</v>
      </c>
      <c r="E1366" s="43" t="s">
        <v>3596</v>
      </c>
    </row>
    <row r="1367" spans="1:5" x14ac:dyDescent="0.35">
      <c r="A1367" s="40">
        <v>45317</v>
      </c>
      <c r="B1367" s="38">
        <v>-27.39</v>
      </c>
      <c r="C1367" s="13" t="s">
        <v>4304</v>
      </c>
      <c r="D1367" s="36">
        <v>1222.27</v>
      </c>
      <c r="E1367" s="43" t="s">
        <v>3596</v>
      </c>
    </row>
    <row r="1368" spans="1:5" x14ac:dyDescent="0.35">
      <c r="A1368" s="40">
        <v>45317</v>
      </c>
      <c r="B1368" s="38">
        <v>-11</v>
      </c>
      <c r="C1368" s="13" t="s">
        <v>1584</v>
      </c>
      <c r="D1368" s="36">
        <v>1249.6600000000001</v>
      </c>
      <c r="E1368" s="43" t="s">
        <v>3596</v>
      </c>
    </row>
    <row r="1369" spans="1:5" x14ac:dyDescent="0.35">
      <c r="A1369" s="40">
        <v>45316</v>
      </c>
      <c r="B1369" s="38">
        <v>-19.95</v>
      </c>
      <c r="C1369" s="13" t="s">
        <v>3742</v>
      </c>
      <c r="D1369" s="36">
        <v>1260.6600000000001</v>
      </c>
      <c r="E1369" s="43" t="s">
        <v>3596</v>
      </c>
    </row>
    <row r="1370" spans="1:5" x14ac:dyDescent="0.35">
      <c r="A1370" s="40">
        <v>45316</v>
      </c>
      <c r="B1370" s="38">
        <v>-21.36</v>
      </c>
      <c r="C1370" s="13" t="s">
        <v>4183</v>
      </c>
      <c r="D1370" s="36">
        <v>1280.6099999999999</v>
      </c>
      <c r="E1370" s="43" t="s">
        <v>3596</v>
      </c>
    </row>
    <row r="1371" spans="1:5" x14ac:dyDescent="0.35">
      <c r="A1371" s="40">
        <v>45316</v>
      </c>
      <c r="B1371" s="38">
        <v>-29.99</v>
      </c>
      <c r="C1371" s="13" t="s">
        <v>4305</v>
      </c>
      <c r="D1371" s="36">
        <v>1301.97</v>
      </c>
      <c r="E1371" s="43" t="s">
        <v>3596</v>
      </c>
    </row>
    <row r="1372" spans="1:5" x14ac:dyDescent="0.35">
      <c r="A1372" s="40">
        <v>45315</v>
      </c>
      <c r="B1372" s="38">
        <v>-29.99</v>
      </c>
      <c r="C1372" s="13" t="s">
        <v>4259</v>
      </c>
      <c r="D1372" s="36">
        <v>1331.96</v>
      </c>
      <c r="E1372" s="43" t="s">
        <v>3596</v>
      </c>
    </row>
    <row r="1373" spans="1:5" x14ac:dyDescent="0.35">
      <c r="A1373" s="40">
        <v>45314</v>
      </c>
      <c r="B1373" s="38">
        <v>-39.49</v>
      </c>
      <c r="C1373" s="13" t="s">
        <v>4306</v>
      </c>
      <c r="D1373" s="36">
        <v>1415.88</v>
      </c>
      <c r="E1373" s="43" t="s">
        <v>3596</v>
      </c>
    </row>
    <row r="1374" spans="1:5" x14ac:dyDescent="0.35">
      <c r="A1374" s="40">
        <v>45314</v>
      </c>
      <c r="B1374" s="38">
        <v>-51.29</v>
      </c>
      <c r="C1374" s="13" t="s">
        <v>4307</v>
      </c>
      <c r="D1374" s="36">
        <v>1455.37</v>
      </c>
      <c r="E1374" s="43" t="s">
        <v>3596</v>
      </c>
    </row>
    <row r="1375" spans="1:5" x14ac:dyDescent="0.35">
      <c r="A1375" s="40">
        <v>45314</v>
      </c>
      <c r="B1375" s="38">
        <v>-8.49</v>
      </c>
      <c r="C1375" s="13" t="s">
        <v>4308</v>
      </c>
      <c r="D1375" s="36">
        <v>1361.95</v>
      </c>
      <c r="E1375" s="43" t="s">
        <v>3596</v>
      </c>
    </row>
    <row r="1376" spans="1:5" x14ac:dyDescent="0.35">
      <c r="A1376" s="40">
        <v>45314</v>
      </c>
      <c r="B1376" s="38">
        <v>-7</v>
      </c>
      <c r="C1376" s="13" t="s">
        <v>4309</v>
      </c>
      <c r="D1376" s="36">
        <v>1389.8</v>
      </c>
      <c r="E1376" s="43" t="s">
        <v>3596</v>
      </c>
    </row>
    <row r="1377" spans="1:5" x14ac:dyDescent="0.35">
      <c r="A1377" s="40">
        <v>45314</v>
      </c>
      <c r="B1377" s="38">
        <v>-3.96</v>
      </c>
      <c r="C1377" s="13" t="s">
        <v>4309</v>
      </c>
      <c r="D1377" s="36">
        <v>1396.8</v>
      </c>
      <c r="E1377" s="43" t="s">
        <v>3596</v>
      </c>
    </row>
    <row r="1378" spans="1:5" x14ac:dyDescent="0.35">
      <c r="A1378" s="40">
        <v>45314</v>
      </c>
      <c r="B1378" s="38">
        <v>-15.12</v>
      </c>
      <c r="C1378" s="13" t="s">
        <v>4309</v>
      </c>
      <c r="D1378" s="36">
        <v>1400.76</v>
      </c>
      <c r="E1378" s="43" t="s">
        <v>3596</v>
      </c>
    </row>
    <row r="1379" spans="1:5" x14ac:dyDescent="0.35">
      <c r="A1379" s="40">
        <v>45314</v>
      </c>
      <c r="B1379" s="38">
        <v>-2.5</v>
      </c>
      <c r="C1379" s="13" t="s">
        <v>4183</v>
      </c>
      <c r="D1379" s="36">
        <v>1387.3</v>
      </c>
      <c r="E1379" s="43" t="s">
        <v>3596</v>
      </c>
    </row>
    <row r="1380" spans="1:5" x14ac:dyDescent="0.35">
      <c r="A1380" s="40">
        <v>45314</v>
      </c>
      <c r="B1380" s="38">
        <v>-16.86</v>
      </c>
      <c r="C1380" s="13" t="s">
        <v>2281</v>
      </c>
      <c r="D1380" s="36">
        <v>1370.44</v>
      </c>
      <c r="E1380" s="43" t="s">
        <v>3596</v>
      </c>
    </row>
    <row r="1381" spans="1:5" x14ac:dyDescent="0.35">
      <c r="A1381" s="40">
        <v>45314</v>
      </c>
      <c r="B1381" s="38">
        <v>-26.67</v>
      </c>
      <c r="C1381" s="13" t="s">
        <v>4310</v>
      </c>
      <c r="D1381" s="36">
        <v>1506.66</v>
      </c>
      <c r="E1381" s="43" t="s">
        <v>3596</v>
      </c>
    </row>
    <row r="1382" spans="1:5" x14ac:dyDescent="0.35">
      <c r="A1382" s="40">
        <v>45313</v>
      </c>
      <c r="B1382" s="38">
        <v>-16</v>
      </c>
      <c r="C1382" s="13" t="s">
        <v>3334</v>
      </c>
      <c r="D1382" s="36">
        <v>1832.33</v>
      </c>
      <c r="E1382" s="43" t="s">
        <v>3596</v>
      </c>
    </row>
    <row r="1383" spans="1:5" x14ac:dyDescent="0.35">
      <c r="A1383" s="40">
        <v>45313</v>
      </c>
      <c r="B1383" s="38">
        <v>-299</v>
      </c>
      <c r="C1383" s="13" t="s">
        <v>4311</v>
      </c>
      <c r="D1383" s="36">
        <v>1533.33</v>
      </c>
      <c r="E1383" s="43" t="s">
        <v>3596</v>
      </c>
    </row>
    <row r="1384" spans="1:5" x14ac:dyDescent="0.35">
      <c r="A1384" s="40">
        <v>45313</v>
      </c>
      <c r="B1384" s="38">
        <v>-39.5</v>
      </c>
      <c r="C1384" s="13" t="s">
        <v>3415</v>
      </c>
      <c r="D1384" s="36">
        <v>1848.33</v>
      </c>
      <c r="E1384" s="43" t="s">
        <v>3596</v>
      </c>
    </row>
    <row r="1385" spans="1:5" x14ac:dyDescent="0.35">
      <c r="A1385" s="40">
        <v>45310</v>
      </c>
      <c r="B1385" s="38">
        <v>-69</v>
      </c>
      <c r="C1385" s="13" t="s">
        <v>4312</v>
      </c>
      <c r="D1385" s="36">
        <v>1887.83</v>
      </c>
      <c r="E1385" s="43" t="s">
        <v>3596</v>
      </c>
    </row>
    <row r="1386" spans="1:5" x14ac:dyDescent="0.35">
      <c r="A1386" s="40">
        <v>45310</v>
      </c>
      <c r="B1386" s="38">
        <v>-29</v>
      </c>
      <c r="C1386" s="13" t="s">
        <v>4313</v>
      </c>
      <c r="D1386" s="36">
        <v>1956.83</v>
      </c>
      <c r="E1386" s="43" t="s">
        <v>3596</v>
      </c>
    </row>
    <row r="1387" spans="1:5" x14ac:dyDescent="0.35">
      <c r="A1387" s="40">
        <v>45309</v>
      </c>
      <c r="B1387" s="38">
        <v>2348.83</v>
      </c>
      <c r="C1387" s="13" t="s">
        <v>4314</v>
      </c>
      <c r="D1387" s="36">
        <v>2531.39</v>
      </c>
      <c r="E1387" s="43" t="s">
        <v>3596</v>
      </c>
    </row>
    <row r="1388" spans="1:5" x14ac:dyDescent="0.35">
      <c r="A1388" s="40">
        <v>45309</v>
      </c>
      <c r="B1388" s="38">
        <v>-9.2100000000000009</v>
      </c>
      <c r="C1388" s="13" t="s">
        <v>4183</v>
      </c>
      <c r="D1388" s="36">
        <v>1997.18</v>
      </c>
      <c r="E1388" s="43" t="s">
        <v>3596</v>
      </c>
    </row>
    <row r="1389" spans="1:5" x14ac:dyDescent="0.35">
      <c r="A1389" s="40">
        <v>45309</v>
      </c>
      <c r="B1389" s="38">
        <v>-25</v>
      </c>
      <c r="C1389" s="13" t="s">
        <v>4315</v>
      </c>
      <c r="D1389" s="36">
        <v>2006.39</v>
      </c>
      <c r="E1389" s="43" t="s">
        <v>3596</v>
      </c>
    </row>
    <row r="1390" spans="1:5" x14ac:dyDescent="0.35">
      <c r="A1390" s="40">
        <v>45309</v>
      </c>
      <c r="B1390" s="38">
        <v>-11.35</v>
      </c>
      <c r="C1390" s="13" t="s">
        <v>3406</v>
      </c>
      <c r="D1390" s="36">
        <v>1985.83</v>
      </c>
      <c r="E1390" s="43" t="s">
        <v>3596</v>
      </c>
    </row>
    <row r="1391" spans="1:5" x14ac:dyDescent="0.35">
      <c r="A1391" s="40">
        <v>45309</v>
      </c>
      <c r="B1391" s="38">
        <v>-500</v>
      </c>
      <c r="C1391" s="13" t="s">
        <v>1395</v>
      </c>
      <c r="D1391" s="36">
        <v>2031.39</v>
      </c>
      <c r="E1391" s="43" t="s">
        <v>3596</v>
      </c>
    </row>
    <row r="1392" spans="1:5" x14ac:dyDescent="0.35">
      <c r="A1392" s="40">
        <v>45308</v>
      </c>
      <c r="B1392" s="38">
        <v>-40</v>
      </c>
      <c r="C1392" s="13" t="s">
        <v>4316</v>
      </c>
      <c r="D1392" s="36">
        <v>239.68</v>
      </c>
      <c r="E1392" s="43" t="s">
        <v>3596</v>
      </c>
    </row>
    <row r="1393" spans="1:5" x14ac:dyDescent="0.35">
      <c r="A1393" s="40">
        <v>45308</v>
      </c>
      <c r="B1393" s="38">
        <v>-57.12</v>
      </c>
      <c r="C1393" s="13" t="s">
        <v>4317</v>
      </c>
      <c r="D1393" s="36">
        <v>182.56</v>
      </c>
      <c r="E1393" s="43" t="s">
        <v>3596</v>
      </c>
    </row>
    <row r="1394" spans="1:5" x14ac:dyDescent="0.35">
      <c r="A1394" s="40">
        <v>45307</v>
      </c>
      <c r="B1394" s="38">
        <v>-10.6</v>
      </c>
      <c r="C1394" s="13" t="s">
        <v>4318</v>
      </c>
      <c r="D1394" s="36">
        <v>296.18</v>
      </c>
      <c r="E1394" s="43" t="s">
        <v>3596</v>
      </c>
    </row>
    <row r="1395" spans="1:5" x14ac:dyDescent="0.35">
      <c r="A1395" s="40">
        <v>45307</v>
      </c>
      <c r="B1395" s="38">
        <v>-16.5</v>
      </c>
      <c r="C1395" s="13" t="s">
        <v>3334</v>
      </c>
      <c r="D1395" s="36">
        <v>279.68</v>
      </c>
      <c r="E1395" s="43" t="s">
        <v>3596</v>
      </c>
    </row>
    <row r="1396" spans="1:5" x14ac:dyDescent="0.35">
      <c r="A1396" s="40">
        <v>45307</v>
      </c>
      <c r="B1396" s="38">
        <v>-23.24</v>
      </c>
      <c r="C1396" s="13" t="s">
        <v>4319</v>
      </c>
      <c r="D1396" s="36">
        <v>306.77999999999997</v>
      </c>
      <c r="E1396" s="43" t="s">
        <v>3596</v>
      </c>
    </row>
    <row r="1397" spans="1:5" x14ac:dyDescent="0.35">
      <c r="A1397" s="40">
        <v>45306</v>
      </c>
      <c r="B1397" s="38">
        <v>-14.5</v>
      </c>
      <c r="C1397" s="13" t="s">
        <v>3111</v>
      </c>
      <c r="D1397" s="36">
        <v>358.52</v>
      </c>
      <c r="E1397" s="43" t="s">
        <v>3596</v>
      </c>
    </row>
    <row r="1398" spans="1:5" x14ac:dyDescent="0.35">
      <c r="A1398" s="40">
        <v>45306</v>
      </c>
      <c r="B1398" s="38">
        <v>-28.5</v>
      </c>
      <c r="C1398" s="13" t="s">
        <v>3145</v>
      </c>
      <c r="D1398" s="36">
        <v>330.02</v>
      </c>
      <c r="E1398" s="43" t="s">
        <v>3596</v>
      </c>
    </row>
    <row r="1399" spans="1:5" x14ac:dyDescent="0.35">
      <c r="A1399" s="40">
        <v>45304</v>
      </c>
      <c r="B1399" s="38">
        <v>-343.45</v>
      </c>
      <c r="C1399" s="13" t="s">
        <v>4320</v>
      </c>
      <c r="D1399" s="36">
        <v>456.03</v>
      </c>
      <c r="E1399" s="43" t="s">
        <v>3596</v>
      </c>
    </row>
    <row r="1400" spans="1:5" x14ac:dyDescent="0.35">
      <c r="A1400" s="40">
        <v>45304</v>
      </c>
      <c r="B1400" s="38">
        <v>-38.76</v>
      </c>
      <c r="C1400" s="13" t="s">
        <v>3898</v>
      </c>
      <c r="D1400" s="36">
        <v>373.02</v>
      </c>
      <c r="E1400" s="43" t="s">
        <v>3596</v>
      </c>
    </row>
    <row r="1401" spans="1:5" x14ac:dyDescent="0.35">
      <c r="A1401" s="40">
        <v>45304</v>
      </c>
      <c r="B1401" s="38">
        <v>-0.99</v>
      </c>
      <c r="C1401" s="13" t="s">
        <v>4321</v>
      </c>
      <c r="D1401" s="36">
        <v>411.78</v>
      </c>
      <c r="E1401" s="43" t="s">
        <v>3596</v>
      </c>
    </row>
    <row r="1402" spans="1:5" x14ac:dyDescent="0.35">
      <c r="A1402" s="40">
        <v>45304</v>
      </c>
      <c r="B1402" s="38">
        <v>-10.3</v>
      </c>
      <c r="C1402" s="13" t="s">
        <v>4321</v>
      </c>
      <c r="D1402" s="36">
        <v>445.73</v>
      </c>
      <c r="E1402" s="43" t="s">
        <v>3596</v>
      </c>
    </row>
    <row r="1403" spans="1:5" x14ac:dyDescent="0.35">
      <c r="A1403" s="40">
        <v>45304</v>
      </c>
      <c r="B1403" s="38">
        <v>-32.96</v>
      </c>
      <c r="C1403" s="13" t="s">
        <v>4322</v>
      </c>
      <c r="D1403" s="36">
        <v>412.77</v>
      </c>
      <c r="E1403" s="43" t="s">
        <v>3596</v>
      </c>
    </row>
    <row r="1404" spans="1:5" x14ac:dyDescent="0.35">
      <c r="A1404" s="40">
        <v>45303</v>
      </c>
      <c r="B1404" s="38">
        <v>-1</v>
      </c>
      <c r="C1404" s="13" t="s">
        <v>1584</v>
      </c>
      <c r="D1404" s="36">
        <v>799.48</v>
      </c>
      <c r="E1404" s="43" t="s">
        <v>3596</v>
      </c>
    </row>
    <row r="1405" spans="1:5" x14ac:dyDescent="0.35">
      <c r="A1405" s="40">
        <v>45302</v>
      </c>
      <c r="B1405" s="38">
        <v>-36.15</v>
      </c>
      <c r="C1405" s="13" t="s">
        <v>4323</v>
      </c>
      <c r="D1405" s="36">
        <v>8.43</v>
      </c>
      <c r="E1405" s="43" t="s">
        <v>3596</v>
      </c>
    </row>
    <row r="1406" spans="1:5" x14ac:dyDescent="0.35">
      <c r="A1406" s="40">
        <v>45302</v>
      </c>
      <c r="B1406" s="38">
        <v>-39.840000000000003</v>
      </c>
      <c r="C1406" s="13" t="s">
        <v>4324</v>
      </c>
      <c r="D1406" s="36">
        <v>44.58</v>
      </c>
      <c r="E1406" s="43" t="s">
        <v>3596</v>
      </c>
    </row>
    <row r="1407" spans="1:5" x14ac:dyDescent="0.35">
      <c r="A1407" s="40">
        <v>45302</v>
      </c>
      <c r="B1407" s="38">
        <v>400</v>
      </c>
      <c r="C1407" s="13" t="s">
        <v>1521</v>
      </c>
      <c r="D1407" s="36">
        <v>407.35</v>
      </c>
      <c r="E1407" s="43" t="s">
        <v>3596</v>
      </c>
    </row>
    <row r="1408" spans="1:5" x14ac:dyDescent="0.35">
      <c r="A1408" s="40">
        <v>45302</v>
      </c>
      <c r="B1408" s="38">
        <v>-1.08</v>
      </c>
      <c r="C1408" s="13" t="s">
        <v>4325</v>
      </c>
      <c r="D1408" s="36">
        <v>7.35</v>
      </c>
      <c r="E1408" s="43" t="s">
        <v>3596</v>
      </c>
    </row>
    <row r="1409" spans="1:5" x14ac:dyDescent="0.35">
      <c r="A1409" s="40">
        <v>45302</v>
      </c>
      <c r="B1409" s="38">
        <v>-21.87</v>
      </c>
      <c r="C1409" s="13" t="s">
        <v>3414</v>
      </c>
      <c r="D1409" s="36">
        <v>800.48</v>
      </c>
      <c r="E1409" s="43" t="s">
        <v>3596</v>
      </c>
    </row>
    <row r="1410" spans="1:5" x14ac:dyDescent="0.35">
      <c r="A1410" s="40">
        <v>45302</v>
      </c>
      <c r="B1410" s="38">
        <v>415</v>
      </c>
      <c r="C1410" s="13" t="s">
        <v>4326</v>
      </c>
      <c r="D1410" s="36">
        <v>822.35</v>
      </c>
      <c r="E1410" s="43" t="s">
        <v>3596</v>
      </c>
    </row>
    <row r="1411" spans="1:5" x14ac:dyDescent="0.35">
      <c r="A1411" s="40">
        <v>45302</v>
      </c>
      <c r="B1411" s="38">
        <v>-400</v>
      </c>
      <c r="C1411" s="13" t="s">
        <v>3597</v>
      </c>
      <c r="D1411" s="36">
        <v>45669.72</v>
      </c>
      <c r="E1411" s="43" t="s">
        <v>3604</v>
      </c>
    </row>
    <row r="1412" spans="1:5" x14ac:dyDescent="0.35">
      <c r="A1412" s="40">
        <v>45301</v>
      </c>
      <c r="B1412" s="38">
        <v>-5</v>
      </c>
      <c r="C1412" s="13" t="s">
        <v>3416</v>
      </c>
      <c r="D1412" s="36">
        <v>84.42</v>
      </c>
      <c r="E1412" s="43" t="s">
        <v>3596</v>
      </c>
    </row>
    <row r="1413" spans="1:5" x14ac:dyDescent="0.35">
      <c r="A1413" s="40">
        <v>45300</v>
      </c>
      <c r="B1413" s="38">
        <v>-26.11</v>
      </c>
      <c r="C1413" s="13" t="s">
        <v>4327</v>
      </c>
      <c r="D1413" s="36">
        <v>184.23</v>
      </c>
      <c r="E1413" s="43" t="s">
        <v>3596</v>
      </c>
    </row>
    <row r="1414" spans="1:5" x14ac:dyDescent="0.35">
      <c r="A1414" s="40">
        <v>45300</v>
      </c>
      <c r="B1414" s="38">
        <v>-59.9</v>
      </c>
      <c r="C1414" s="13" t="s">
        <v>4328</v>
      </c>
      <c r="D1414" s="36">
        <v>124.33</v>
      </c>
      <c r="E1414" s="43" t="s">
        <v>3596</v>
      </c>
    </row>
    <row r="1415" spans="1:5" x14ac:dyDescent="0.35">
      <c r="A1415" s="40">
        <v>45300</v>
      </c>
      <c r="B1415" s="38">
        <v>-24.64</v>
      </c>
      <c r="C1415" s="13" t="s">
        <v>4329</v>
      </c>
      <c r="D1415" s="36">
        <v>249.54</v>
      </c>
      <c r="E1415" s="43" t="s">
        <v>3596</v>
      </c>
    </row>
    <row r="1416" spans="1:5" x14ac:dyDescent="0.35">
      <c r="A1416" s="40">
        <v>45300</v>
      </c>
      <c r="B1416" s="38">
        <v>-39.200000000000003</v>
      </c>
      <c r="C1416" s="13" t="s">
        <v>4330</v>
      </c>
      <c r="D1416" s="36">
        <v>210.34</v>
      </c>
      <c r="E1416" s="43" t="s">
        <v>3596</v>
      </c>
    </row>
    <row r="1417" spans="1:5" x14ac:dyDescent="0.35">
      <c r="A1417" s="40">
        <v>45300</v>
      </c>
      <c r="B1417" s="38">
        <v>-34.909999999999997</v>
      </c>
      <c r="C1417" s="13" t="s">
        <v>4331</v>
      </c>
      <c r="D1417" s="36">
        <v>89.42</v>
      </c>
      <c r="E1417" s="43" t="s">
        <v>3596</v>
      </c>
    </row>
    <row r="1418" spans="1:5" x14ac:dyDescent="0.35">
      <c r="A1418" s="40">
        <v>45299</v>
      </c>
      <c r="B1418" s="38">
        <v>150</v>
      </c>
      <c r="C1418" s="13" t="s">
        <v>1521</v>
      </c>
      <c r="D1418" s="36">
        <v>274.18</v>
      </c>
      <c r="E1418" s="43" t="s">
        <v>3596</v>
      </c>
    </row>
    <row r="1419" spans="1:5" x14ac:dyDescent="0.35">
      <c r="A1419" s="40">
        <v>45299</v>
      </c>
      <c r="B1419" s="38">
        <v>-59.74</v>
      </c>
      <c r="C1419" s="13" t="s">
        <v>2281</v>
      </c>
      <c r="D1419" s="36">
        <v>124.18</v>
      </c>
      <c r="E1419" s="43" t="s">
        <v>3596</v>
      </c>
    </row>
    <row r="1420" spans="1:5" x14ac:dyDescent="0.35">
      <c r="A1420" s="40">
        <v>45299</v>
      </c>
      <c r="B1420" s="38">
        <v>-21.65</v>
      </c>
      <c r="C1420" s="13" t="s">
        <v>3184</v>
      </c>
      <c r="D1420" s="36">
        <v>183.92</v>
      </c>
      <c r="E1420" s="43" t="s">
        <v>3596</v>
      </c>
    </row>
    <row r="1421" spans="1:5" x14ac:dyDescent="0.35">
      <c r="A1421" s="40">
        <v>45299</v>
      </c>
      <c r="B1421" s="38">
        <v>-150</v>
      </c>
      <c r="C1421" s="13" t="s">
        <v>3597</v>
      </c>
      <c r="D1421" s="36">
        <v>46069.72</v>
      </c>
      <c r="E1421" s="43" t="s">
        <v>3604</v>
      </c>
    </row>
    <row r="1422" spans="1:5" x14ac:dyDescent="0.35">
      <c r="A1422" s="40">
        <v>45298</v>
      </c>
      <c r="B1422" s="38">
        <v>500</v>
      </c>
      <c r="C1422" s="13" t="s">
        <v>1521</v>
      </c>
      <c r="D1422" s="36">
        <v>758.59</v>
      </c>
      <c r="E1422" s="43" t="s">
        <v>3596</v>
      </c>
    </row>
    <row r="1423" spans="1:5" x14ac:dyDescent="0.35">
      <c r="A1423" s="40">
        <v>45298</v>
      </c>
      <c r="B1423" s="38">
        <v>-53.02</v>
      </c>
      <c r="C1423" s="13" t="s">
        <v>3742</v>
      </c>
      <c r="D1423" s="36">
        <v>205.57</v>
      </c>
      <c r="E1423" s="43" t="s">
        <v>3596</v>
      </c>
    </row>
    <row r="1424" spans="1:5" x14ac:dyDescent="0.35">
      <c r="A1424" s="40">
        <v>45298</v>
      </c>
      <c r="B1424" s="38">
        <v>-500</v>
      </c>
      <c r="C1424" s="13" t="s">
        <v>3417</v>
      </c>
      <c r="D1424" s="36">
        <v>258.58999999999997</v>
      </c>
      <c r="E1424" s="43" t="s">
        <v>3596</v>
      </c>
    </row>
    <row r="1425" spans="1:5" x14ac:dyDescent="0.35">
      <c r="A1425" s="40">
        <v>45298</v>
      </c>
      <c r="B1425" s="38">
        <v>-500</v>
      </c>
      <c r="C1425" s="13" t="s">
        <v>3597</v>
      </c>
      <c r="D1425" s="36">
        <v>46219.72</v>
      </c>
      <c r="E1425" s="43" t="s">
        <v>3604</v>
      </c>
    </row>
    <row r="1426" spans="1:5" x14ac:dyDescent="0.35">
      <c r="A1426" s="40">
        <v>45297</v>
      </c>
      <c r="B1426" s="38">
        <v>-35.82</v>
      </c>
      <c r="C1426" s="13" t="s">
        <v>4332</v>
      </c>
      <c r="D1426" s="36">
        <v>179.66</v>
      </c>
      <c r="E1426" s="43" t="s">
        <v>3596</v>
      </c>
    </row>
    <row r="1427" spans="1:5" x14ac:dyDescent="0.35">
      <c r="A1427" s="40">
        <v>45297</v>
      </c>
      <c r="B1427" s="38">
        <v>80</v>
      </c>
      <c r="C1427" s="13" t="s">
        <v>1521</v>
      </c>
      <c r="D1427" s="36">
        <v>258.58999999999997</v>
      </c>
      <c r="E1427" s="43" t="s">
        <v>3596</v>
      </c>
    </row>
    <row r="1428" spans="1:5" x14ac:dyDescent="0.35">
      <c r="A1428" s="40">
        <v>45297</v>
      </c>
      <c r="B1428" s="38">
        <v>-50.75</v>
      </c>
      <c r="C1428" s="13" t="s">
        <v>4333</v>
      </c>
      <c r="D1428" s="36">
        <v>215.48</v>
      </c>
      <c r="E1428" s="43" t="s">
        <v>3596</v>
      </c>
    </row>
    <row r="1429" spans="1:5" x14ac:dyDescent="0.35">
      <c r="A1429" s="40">
        <v>45297</v>
      </c>
      <c r="B1429" s="38">
        <v>-1.07</v>
      </c>
      <c r="C1429" s="13" t="s">
        <v>4334</v>
      </c>
      <c r="D1429" s="36">
        <v>178.59</v>
      </c>
      <c r="E1429" s="43" t="s">
        <v>3596</v>
      </c>
    </row>
    <row r="1430" spans="1:5" x14ac:dyDescent="0.35">
      <c r="A1430" s="40">
        <v>45297</v>
      </c>
      <c r="B1430" s="38">
        <v>-80</v>
      </c>
      <c r="C1430" s="13" t="s">
        <v>3597</v>
      </c>
      <c r="D1430" s="36">
        <v>46719.72</v>
      </c>
      <c r="E1430" s="43" t="s">
        <v>3604</v>
      </c>
    </row>
    <row r="1431" spans="1:5" x14ac:dyDescent="0.35">
      <c r="A1431" s="40">
        <v>45296</v>
      </c>
      <c r="B1431" s="38">
        <v>-1.5</v>
      </c>
      <c r="C1431" s="13" t="s">
        <v>4335</v>
      </c>
      <c r="D1431" s="36">
        <v>266.23</v>
      </c>
      <c r="E1431" s="43" t="s">
        <v>3596</v>
      </c>
    </row>
    <row r="1432" spans="1:5" x14ac:dyDescent="0.35">
      <c r="A1432" s="40">
        <v>45295</v>
      </c>
      <c r="B1432" s="38">
        <v>-2000</v>
      </c>
      <c r="C1432" s="13" t="s">
        <v>3418</v>
      </c>
      <c r="D1432" s="36">
        <v>395.68</v>
      </c>
      <c r="E1432" s="43" t="s">
        <v>3596</v>
      </c>
    </row>
    <row r="1433" spans="1:5" x14ac:dyDescent="0.35">
      <c r="A1433" s="40">
        <v>45295</v>
      </c>
      <c r="B1433" s="38">
        <v>2348.84</v>
      </c>
      <c r="C1433" s="13" t="s">
        <v>4336</v>
      </c>
      <c r="D1433" s="36">
        <v>2395.6799999999998</v>
      </c>
      <c r="E1433" s="43" t="s">
        <v>3596</v>
      </c>
    </row>
    <row r="1434" spans="1:5" x14ac:dyDescent="0.35">
      <c r="A1434" s="40">
        <v>45295</v>
      </c>
      <c r="B1434" s="38">
        <v>-11.46</v>
      </c>
      <c r="C1434" s="13" t="s">
        <v>4183</v>
      </c>
      <c r="D1434" s="36">
        <v>359.08</v>
      </c>
      <c r="E1434" s="43" t="s">
        <v>3596</v>
      </c>
    </row>
    <row r="1435" spans="1:5" x14ac:dyDescent="0.35">
      <c r="A1435" s="40">
        <v>45295</v>
      </c>
      <c r="B1435" s="38">
        <v>-11.35</v>
      </c>
      <c r="C1435" s="13" t="s">
        <v>3406</v>
      </c>
      <c r="D1435" s="36">
        <v>267.73</v>
      </c>
      <c r="E1435" s="43" t="s">
        <v>3596</v>
      </c>
    </row>
    <row r="1436" spans="1:5" x14ac:dyDescent="0.35">
      <c r="A1436" s="40">
        <v>45295</v>
      </c>
      <c r="B1436" s="38">
        <v>-25.14</v>
      </c>
      <c r="C1436" s="13" t="s">
        <v>4337</v>
      </c>
      <c r="D1436" s="36">
        <v>370.54</v>
      </c>
      <c r="E1436" s="43" t="s">
        <v>3596</v>
      </c>
    </row>
    <row r="1437" spans="1:5" x14ac:dyDescent="0.35">
      <c r="A1437" s="40">
        <v>45295</v>
      </c>
      <c r="B1437" s="38">
        <v>2000</v>
      </c>
      <c r="C1437" s="13" t="s">
        <v>3599</v>
      </c>
      <c r="D1437" s="36">
        <v>46799.72</v>
      </c>
      <c r="E1437" s="43" t="s">
        <v>3604</v>
      </c>
    </row>
    <row r="1438" spans="1:5" x14ac:dyDescent="0.35">
      <c r="A1438" s="40">
        <v>45295</v>
      </c>
      <c r="B1438" s="38">
        <v>-80</v>
      </c>
      <c r="C1438" s="13" t="s">
        <v>4338</v>
      </c>
      <c r="D1438" s="36">
        <v>279.08</v>
      </c>
      <c r="E1438" s="43" t="s">
        <v>3596</v>
      </c>
    </row>
    <row r="1439" spans="1:5" x14ac:dyDescent="0.35">
      <c r="A1439" s="40">
        <v>45294</v>
      </c>
      <c r="B1439" s="38">
        <v>-181.44</v>
      </c>
      <c r="C1439" s="13" t="s">
        <v>4339</v>
      </c>
      <c r="D1439" s="36">
        <v>116.62</v>
      </c>
      <c r="E1439" s="43" t="s">
        <v>3596</v>
      </c>
    </row>
    <row r="1440" spans="1:5" x14ac:dyDescent="0.35">
      <c r="A1440" s="40">
        <v>45294</v>
      </c>
      <c r="B1440" s="38">
        <v>50</v>
      </c>
      <c r="C1440" s="13" t="s">
        <v>1521</v>
      </c>
      <c r="D1440" s="36">
        <v>77.290000000000006</v>
      </c>
      <c r="E1440" s="43" t="s">
        <v>3596</v>
      </c>
    </row>
    <row r="1441" spans="1:5" x14ac:dyDescent="0.35">
      <c r="A1441" s="40">
        <v>45294</v>
      </c>
      <c r="B1441" s="38">
        <v>160</v>
      </c>
      <c r="C1441" s="13" t="s">
        <v>1521</v>
      </c>
      <c r="D1441" s="36">
        <v>471.28</v>
      </c>
      <c r="E1441" s="43" t="s">
        <v>3596</v>
      </c>
    </row>
    <row r="1442" spans="1:5" x14ac:dyDescent="0.35">
      <c r="A1442" s="40">
        <v>45294</v>
      </c>
      <c r="B1442" s="38">
        <v>85</v>
      </c>
      <c r="C1442" s="13" t="s">
        <v>1521</v>
      </c>
      <c r="D1442" s="36">
        <v>311.27999999999997</v>
      </c>
      <c r="E1442" s="43" t="s">
        <v>3596</v>
      </c>
    </row>
    <row r="1443" spans="1:5" x14ac:dyDescent="0.35">
      <c r="A1443" s="40">
        <v>45294</v>
      </c>
      <c r="B1443" s="38">
        <v>-15</v>
      </c>
      <c r="C1443" s="13" t="s">
        <v>4340</v>
      </c>
      <c r="D1443" s="36">
        <v>46.84</v>
      </c>
      <c r="E1443" s="43" t="s">
        <v>3596</v>
      </c>
    </row>
    <row r="1444" spans="1:5" x14ac:dyDescent="0.35">
      <c r="A1444" s="40">
        <v>45294</v>
      </c>
      <c r="B1444" s="38">
        <v>-5.44</v>
      </c>
      <c r="C1444" s="13" t="s">
        <v>4341</v>
      </c>
      <c r="D1444" s="36">
        <v>111.18</v>
      </c>
      <c r="E1444" s="43" t="s">
        <v>3596</v>
      </c>
    </row>
    <row r="1445" spans="1:5" x14ac:dyDescent="0.35">
      <c r="A1445" s="40">
        <v>45294</v>
      </c>
      <c r="B1445" s="38">
        <v>-39.200000000000003</v>
      </c>
      <c r="C1445" s="13" t="s">
        <v>4342</v>
      </c>
      <c r="D1445" s="36">
        <v>71.98</v>
      </c>
      <c r="E1445" s="43" t="s">
        <v>3596</v>
      </c>
    </row>
    <row r="1446" spans="1:5" x14ac:dyDescent="0.35">
      <c r="A1446" s="40">
        <v>45294</v>
      </c>
      <c r="B1446" s="38">
        <v>-32.26</v>
      </c>
      <c r="C1446" s="13" t="s">
        <v>4343</v>
      </c>
      <c r="D1446" s="36">
        <v>39.72</v>
      </c>
      <c r="E1446" s="43" t="s">
        <v>3596</v>
      </c>
    </row>
    <row r="1447" spans="1:5" x14ac:dyDescent="0.35">
      <c r="A1447" s="40">
        <v>45294</v>
      </c>
      <c r="B1447" s="38">
        <v>-23.22</v>
      </c>
      <c r="C1447" s="13" t="s">
        <v>3184</v>
      </c>
      <c r="D1447" s="36">
        <v>298.06</v>
      </c>
      <c r="E1447" s="43" t="s">
        <v>3596</v>
      </c>
    </row>
    <row r="1448" spans="1:5" x14ac:dyDescent="0.35">
      <c r="A1448" s="40">
        <v>45294</v>
      </c>
      <c r="B1448" s="38">
        <v>-12.43</v>
      </c>
      <c r="C1448" s="13" t="s">
        <v>4344</v>
      </c>
      <c r="D1448" s="36">
        <v>27.29</v>
      </c>
      <c r="E1448" s="43" t="s">
        <v>3596</v>
      </c>
    </row>
    <row r="1449" spans="1:5" x14ac:dyDescent="0.35">
      <c r="A1449" s="40">
        <v>45294</v>
      </c>
      <c r="B1449" s="38">
        <v>-15.45</v>
      </c>
      <c r="C1449" s="13" t="s">
        <v>4345</v>
      </c>
      <c r="D1449" s="36">
        <v>61.84</v>
      </c>
      <c r="E1449" s="43" t="s">
        <v>3596</v>
      </c>
    </row>
    <row r="1450" spans="1:5" x14ac:dyDescent="0.35">
      <c r="A1450" s="40">
        <v>45294</v>
      </c>
      <c r="B1450" s="38">
        <v>-160</v>
      </c>
      <c r="C1450" s="13" t="s">
        <v>3597</v>
      </c>
      <c r="D1450" s="36">
        <v>44849.72</v>
      </c>
      <c r="E1450" s="43" t="s">
        <v>3604</v>
      </c>
    </row>
    <row r="1451" spans="1:5" x14ac:dyDescent="0.35">
      <c r="A1451" s="40">
        <v>45294</v>
      </c>
      <c r="B1451" s="38">
        <v>-150</v>
      </c>
      <c r="C1451" s="13" t="s">
        <v>4346</v>
      </c>
      <c r="D1451" s="36">
        <v>321.27999999999997</v>
      </c>
      <c r="E1451" s="43" t="s">
        <v>3596</v>
      </c>
    </row>
    <row r="1452" spans="1:5" x14ac:dyDescent="0.35">
      <c r="A1452" s="40">
        <v>45294</v>
      </c>
      <c r="B1452" s="38">
        <v>-85</v>
      </c>
      <c r="C1452" s="13" t="s">
        <v>3597</v>
      </c>
      <c r="D1452" s="36">
        <v>45009.72</v>
      </c>
      <c r="E1452" s="43" t="s">
        <v>3604</v>
      </c>
    </row>
    <row r="1453" spans="1:5" x14ac:dyDescent="0.35">
      <c r="A1453" s="40">
        <v>45294</v>
      </c>
      <c r="B1453" s="38">
        <v>-50</v>
      </c>
      <c r="C1453" s="13" t="s">
        <v>3597</v>
      </c>
      <c r="D1453" s="36">
        <v>44799.72</v>
      </c>
      <c r="E1453" s="43" t="s">
        <v>3604</v>
      </c>
    </row>
    <row r="1454" spans="1:5" x14ac:dyDescent="0.35">
      <c r="A1454" s="40">
        <v>45293</v>
      </c>
      <c r="B1454" s="38">
        <v>-195.05</v>
      </c>
      <c r="C1454" s="13" t="s">
        <v>4347</v>
      </c>
      <c r="D1454" s="36">
        <v>226.28</v>
      </c>
      <c r="E1454" s="43" t="s">
        <v>3596</v>
      </c>
    </row>
    <row r="1455" spans="1:5" x14ac:dyDescent="0.35">
      <c r="A1455" s="40">
        <v>45292</v>
      </c>
      <c r="B1455" s="38">
        <v>-0.06</v>
      </c>
      <c r="C1455" s="13" t="s">
        <v>1873</v>
      </c>
      <c r="D1455" s="36">
        <v>421.33</v>
      </c>
      <c r="E1455" s="43" t="s">
        <v>3596</v>
      </c>
    </row>
    <row r="1456" spans="1:5" x14ac:dyDescent="0.35">
      <c r="A1456" s="40">
        <v>45292</v>
      </c>
      <c r="B1456" s="38">
        <v>85.86</v>
      </c>
      <c r="C1456" s="13" t="s">
        <v>3598</v>
      </c>
      <c r="D1456" s="36">
        <v>45094.720000000001</v>
      </c>
      <c r="E1456" s="43" t="s">
        <v>3604</v>
      </c>
    </row>
    <row r="1457" spans="1:5" x14ac:dyDescent="0.35">
      <c r="A1457" s="40">
        <v>45291</v>
      </c>
      <c r="B1457" s="38">
        <v>-38.79</v>
      </c>
      <c r="C1457" s="13" t="s">
        <v>2281</v>
      </c>
      <c r="D1457" s="36">
        <v>421.39</v>
      </c>
      <c r="E1457" s="43" t="s">
        <v>3596</v>
      </c>
    </row>
    <row r="1458" spans="1:5" x14ac:dyDescent="0.35">
      <c r="A1458" s="40">
        <v>45290</v>
      </c>
      <c r="B1458" s="38">
        <v>-30.98</v>
      </c>
      <c r="C1458" s="13" t="s">
        <v>4348</v>
      </c>
      <c r="D1458" s="36">
        <v>460.18</v>
      </c>
      <c r="E1458" s="43" t="s">
        <v>3596</v>
      </c>
    </row>
    <row r="1459" spans="1:5" x14ac:dyDescent="0.35">
      <c r="A1459" s="40">
        <v>45289</v>
      </c>
      <c r="B1459" s="38">
        <v>9.5</v>
      </c>
      <c r="C1459" s="13" t="s">
        <v>4349</v>
      </c>
      <c r="D1459" s="36">
        <v>491.16</v>
      </c>
      <c r="E1459" s="43" t="s">
        <v>3596</v>
      </c>
    </row>
    <row r="1460" spans="1:5" x14ac:dyDescent="0.35">
      <c r="A1460" s="40">
        <v>45289</v>
      </c>
      <c r="B1460" s="38">
        <v>-56.2</v>
      </c>
      <c r="C1460" s="13" t="s">
        <v>4350</v>
      </c>
      <c r="D1460" s="36">
        <v>481.66</v>
      </c>
      <c r="E1460" s="43" t="s">
        <v>3596</v>
      </c>
    </row>
    <row r="1461" spans="1:5" x14ac:dyDescent="0.35">
      <c r="A1461" s="40">
        <v>45289</v>
      </c>
      <c r="B1461" s="38">
        <v>-40</v>
      </c>
      <c r="C1461" s="13" t="s">
        <v>4351</v>
      </c>
      <c r="D1461" s="36">
        <v>537.86</v>
      </c>
      <c r="E1461" s="43" t="s">
        <v>3596</v>
      </c>
    </row>
    <row r="1462" spans="1:5" x14ac:dyDescent="0.35">
      <c r="A1462" s="40">
        <v>45288</v>
      </c>
      <c r="B1462" s="38">
        <v>-41.14</v>
      </c>
      <c r="C1462" s="13" t="s">
        <v>4352</v>
      </c>
      <c r="D1462" s="36">
        <v>622.52</v>
      </c>
      <c r="E1462" s="43" t="s">
        <v>3596</v>
      </c>
    </row>
    <row r="1463" spans="1:5" x14ac:dyDescent="0.35">
      <c r="A1463" s="40">
        <v>45288</v>
      </c>
      <c r="B1463" s="38">
        <v>-156.94999999999999</v>
      </c>
      <c r="C1463" s="13" t="s">
        <v>4353</v>
      </c>
      <c r="D1463" s="36">
        <v>670.46</v>
      </c>
      <c r="E1463" s="43" t="s">
        <v>3596</v>
      </c>
    </row>
    <row r="1464" spans="1:5" x14ac:dyDescent="0.35">
      <c r="A1464" s="40">
        <v>45288</v>
      </c>
      <c r="B1464" s="38">
        <v>-14.67</v>
      </c>
      <c r="C1464" s="13" t="s">
        <v>4354</v>
      </c>
      <c r="D1464" s="36">
        <v>607.85</v>
      </c>
      <c r="E1464" s="43" t="s">
        <v>3596</v>
      </c>
    </row>
    <row r="1465" spans="1:5" x14ac:dyDescent="0.35">
      <c r="A1465" s="40">
        <v>45288</v>
      </c>
      <c r="B1465" s="38">
        <v>-6.8</v>
      </c>
      <c r="C1465" s="13" t="s">
        <v>4355</v>
      </c>
      <c r="D1465" s="36">
        <v>663.66</v>
      </c>
      <c r="E1465" s="43" t="s">
        <v>3596</v>
      </c>
    </row>
    <row r="1466" spans="1:5" x14ac:dyDescent="0.35">
      <c r="A1466" s="40">
        <v>45288</v>
      </c>
      <c r="B1466" s="38">
        <v>-29.99</v>
      </c>
      <c r="C1466" s="13" t="s">
        <v>4356</v>
      </c>
      <c r="D1466" s="36">
        <v>577.86</v>
      </c>
      <c r="E1466" s="43" t="s">
        <v>3596</v>
      </c>
    </row>
    <row r="1467" spans="1:5" x14ac:dyDescent="0.35">
      <c r="A1467" s="40">
        <v>45287</v>
      </c>
      <c r="B1467" s="38">
        <v>-2400</v>
      </c>
      <c r="C1467" s="13" t="s">
        <v>3418</v>
      </c>
      <c r="D1467" s="36">
        <v>827.41</v>
      </c>
      <c r="E1467" s="43" t="s">
        <v>3596</v>
      </c>
    </row>
    <row r="1468" spans="1:5" x14ac:dyDescent="0.35">
      <c r="A1468" s="40">
        <v>45287</v>
      </c>
      <c r="B1468" s="38">
        <v>-31.92</v>
      </c>
      <c r="C1468" s="13" t="s">
        <v>4183</v>
      </c>
      <c r="D1468" s="36">
        <v>3227.41</v>
      </c>
      <c r="E1468" s="43" t="s">
        <v>3596</v>
      </c>
    </row>
    <row r="1469" spans="1:5" x14ac:dyDescent="0.35">
      <c r="A1469" s="40">
        <v>45287</v>
      </c>
      <c r="B1469" s="38">
        <v>2400</v>
      </c>
      <c r="C1469" s="13" t="s">
        <v>3599</v>
      </c>
      <c r="D1469" s="36">
        <v>45008.86</v>
      </c>
      <c r="E1469" s="43" t="s">
        <v>3604</v>
      </c>
    </row>
    <row r="1470" spans="1:5" x14ac:dyDescent="0.35">
      <c r="A1470" s="40">
        <v>45286</v>
      </c>
      <c r="B1470" s="38">
        <v>-31.74</v>
      </c>
      <c r="C1470" s="13" t="s">
        <v>3414</v>
      </c>
      <c r="D1470" s="36">
        <v>3259.33</v>
      </c>
      <c r="E1470" s="43" t="s">
        <v>3596</v>
      </c>
    </row>
    <row r="1471" spans="1:5" x14ac:dyDescent="0.35">
      <c r="A1471" s="40">
        <v>45284</v>
      </c>
      <c r="B1471" s="38">
        <v>-29.99</v>
      </c>
      <c r="C1471" s="13" t="s">
        <v>4259</v>
      </c>
      <c r="D1471" s="36">
        <v>3291.07</v>
      </c>
      <c r="E1471" s="43" t="s">
        <v>3596</v>
      </c>
    </row>
    <row r="1472" spans="1:5" x14ac:dyDescent="0.35">
      <c r="A1472" s="40">
        <v>45283</v>
      </c>
      <c r="B1472" s="38">
        <v>-24</v>
      </c>
      <c r="C1472" s="13" t="s">
        <v>4357</v>
      </c>
      <c r="D1472" s="36">
        <v>3323.06</v>
      </c>
      <c r="E1472" s="43" t="s">
        <v>3596</v>
      </c>
    </row>
    <row r="1473" spans="1:5" x14ac:dyDescent="0.35">
      <c r="A1473" s="40">
        <v>45283</v>
      </c>
      <c r="B1473" s="38">
        <v>429</v>
      </c>
      <c r="C1473" s="13" t="s">
        <v>4358</v>
      </c>
      <c r="D1473" s="36">
        <v>3347.06</v>
      </c>
      <c r="E1473" s="43" t="s">
        <v>3596</v>
      </c>
    </row>
    <row r="1474" spans="1:5" x14ac:dyDescent="0.35">
      <c r="A1474" s="40">
        <v>45283</v>
      </c>
      <c r="B1474" s="38">
        <v>-2</v>
      </c>
      <c r="C1474" s="13" t="s">
        <v>4359</v>
      </c>
      <c r="D1474" s="36">
        <v>3321.06</v>
      </c>
      <c r="E1474" s="43" t="s">
        <v>3596</v>
      </c>
    </row>
    <row r="1475" spans="1:5" x14ac:dyDescent="0.35">
      <c r="A1475" s="40">
        <v>45283</v>
      </c>
      <c r="B1475" s="38">
        <v>-33.950000000000003</v>
      </c>
      <c r="C1475" s="13" t="s">
        <v>4360</v>
      </c>
      <c r="D1475" s="36">
        <v>2918.06</v>
      </c>
      <c r="E1475" s="43" t="s">
        <v>3596</v>
      </c>
    </row>
    <row r="1476" spans="1:5" x14ac:dyDescent="0.35">
      <c r="A1476" s="40">
        <v>45282</v>
      </c>
      <c r="B1476" s="38">
        <v>-34.020000000000003</v>
      </c>
      <c r="C1476" s="13" t="s">
        <v>3198</v>
      </c>
      <c r="D1476" s="36">
        <v>3280.01</v>
      </c>
      <c r="E1476" s="43" t="s">
        <v>3596</v>
      </c>
    </row>
    <row r="1477" spans="1:5" x14ac:dyDescent="0.35">
      <c r="A1477" s="40">
        <v>45282</v>
      </c>
      <c r="B1477" s="38">
        <v>150</v>
      </c>
      <c r="C1477" s="13" t="s">
        <v>4361</v>
      </c>
      <c r="D1477" s="36">
        <v>2952.01</v>
      </c>
      <c r="E1477" s="43" t="s">
        <v>3596</v>
      </c>
    </row>
    <row r="1478" spans="1:5" x14ac:dyDescent="0.35">
      <c r="A1478" s="40">
        <v>45282</v>
      </c>
      <c r="B1478" s="38">
        <v>-478</v>
      </c>
      <c r="C1478" s="13" t="s">
        <v>4362</v>
      </c>
      <c r="D1478" s="36">
        <v>2802.01</v>
      </c>
      <c r="E1478" s="43" t="s">
        <v>3596</v>
      </c>
    </row>
    <row r="1479" spans="1:5" x14ac:dyDescent="0.35">
      <c r="A1479" s="40">
        <v>45282</v>
      </c>
      <c r="B1479" s="38">
        <v>-39.5</v>
      </c>
      <c r="C1479" s="13" t="s">
        <v>3415</v>
      </c>
      <c r="D1479" s="36">
        <v>3314.03</v>
      </c>
      <c r="E1479" s="43" t="s">
        <v>3596</v>
      </c>
    </row>
    <row r="1480" spans="1:5" x14ac:dyDescent="0.35">
      <c r="A1480" s="40">
        <v>45281</v>
      </c>
      <c r="B1480" s="38">
        <v>2348.84</v>
      </c>
      <c r="C1480" s="13" t="s">
        <v>1869</v>
      </c>
      <c r="D1480" s="36">
        <v>3931.87</v>
      </c>
      <c r="E1480" s="43" t="s">
        <v>3596</v>
      </c>
    </row>
    <row r="1481" spans="1:5" x14ac:dyDescent="0.35">
      <c r="A1481" s="40">
        <v>45281</v>
      </c>
      <c r="B1481" s="38">
        <v>-11.35</v>
      </c>
      <c r="C1481" s="13" t="s">
        <v>3406</v>
      </c>
      <c r="D1481" s="36">
        <v>3353.53</v>
      </c>
      <c r="E1481" s="43" t="s">
        <v>3596</v>
      </c>
    </row>
    <row r="1482" spans="1:5" x14ac:dyDescent="0.35">
      <c r="A1482" s="40">
        <v>45281</v>
      </c>
      <c r="B1482" s="38">
        <v>-66.989999999999995</v>
      </c>
      <c r="C1482" s="13" t="s">
        <v>4363</v>
      </c>
      <c r="D1482" s="36">
        <v>3364.88</v>
      </c>
      <c r="E1482" s="43" t="s">
        <v>3596</v>
      </c>
    </row>
    <row r="1483" spans="1:5" x14ac:dyDescent="0.35">
      <c r="A1483" s="40">
        <v>45281</v>
      </c>
      <c r="B1483" s="38">
        <v>-500</v>
      </c>
      <c r="C1483" s="13" t="s">
        <v>1395</v>
      </c>
      <c r="D1483" s="36">
        <v>3431.87</v>
      </c>
      <c r="E1483" s="43" t="s">
        <v>3596</v>
      </c>
    </row>
    <row r="1484" spans="1:5" x14ac:dyDescent="0.35">
      <c r="A1484" s="40">
        <v>45280</v>
      </c>
      <c r="B1484" s="38">
        <v>-7</v>
      </c>
      <c r="C1484" s="13" t="s">
        <v>3251</v>
      </c>
      <c r="D1484" s="36">
        <v>1583.03</v>
      </c>
      <c r="E1484" s="43" t="s">
        <v>3596</v>
      </c>
    </row>
    <row r="1485" spans="1:5" x14ac:dyDescent="0.35">
      <c r="A1485" s="40">
        <v>45279</v>
      </c>
      <c r="B1485" s="38">
        <v>-41.12</v>
      </c>
      <c r="C1485" s="13" t="s">
        <v>4364</v>
      </c>
      <c r="D1485" s="36">
        <v>1746.49</v>
      </c>
      <c r="E1485" s="43" t="s">
        <v>3596</v>
      </c>
    </row>
    <row r="1486" spans="1:5" x14ac:dyDescent="0.35">
      <c r="A1486" s="40">
        <v>45279</v>
      </c>
      <c r="B1486" s="38">
        <v>-33.880000000000003</v>
      </c>
      <c r="C1486" s="13" t="s">
        <v>4365</v>
      </c>
      <c r="D1486" s="36">
        <v>1643.61</v>
      </c>
      <c r="E1486" s="43" t="s">
        <v>3596</v>
      </c>
    </row>
    <row r="1487" spans="1:5" x14ac:dyDescent="0.35">
      <c r="A1487" s="40">
        <v>45279</v>
      </c>
      <c r="B1487" s="38">
        <v>-22.14</v>
      </c>
      <c r="C1487" s="13" t="s">
        <v>4366</v>
      </c>
      <c r="D1487" s="36">
        <v>1590.03</v>
      </c>
      <c r="E1487" s="43" t="s">
        <v>3596</v>
      </c>
    </row>
    <row r="1488" spans="1:5" x14ac:dyDescent="0.35">
      <c r="A1488" s="40">
        <v>45279</v>
      </c>
      <c r="B1488" s="38">
        <v>-31.44</v>
      </c>
      <c r="C1488" s="13" t="s">
        <v>4366</v>
      </c>
      <c r="D1488" s="36">
        <v>1612.17</v>
      </c>
      <c r="E1488" s="43" t="s">
        <v>3596</v>
      </c>
    </row>
    <row r="1489" spans="1:5" x14ac:dyDescent="0.35">
      <c r="A1489" s="40">
        <v>45279</v>
      </c>
      <c r="B1489" s="38">
        <v>-69</v>
      </c>
      <c r="C1489" s="13" t="s">
        <v>4367</v>
      </c>
      <c r="D1489" s="36">
        <v>1677.49</v>
      </c>
      <c r="E1489" s="43" t="s">
        <v>3596</v>
      </c>
    </row>
    <row r="1490" spans="1:5" x14ac:dyDescent="0.35">
      <c r="A1490" s="40">
        <v>45279</v>
      </c>
      <c r="B1490" s="38">
        <v>-39.299999999999997</v>
      </c>
      <c r="C1490" s="13" t="s">
        <v>4368</v>
      </c>
      <c r="D1490" s="36">
        <v>1787.61</v>
      </c>
      <c r="E1490" s="43" t="s">
        <v>3596</v>
      </c>
    </row>
    <row r="1491" spans="1:5" x14ac:dyDescent="0.35">
      <c r="A1491" s="40">
        <v>45278</v>
      </c>
      <c r="B1491" s="38">
        <v>-2.5</v>
      </c>
      <c r="C1491" s="13" t="s">
        <v>3184</v>
      </c>
      <c r="D1491" s="36">
        <v>1826.91</v>
      </c>
      <c r="E1491" s="43" t="s">
        <v>3596</v>
      </c>
    </row>
    <row r="1492" spans="1:5" x14ac:dyDescent="0.35">
      <c r="A1492" s="40">
        <v>45276</v>
      </c>
      <c r="B1492" s="38">
        <v>-1.86</v>
      </c>
      <c r="C1492" s="13" t="s">
        <v>4344</v>
      </c>
      <c r="D1492" s="36">
        <v>1829.41</v>
      </c>
      <c r="E1492" s="43" t="s">
        <v>3596</v>
      </c>
    </row>
    <row r="1493" spans="1:5" x14ac:dyDescent="0.35">
      <c r="A1493" s="40">
        <v>45275</v>
      </c>
      <c r="B1493" s="38">
        <v>-10.86</v>
      </c>
      <c r="C1493" s="13" t="s">
        <v>4369</v>
      </c>
      <c r="D1493" s="36">
        <v>1831.27</v>
      </c>
      <c r="E1493" s="43" t="s">
        <v>3596</v>
      </c>
    </row>
    <row r="1494" spans="1:5" x14ac:dyDescent="0.35">
      <c r="A1494" s="40">
        <v>45274</v>
      </c>
      <c r="B1494" s="38">
        <v>-30.6</v>
      </c>
      <c r="C1494" s="13" t="s">
        <v>4370</v>
      </c>
      <c r="D1494" s="36">
        <v>1842.13</v>
      </c>
      <c r="E1494" s="43" t="s">
        <v>3596</v>
      </c>
    </row>
    <row r="1495" spans="1:5" x14ac:dyDescent="0.35">
      <c r="A1495" s="40">
        <v>45273</v>
      </c>
      <c r="B1495" s="38">
        <v>-22.13</v>
      </c>
      <c r="C1495" s="13" t="s">
        <v>4309</v>
      </c>
      <c r="D1495" s="36">
        <v>1872.73</v>
      </c>
      <c r="E1495" s="43" t="s">
        <v>3596</v>
      </c>
    </row>
    <row r="1496" spans="1:5" x14ac:dyDescent="0.35">
      <c r="A1496" s="40">
        <v>45273</v>
      </c>
      <c r="B1496" s="38">
        <v>-30.58</v>
      </c>
      <c r="C1496" s="13" t="s">
        <v>4371</v>
      </c>
      <c r="D1496" s="36">
        <v>1894.86</v>
      </c>
      <c r="E1496" s="43" t="s">
        <v>3596</v>
      </c>
    </row>
    <row r="1497" spans="1:5" x14ac:dyDescent="0.35">
      <c r="A1497" s="40">
        <v>45272</v>
      </c>
      <c r="B1497" s="38">
        <v>-38.270000000000003</v>
      </c>
      <c r="C1497" s="13" t="s">
        <v>4372</v>
      </c>
      <c r="D1497" s="36">
        <v>1925.44</v>
      </c>
      <c r="E1497" s="43" t="s">
        <v>3596</v>
      </c>
    </row>
    <row r="1498" spans="1:5" x14ac:dyDescent="0.35">
      <c r="A1498" s="40">
        <v>45272</v>
      </c>
      <c r="B1498" s="38">
        <v>-30.24</v>
      </c>
      <c r="C1498" s="13" t="s">
        <v>4373</v>
      </c>
      <c r="D1498" s="36">
        <v>1996.13</v>
      </c>
      <c r="E1498" s="43" t="s">
        <v>3596</v>
      </c>
    </row>
    <row r="1499" spans="1:5" x14ac:dyDescent="0.35">
      <c r="A1499" s="40">
        <v>45272</v>
      </c>
      <c r="B1499" s="38">
        <v>-32.51</v>
      </c>
      <c r="C1499" s="13" t="s">
        <v>4374</v>
      </c>
      <c r="D1499" s="36">
        <v>2026.37</v>
      </c>
      <c r="E1499" s="43" t="s">
        <v>3596</v>
      </c>
    </row>
    <row r="1500" spans="1:5" x14ac:dyDescent="0.35">
      <c r="A1500" s="40">
        <v>45272</v>
      </c>
      <c r="B1500" s="38">
        <v>-1.5</v>
      </c>
      <c r="C1500" s="13" t="s">
        <v>4375</v>
      </c>
      <c r="D1500" s="36">
        <v>1963.71</v>
      </c>
      <c r="E1500" s="43" t="s">
        <v>3596</v>
      </c>
    </row>
    <row r="1501" spans="1:5" x14ac:dyDescent="0.35">
      <c r="A1501" s="40">
        <v>45272</v>
      </c>
      <c r="B1501" s="38">
        <v>-30.92</v>
      </c>
      <c r="C1501" s="13" t="s">
        <v>4375</v>
      </c>
      <c r="D1501" s="36">
        <v>1965.21</v>
      </c>
      <c r="E1501" s="43" t="s">
        <v>3596</v>
      </c>
    </row>
    <row r="1502" spans="1:5" x14ac:dyDescent="0.35">
      <c r="A1502" s="40">
        <v>45269</v>
      </c>
      <c r="B1502" s="38">
        <v>-30</v>
      </c>
      <c r="C1502" s="13" t="s">
        <v>4376</v>
      </c>
      <c r="D1502" s="36">
        <v>2109.34</v>
      </c>
      <c r="E1502" s="43" t="s">
        <v>3596</v>
      </c>
    </row>
    <row r="1503" spans="1:5" x14ac:dyDescent="0.35">
      <c r="A1503" s="40">
        <v>45269</v>
      </c>
      <c r="B1503" s="38">
        <v>-50.46</v>
      </c>
      <c r="C1503" s="13" t="s">
        <v>3184</v>
      </c>
      <c r="D1503" s="36">
        <v>2058.88</v>
      </c>
      <c r="E1503" s="43" t="s">
        <v>3596</v>
      </c>
    </row>
    <row r="1504" spans="1:5" x14ac:dyDescent="0.35">
      <c r="A1504" s="40">
        <v>45268</v>
      </c>
      <c r="B1504" s="38">
        <v>-6</v>
      </c>
      <c r="C1504" s="13" t="s">
        <v>4377</v>
      </c>
      <c r="D1504" s="36">
        <v>2139.34</v>
      </c>
      <c r="E1504" s="43" t="s">
        <v>3596</v>
      </c>
    </row>
    <row r="1505" spans="1:5" x14ac:dyDescent="0.35">
      <c r="A1505" s="40">
        <v>45268</v>
      </c>
      <c r="B1505" s="38">
        <v>-6</v>
      </c>
      <c r="C1505" s="13" t="s">
        <v>4377</v>
      </c>
      <c r="D1505" s="36">
        <v>2145.34</v>
      </c>
      <c r="E1505" s="43" t="s">
        <v>3596</v>
      </c>
    </row>
    <row r="1506" spans="1:5" x14ac:dyDescent="0.35">
      <c r="A1506" s="40">
        <v>45267</v>
      </c>
      <c r="B1506" s="38">
        <v>-27.2</v>
      </c>
      <c r="C1506" s="13" t="s">
        <v>4378</v>
      </c>
      <c r="D1506" s="36">
        <v>2662.69</v>
      </c>
      <c r="E1506" s="43" t="s">
        <v>3596</v>
      </c>
    </row>
    <row r="1507" spans="1:5" x14ac:dyDescent="0.35">
      <c r="A1507" s="40">
        <v>45267</v>
      </c>
      <c r="B1507" s="38">
        <v>2348.84</v>
      </c>
      <c r="C1507" s="13" t="s">
        <v>2261</v>
      </c>
      <c r="D1507" s="36">
        <v>2689.89</v>
      </c>
      <c r="E1507" s="43" t="s">
        <v>3596</v>
      </c>
    </row>
    <row r="1508" spans="1:5" x14ac:dyDescent="0.35">
      <c r="A1508" s="40">
        <v>45267</v>
      </c>
      <c r="B1508" s="38">
        <v>-11.35</v>
      </c>
      <c r="C1508" s="13" t="s">
        <v>3406</v>
      </c>
      <c r="D1508" s="36">
        <v>2151.34</v>
      </c>
      <c r="E1508" s="43" t="s">
        <v>3596</v>
      </c>
    </row>
    <row r="1509" spans="1:5" x14ac:dyDescent="0.35">
      <c r="A1509" s="40">
        <v>45267</v>
      </c>
      <c r="B1509" s="38">
        <v>-500</v>
      </c>
      <c r="C1509" s="13" t="s">
        <v>1395</v>
      </c>
      <c r="D1509" s="36">
        <v>2162.69</v>
      </c>
      <c r="E1509" s="43" t="s">
        <v>3596</v>
      </c>
    </row>
    <row r="1510" spans="1:5" x14ac:dyDescent="0.35">
      <c r="A1510" s="40">
        <v>45266</v>
      </c>
      <c r="B1510" s="38">
        <v>-29.14</v>
      </c>
      <c r="C1510" s="13" t="s">
        <v>4183</v>
      </c>
      <c r="D1510" s="36">
        <v>341.05</v>
      </c>
      <c r="E1510" s="43" t="s">
        <v>3596</v>
      </c>
    </row>
    <row r="1511" spans="1:5" x14ac:dyDescent="0.35">
      <c r="A1511" s="40">
        <v>45266</v>
      </c>
      <c r="B1511" s="38">
        <v>-223</v>
      </c>
      <c r="C1511" s="13" t="s">
        <v>4379</v>
      </c>
      <c r="D1511" s="36">
        <v>370.19</v>
      </c>
      <c r="E1511" s="43" t="s">
        <v>3596</v>
      </c>
    </row>
    <row r="1512" spans="1:5" x14ac:dyDescent="0.35">
      <c r="A1512" s="40">
        <v>45265</v>
      </c>
      <c r="B1512" s="38">
        <v>-40</v>
      </c>
      <c r="C1512" s="13" t="s">
        <v>4380</v>
      </c>
      <c r="D1512" s="36">
        <v>888.15</v>
      </c>
      <c r="E1512" s="43" t="s">
        <v>3596</v>
      </c>
    </row>
    <row r="1513" spans="1:5" x14ac:dyDescent="0.35">
      <c r="A1513" s="40">
        <v>45265</v>
      </c>
      <c r="B1513" s="38">
        <v>-18.3</v>
      </c>
      <c r="C1513" s="13" t="s">
        <v>4381</v>
      </c>
      <c r="D1513" s="36">
        <v>796.31</v>
      </c>
      <c r="E1513" s="43" t="s">
        <v>3596</v>
      </c>
    </row>
    <row r="1514" spans="1:5" x14ac:dyDescent="0.35">
      <c r="A1514" s="40">
        <v>45265</v>
      </c>
      <c r="B1514" s="38">
        <v>-43.11</v>
      </c>
      <c r="C1514" s="13" t="s">
        <v>4382</v>
      </c>
      <c r="D1514" s="36">
        <v>609.69000000000005</v>
      </c>
      <c r="E1514" s="43" t="s">
        <v>3596</v>
      </c>
    </row>
    <row r="1515" spans="1:5" x14ac:dyDescent="0.35">
      <c r="A1515" s="40">
        <v>45265</v>
      </c>
      <c r="B1515" s="38">
        <v>-34.340000000000003</v>
      </c>
      <c r="C1515" s="13" t="s">
        <v>4383</v>
      </c>
      <c r="D1515" s="36">
        <v>814.61</v>
      </c>
      <c r="E1515" s="43" t="s">
        <v>3596</v>
      </c>
    </row>
    <row r="1516" spans="1:5" x14ac:dyDescent="0.35">
      <c r="A1516" s="40">
        <v>45265</v>
      </c>
      <c r="B1516" s="38">
        <v>-16.5</v>
      </c>
      <c r="C1516" s="13" t="s">
        <v>3334</v>
      </c>
      <c r="D1516" s="36">
        <v>593.19000000000005</v>
      </c>
      <c r="E1516" s="43" t="s">
        <v>3596</v>
      </c>
    </row>
    <row r="1517" spans="1:5" x14ac:dyDescent="0.35">
      <c r="A1517" s="40">
        <v>45265</v>
      </c>
      <c r="B1517" s="38">
        <v>-63.47</v>
      </c>
      <c r="C1517" s="13" t="s">
        <v>4384</v>
      </c>
      <c r="D1517" s="36">
        <v>732.84</v>
      </c>
      <c r="E1517" s="43" t="s">
        <v>3596</v>
      </c>
    </row>
    <row r="1518" spans="1:5" x14ac:dyDescent="0.35">
      <c r="A1518" s="40">
        <v>45265</v>
      </c>
      <c r="B1518" s="38">
        <v>-39.200000000000003</v>
      </c>
      <c r="C1518" s="13" t="s">
        <v>4385</v>
      </c>
      <c r="D1518" s="36">
        <v>848.95</v>
      </c>
      <c r="E1518" s="43" t="s">
        <v>3596</v>
      </c>
    </row>
    <row r="1519" spans="1:5" x14ac:dyDescent="0.35">
      <c r="A1519" s="40">
        <v>45265</v>
      </c>
      <c r="B1519" s="38">
        <v>-34.72</v>
      </c>
      <c r="C1519" s="13" t="s">
        <v>4386</v>
      </c>
      <c r="D1519" s="36">
        <v>652.79999999999995</v>
      </c>
      <c r="E1519" s="43" t="s">
        <v>3596</v>
      </c>
    </row>
    <row r="1520" spans="1:5" x14ac:dyDescent="0.35">
      <c r="A1520" s="40">
        <v>45265</v>
      </c>
      <c r="B1520" s="38">
        <v>-45.32</v>
      </c>
      <c r="C1520" s="13" t="s">
        <v>4387</v>
      </c>
      <c r="D1520" s="36">
        <v>687.52</v>
      </c>
      <c r="E1520" s="43" t="s">
        <v>3596</v>
      </c>
    </row>
    <row r="1521" spans="1:5" x14ac:dyDescent="0.35">
      <c r="A1521" s="40">
        <v>45264</v>
      </c>
      <c r="B1521" s="38">
        <v>300</v>
      </c>
      <c r="C1521" s="13" t="s">
        <v>4388</v>
      </c>
      <c r="D1521" s="36">
        <v>928.15</v>
      </c>
      <c r="E1521" s="43" t="s">
        <v>3596</v>
      </c>
    </row>
    <row r="1522" spans="1:5" x14ac:dyDescent="0.35">
      <c r="A1522" s="40">
        <v>45263</v>
      </c>
      <c r="B1522" s="38">
        <v>150</v>
      </c>
      <c r="C1522" s="13" t="s">
        <v>1521</v>
      </c>
      <c r="D1522" s="36">
        <v>628.15</v>
      </c>
      <c r="E1522" s="43" t="s">
        <v>3596</v>
      </c>
    </row>
    <row r="1523" spans="1:5" x14ac:dyDescent="0.35">
      <c r="A1523" s="40">
        <v>45263</v>
      </c>
      <c r="B1523" s="38">
        <v>-150</v>
      </c>
      <c r="C1523" s="13" t="s">
        <v>3597</v>
      </c>
      <c r="D1523" s="36">
        <v>42608.86</v>
      </c>
      <c r="E1523" s="43" t="s">
        <v>3604</v>
      </c>
    </row>
    <row r="1524" spans="1:5" x14ac:dyDescent="0.35">
      <c r="A1524" s="40">
        <v>45262</v>
      </c>
      <c r="B1524" s="38">
        <v>-149.9</v>
      </c>
      <c r="C1524" s="13" t="s">
        <v>4389</v>
      </c>
      <c r="D1524" s="36">
        <v>397.65</v>
      </c>
      <c r="E1524" s="43" t="s">
        <v>3596</v>
      </c>
    </row>
    <row r="1525" spans="1:5" x14ac:dyDescent="0.35">
      <c r="A1525" s="40">
        <v>45262</v>
      </c>
      <c r="B1525" s="38">
        <v>100</v>
      </c>
      <c r="C1525" s="13" t="s">
        <v>1521</v>
      </c>
      <c r="D1525" s="36">
        <v>493.15</v>
      </c>
      <c r="E1525" s="43" t="s">
        <v>3596</v>
      </c>
    </row>
    <row r="1526" spans="1:5" x14ac:dyDescent="0.35">
      <c r="A1526" s="40">
        <v>45262</v>
      </c>
      <c r="B1526" s="38">
        <v>250</v>
      </c>
      <c r="C1526" s="13" t="s">
        <v>1521</v>
      </c>
      <c r="D1526" s="36">
        <v>547.54999999999995</v>
      </c>
      <c r="E1526" s="43" t="s">
        <v>3596</v>
      </c>
    </row>
    <row r="1527" spans="1:5" x14ac:dyDescent="0.35">
      <c r="A1527" s="40">
        <v>45262</v>
      </c>
      <c r="B1527" s="38">
        <v>-15</v>
      </c>
      <c r="C1527" s="13" t="s">
        <v>4390</v>
      </c>
      <c r="D1527" s="36">
        <v>478.15</v>
      </c>
      <c r="E1527" s="43" t="s">
        <v>3596</v>
      </c>
    </row>
    <row r="1528" spans="1:5" x14ac:dyDescent="0.35">
      <c r="A1528" s="40">
        <v>45262</v>
      </c>
      <c r="B1528" s="38">
        <v>-4.5</v>
      </c>
      <c r="C1528" s="13" t="s">
        <v>4391</v>
      </c>
      <c r="D1528" s="36">
        <v>393.15</v>
      </c>
      <c r="E1528" s="43" t="s">
        <v>3596</v>
      </c>
    </row>
    <row r="1529" spans="1:5" x14ac:dyDescent="0.35">
      <c r="A1529" s="40">
        <v>45262</v>
      </c>
      <c r="B1529" s="38">
        <v>-250</v>
      </c>
      <c r="C1529" s="13" t="s">
        <v>3597</v>
      </c>
      <c r="D1529" s="36">
        <v>42858.86</v>
      </c>
      <c r="E1529" s="43" t="s">
        <v>3604</v>
      </c>
    </row>
    <row r="1530" spans="1:5" x14ac:dyDescent="0.35">
      <c r="A1530" s="40">
        <v>45262</v>
      </c>
      <c r="B1530" s="38">
        <v>-100</v>
      </c>
      <c r="C1530" s="13" t="s">
        <v>3597</v>
      </c>
      <c r="D1530" s="36">
        <v>42758.86</v>
      </c>
      <c r="E1530" s="43" t="s">
        <v>3604</v>
      </c>
    </row>
    <row r="1531" spans="1:5" x14ac:dyDescent="0.35">
      <c r="A1531" s="40">
        <v>45261</v>
      </c>
      <c r="B1531" s="38">
        <v>-17</v>
      </c>
      <c r="C1531" s="13" t="s">
        <v>4392</v>
      </c>
      <c r="D1531" s="36">
        <v>465.8</v>
      </c>
      <c r="E1531" s="43" t="s">
        <v>3596</v>
      </c>
    </row>
    <row r="1532" spans="1:5" x14ac:dyDescent="0.35">
      <c r="A1532" s="40">
        <v>45261</v>
      </c>
      <c r="B1532" s="38">
        <v>26.8</v>
      </c>
      <c r="C1532" s="13" t="s">
        <v>4393</v>
      </c>
      <c r="D1532" s="36">
        <v>492.6</v>
      </c>
      <c r="E1532" s="43" t="s">
        <v>3596</v>
      </c>
    </row>
    <row r="1533" spans="1:5" x14ac:dyDescent="0.35">
      <c r="A1533" s="40">
        <v>45261</v>
      </c>
      <c r="B1533" s="38">
        <v>-195.05</v>
      </c>
      <c r="C1533" s="13" t="s">
        <v>4394</v>
      </c>
      <c r="D1533" s="36">
        <v>297.55</v>
      </c>
      <c r="E1533" s="43" t="s">
        <v>3596</v>
      </c>
    </row>
    <row r="1534" spans="1:5" x14ac:dyDescent="0.35">
      <c r="A1534" s="40">
        <v>45261</v>
      </c>
      <c r="B1534" s="38">
        <v>84.27</v>
      </c>
      <c r="C1534" s="13" t="s">
        <v>3598</v>
      </c>
      <c r="D1534" s="36">
        <v>43108.86</v>
      </c>
      <c r="E1534" s="43" t="s">
        <v>3604</v>
      </c>
    </row>
    <row r="1535" spans="1:5" x14ac:dyDescent="0.35">
      <c r="A1535" s="40">
        <v>45260</v>
      </c>
      <c r="B1535" s="38">
        <v>0.02</v>
      </c>
      <c r="C1535" s="13" t="s">
        <v>3383</v>
      </c>
      <c r="D1535" s="36">
        <v>482.8</v>
      </c>
      <c r="E1535" s="43" t="s">
        <v>3596</v>
      </c>
    </row>
    <row r="1536" spans="1:5" x14ac:dyDescent="0.35">
      <c r="A1536" s="40">
        <v>45259</v>
      </c>
      <c r="B1536" s="38">
        <v>-18.350000000000001</v>
      </c>
      <c r="C1536" s="13" t="s">
        <v>3184</v>
      </c>
      <c r="D1536" s="36">
        <v>482.78</v>
      </c>
      <c r="E1536" s="43" t="s">
        <v>3596</v>
      </c>
    </row>
    <row r="1537" spans="1:5" x14ac:dyDescent="0.35">
      <c r="A1537" s="40">
        <v>45258</v>
      </c>
      <c r="B1537" s="38">
        <v>-19.82</v>
      </c>
      <c r="C1537" s="13" t="s">
        <v>4395</v>
      </c>
      <c r="D1537" s="36">
        <v>531.12</v>
      </c>
      <c r="E1537" s="43" t="s">
        <v>3596</v>
      </c>
    </row>
    <row r="1538" spans="1:5" x14ac:dyDescent="0.35">
      <c r="A1538" s="40">
        <v>45258</v>
      </c>
      <c r="B1538" s="38">
        <v>-16</v>
      </c>
      <c r="C1538" s="13" t="s">
        <v>3334</v>
      </c>
      <c r="D1538" s="36">
        <v>550.94000000000005</v>
      </c>
      <c r="E1538" s="43" t="s">
        <v>3596</v>
      </c>
    </row>
    <row r="1539" spans="1:5" x14ac:dyDescent="0.35">
      <c r="A1539" s="40">
        <v>45258</v>
      </c>
      <c r="B1539" s="38">
        <v>-29.99</v>
      </c>
      <c r="C1539" s="13" t="s">
        <v>4396</v>
      </c>
      <c r="D1539" s="36">
        <v>501.13</v>
      </c>
      <c r="E1539" s="43" t="s">
        <v>3596</v>
      </c>
    </row>
    <row r="1540" spans="1:5" x14ac:dyDescent="0.35">
      <c r="A1540" s="40">
        <v>45257</v>
      </c>
      <c r="B1540" s="38">
        <v>-4.5</v>
      </c>
      <c r="C1540" s="13" t="s">
        <v>4264</v>
      </c>
      <c r="D1540" s="36">
        <v>566.94000000000005</v>
      </c>
      <c r="E1540" s="43" t="s">
        <v>3596</v>
      </c>
    </row>
    <row r="1541" spans="1:5" x14ac:dyDescent="0.35">
      <c r="A1541" s="40">
        <v>45257</v>
      </c>
      <c r="B1541" s="38">
        <v>-16.5</v>
      </c>
      <c r="C1541" s="13" t="s">
        <v>3334</v>
      </c>
      <c r="D1541" s="36">
        <v>571.44000000000005</v>
      </c>
      <c r="E1541" s="43" t="s">
        <v>3596</v>
      </c>
    </row>
    <row r="1542" spans="1:5" x14ac:dyDescent="0.35">
      <c r="A1542" s="40">
        <v>45256</v>
      </c>
      <c r="B1542" s="38">
        <v>-22.5</v>
      </c>
      <c r="C1542" s="13" t="s">
        <v>4397</v>
      </c>
      <c r="D1542" s="36">
        <v>587.94000000000005</v>
      </c>
      <c r="E1542" s="43" t="s">
        <v>3596</v>
      </c>
    </row>
    <row r="1543" spans="1:5" x14ac:dyDescent="0.35">
      <c r="A1543" s="40">
        <v>45255</v>
      </c>
      <c r="B1543" s="38">
        <v>-45.05</v>
      </c>
      <c r="C1543" s="13" t="s">
        <v>2281</v>
      </c>
      <c r="D1543" s="36">
        <v>610.44000000000005</v>
      </c>
      <c r="E1543" s="43" t="s">
        <v>3596</v>
      </c>
    </row>
    <row r="1544" spans="1:5" x14ac:dyDescent="0.35">
      <c r="A1544" s="40">
        <v>45254</v>
      </c>
      <c r="B1544" s="38">
        <v>-2200</v>
      </c>
      <c r="C1544" s="13" t="s">
        <v>3418</v>
      </c>
      <c r="D1544" s="36">
        <v>655.49</v>
      </c>
      <c r="E1544" s="43" t="s">
        <v>3596</v>
      </c>
    </row>
    <row r="1545" spans="1:5" x14ac:dyDescent="0.35">
      <c r="A1545" s="40">
        <v>45254</v>
      </c>
      <c r="B1545" s="38">
        <v>-3.6</v>
      </c>
      <c r="C1545" s="13" t="s">
        <v>4398</v>
      </c>
      <c r="D1545" s="36">
        <v>2855.49</v>
      </c>
      <c r="E1545" s="43" t="s">
        <v>3596</v>
      </c>
    </row>
    <row r="1546" spans="1:5" x14ac:dyDescent="0.35">
      <c r="A1546" s="40">
        <v>45254</v>
      </c>
      <c r="B1546" s="38">
        <v>-29.99</v>
      </c>
      <c r="C1546" s="13" t="s">
        <v>4399</v>
      </c>
      <c r="D1546" s="36">
        <v>2859.09</v>
      </c>
      <c r="E1546" s="43" t="s">
        <v>3596</v>
      </c>
    </row>
    <row r="1547" spans="1:5" x14ac:dyDescent="0.35">
      <c r="A1547" s="40">
        <v>45254</v>
      </c>
      <c r="B1547" s="38">
        <v>2200</v>
      </c>
      <c r="C1547" s="13" t="s">
        <v>3599</v>
      </c>
      <c r="D1547" s="36">
        <v>43024.59</v>
      </c>
      <c r="E1547" s="43" t="s">
        <v>3604</v>
      </c>
    </row>
    <row r="1548" spans="1:5" x14ac:dyDescent="0.35">
      <c r="A1548" s="40">
        <v>45253</v>
      </c>
      <c r="B1548" s="38">
        <v>-3.3</v>
      </c>
      <c r="C1548" s="13" t="s">
        <v>4400</v>
      </c>
      <c r="D1548" s="36">
        <v>3119.53</v>
      </c>
      <c r="E1548" s="43" t="s">
        <v>3596</v>
      </c>
    </row>
    <row r="1549" spans="1:5" x14ac:dyDescent="0.35">
      <c r="A1549" s="40">
        <v>45253</v>
      </c>
      <c r="B1549" s="38">
        <v>3303.84</v>
      </c>
      <c r="C1549" s="13" t="s">
        <v>4401</v>
      </c>
      <c r="D1549" s="36">
        <v>3622.83</v>
      </c>
      <c r="E1549" s="43" t="s">
        <v>3596</v>
      </c>
    </row>
    <row r="1550" spans="1:5" x14ac:dyDescent="0.35">
      <c r="A1550" s="40">
        <v>45253</v>
      </c>
      <c r="B1550" s="38">
        <v>-11.35</v>
      </c>
      <c r="C1550" s="13" t="s">
        <v>3406</v>
      </c>
      <c r="D1550" s="36">
        <v>3098.28</v>
      </c>
      <c r="E1550" s="43" t="s">
        <v>3596</v>
      </c>
    </row>
    <row r="1551" spans="1:5" x14ac:dyDescent="0.35">
      <c r="A1551" s="40">
        <v>45253</v>
      </c>
      <c r="B1551" s="38">
        <v>-9.9</v>
      </c>
      <c r="C1551" s="13" t="s">
        <v>4402</v>
      </c>
      <c r="D1551" s="36">
        <v>3109.63</v>
      </c>
      <c r="E1551" s="43" t="s">
        <v>3596</v>
      </c>
    </row>
    <row r="1552" spans="1:5" x14ac:dyDescent="0.35">
      <c r="A1552" s="40">
        <v>45253</v>
      </c>
      <c r="B1552" s="38">
        <v>-500</v>
      </c>
      <c r="C1552" s="13" t="s">
        <v>1395</v>
      </c>
      <c r="D1552" s="36">
        <v>3122.83</v>
      </c>
      <c r="E1552" s="43" t="s">
        <v>3596</v>
      </c>
    </row>
    <row r="1553" spans="1:5" x14ac:dyDescent="0.35">
      <c r="A1553" s="40">
        <v>45253</v>
      </c>
      <c r="B1553" s="38">
        <v>-209.2</v>
      </c>
      <c r="C1553" s="13" t="s">
        <v>4403</v>
      </c>
      <c r="D1553" s="36">
        <v>2889.08</v>
      </c>
      <c r="E1553" s="43" t="s">
        <v>3596</v>
      </c>
    </row>
    <row r="1554" spans="1:5" x14ac:dyDescent="0.35">
      <c r="A1554" s="40">
        <v>45252</v>
      </c>
      <c r="B1554" s="38">
        <v>-84.96</v>
      </c>
      <c r="C1554" s="13" t="s">
        <v>3419</v>
      </c>
      <c r="D1554" s="36">
        <v>318.99</v>
      </c>
      <c r="E1554" s="43" t="s">
        <v>3596</v>
      </c>
    </row>
    <row r="1555" spans="1:5" x14ac:dyDescent="0.35">
      <c r="A1555" s="40">
        <v>45252</v>
      </c>
      <c r="B1555" s="38">
        <v>-40</v>
      </c>
      <c r="C1555" s="13" t="s">
        <v>4404</v>
      </c>
      <c r="D1555" s="36">
        <v>424.45</v>
      </c>
      <c r="E1555" s="43" t="s">
        <v>3596</v>
      </c>
    </row>
    <row r="1556" spans="1:5" x14ac:dyDescent="0.35">
      <c r="A1556" s="40">
        <v>45252</v>
      </c>
      <c r="B1556" s="38">
        <v>-20.5</v>
      </c>
      <c r="C1556" s="13" t="s">
        <v>3111</v>
      </c>
      <c r="D1556" s="36">
        <v>403.95</v>
      </c>
      <c r="E1556" s="43" t="s">
        <v>3596</v>
      </c>
    </row>
    <row r="1557" spans="1:5" x14ac:dyDescent="0.35">
      <c r="A1557" s="40">
        <v>45252</v>
      </c>
      <c r="B1557" s="38">
        <v>-39.5</v>
      </c>
      <c r="C1557" s="13" t="s">
        <v>3415</v>
      </c>
      <c r="D1557" s="36">
        <v>464.45</v>
      </c>
      <c r="E1557" s="43" t="s">
        <v>3596</v>
      </c>
    </row>
    <row r="1558" spans="1:5" x14ac:dyDescent="0.35">
      <c r="A1558" s="40">
        <v>45251</v>
      </c>
      <c r="B1558" s="38">
        <v>-39.840000000000003</v>
      </c>
      <c r="C1558" s="13" t="s">
        <v>4405</v>
      </c>
      <c r="D1558" s="36">
        <v>1301.21</v>
      </c>
      <c r="E1558" s="43" t="s">
        <v>3596</v>
      </c>
    </row>
    <row r="1559" spans="1:5" x14ac:dyDescent="0.35">
      <c r="A1559" s="40">
        <v>45251</v>
      </c>
      <c r="B1559" s="38">
        <v>-38.57</v>
      </c>
      <c r="C1559" s="13" t="s">
        <v>4406</v>
      </c>
      <c r="D1559" s="36">
        <v>1262.6400000000001</v>
      </c>
      <c r="E1559" s="43" t="s">
        <v>3596</v>
      </c>
    </row>
    <row r="1560" spans="1:5" x14ac:dyDescent="0.35">
      <c r="A1560" s="40">
        <v>45251</v>
      </c>
      <c r="B1560" s="38">
        <v>-150</v>
      </c>
      <c r="C1560" s="13" t="s">
        <v>4407</v>
      </c>
      <c r="D1560" s="36">
        <v>1112.6400000000001</v>
      </c>
      <c r="E1560" s="43" t="s">
        <v>3596</v>
      </c>
    </row>
    <row r="1561" spans="1:5" x14ac:dyDescent="0.35">
      <c r="A1561" s="40">
        <v>45251</v>
      </c>
      <c r="B1561" s="38">
        <v>-8.69</v>
      </c>
      <c r="C1561" s="13" t="s">
        <v>3184</v>
      </c>
      <c r="D1561" s="36">
        <v>503.95</v>
      </c>
      <c r="E1561" s="43" t="s">
        <v>3596</v>
      </c>
    </row>
    <row r="1562" spans="1:5" x14ac:dyDescent="0.35">
      <c r="A1562" s="40">
        <v>45251</v>
      </c>
      <c r="B1562" s="38">
        <v>600</v>
      </c>
      <c r="C1562" s="13" t="s">
        <v>3599</v>
      </c>
      <c r="D1562" s="36">
        <v>40824.589999999997</v>
      </c>
      <c r="E1562" s="43" t="s">
        <v>3604</v>
      </c>
    </row>
    <row r="1563" spans="1:5" x14ac:dyDescent="0.35">
      <c r="A1563" s="40">
        <v>45251</v>
      </c>
      <c r="B1563" s="38">
        <v>-600</v>
      </c>
      <c r="C1563" s="13" t="s">
        <v>3418</v>
      </c>
      <c r="D1563" s="36">
        <v>512.64</v>
      </c>
      <c r="E1563" s="43" t="s">
        <v>3596</v>
      </c>
    </row>
    <row r="1564" spans="1:5" x14ac:dyDescent="0.35">
      <c r="A1564" s="40">
        <v>45250</v>
      </c>
      <c r="B1564" s="38">
        <v>-16.5</v>
      </c>
      <c r="C1564" s="13" t="s">
        <v>3334</v>
      </c>
      <c r="D1564" s="36">
        <v>1341.05</v>
      </c>
      <c r="E1564" s="43" t="s">
        <v>3596</v>
      </c>
    </row>
    <row r="1565" spans="1:5" x14ac:dyDescent="0.35">
      <c r="A1565" s="40">
        <v>45248</v>
      </c>
      <c r="B1565" s="38">
        <v>-18.18</v>
      </c>
      <c r="C1565" s="13" t="s">
        <v>4408</v>
      </c>
      <c r="D1565" s="36">
        <v>1357.55</v>
      </c>
      <c r="E1565" s="43" t="s">
        <v>3596</v>
      </c>
    </row>
    <row r="1566" spans="1:5" x14ac:dyDescent="0.35">
      <c r="A1566" s="40">
        <v>45248</v>
      </c>
      <c r="B1566" s="38">
        <v>-26.26</v>
      </c>
      <c r="C1566" s="13" t="s">
        <v>4408</v>
      </c>
      <c r="D1566" s="36">
        <v>1375.73</v>
      </c>
      <c r="E1566" s="43" t="s">
        <v>3596</v>
      </c>
    </row>
    <row r="1567" spans="1:5" x14ac:dyDescent="0.35">
      <c r="A1567" s="40">
        <v>45248</v>
      </c>
      <c r="B1567" s="38">
        <v>-69</v>
      </c>
      <c r="C1567" s="13" t="s">
        <v>4409</v>
      </c>
      <c r="D1567" s="36">
        <v>1919.99</v>
      </c>
      <c r="E1567" s="43" t="s">
        <v>3596</v>
      </c>
    </row>
    <row r="1568" spans="1:5" x14ac:dyDescent="0.35">
      <c r="A1568" s="40">
        <v>45248</v>
      </c>
      <c r="B1568" s="38">
        <v>-259</v>
      </c>
      <c r="C1568" s="13" t="s">
        <v>4410</v>
      </c>
      <c r="D1568" s="36">
        <v>1501.99</v>
      </c>
      <c r="E1568" s="43" t="s">
        <v>3596</v>
      </c>
    </row>
    <row r="1569" spans="1:5" x14ac:dyDescent="0.35">
      <c r="A1569" s="40">
        <v>45248</v>
      </c>
      <c r="B1569" s="38">
        <v>-159</v>
      </c>
      <c r="C1569" s="13" t="s">
        <v>4411</v>
      </c>
      <c r="D1569" s="36">
        <v>1760.99</v>
      </c>
      <c r="E1569" s="43" t="s">
        <v>3596</v>
      </c>
    </row>
    <row r="1570" spans="1:5" x14ac:dyDescent="0.35">
      <c r="A1570" s="40">
        <v>45248</v>
      </c>
      <c r="B1570" s="38">
        <v>-100</v>
      </c>
      <c r="C1570" s="13" t="s">
        <v>4412</v>
      </c>
      <c r="D1570" s="36">
        <v>1401.99</v>
      </c>
      <c r="E1570" s="43" t="s">
        <v>3596</v>
      </c>
    </row>
    <row r="1571" spans="1:5" x14ac:dyDescent="0.35">
      <c r="A1571" s="40">
        <v>45247</v>
      </c>
      <c r="B1571" s="38">
        <v>-40</v>
      </c>
      <c r="C1571" s="13" t="s">
        <v>1614</v>
      </c>
      <c r="D1571" s="36">
        <v>2021.44</v>
      </c>
      <c r="E1571" s="43" t="s">
        <v>3596</v>
      </c>
    </row>
    <row r="1572" spans="1:5" x14ac:dyDescent="0.35">
      <c r="A1572" s="40">
        <v>45247</v>
      </c>
      <c r="B1572" s="38">
        <v>-14</v>
      </c>
      <c r="C1572" s="13" t="s">
        <v>3420</v>
      </c>
      <c r="D1572" s="36">
        <v>1988.99</v>
      </c>
      <c r="E1572" s="43" t="s">
        <v>3596</v>
      </c>
    </row>
    <row r="1573" spans="1:5" x14ac:dyDescent="0.35">
      <c r="A1573" s="40">
        <v>45247</v>
      </c>
      <c r="B1573" s="38">
        <v>-18.45</v>
      </c>
      <c r="C1573" s="13" t="s">
        <v>3421</v>
      </c>
      <c r="D1573" s="36">
        <v>2002.99</v>
      </c>
      <c r="E1573" s="43" t="s">
        <v>3596</v>
      </c>
    </row>
    <row r="1574" spans="1:5" x14ac:dyDescent="0.35">
      <c r="A1574" s="40">
        <v>45246</v>
      </c>
      <c r="B1574" s="38">
        <v>5.24</v>
      </c>
      <c r="C1574" s="13" t="s">
        <v>3212</v>
      </c>
      <c r="D1574" s="36">
        <v>2061.44</v>
      </c>
      <c r="E1574" s="43" t="s">
        <v>3596</v>
      </c>
    </row>
    <row r="1575" spans="1:5" x14ac:dyDescent="0.35">
      <c r="A1575" s="40">
        <v>45246</v>
      </c>
      <c r="B1575" s="38">
        <v>-81.75</v>
      </c>
      <c r="C1575" s="13" t="s">
        <v>4413</v>
      </c>
      <c r="D1575" s="36">
        <v>2056.1999999999998</v>
      </c>
      <c r="E1575" s="43" t="s">
        <v>3596</v>
      </c>
    </row>
    <row r="1576" spans="1:5" x14ac:dyDescent="0.35">
      <c r="A1576" s="40">
        <v>45245</v>
      </c>
      <c r="B1576" s="38">
        <v>-9.99</v>
      </c>
      <c r="C1576" s="13" t="s">
        <v>3414</v>
      </c>
      <c r="D1576" s="36">
        <v>2137.9499999999998</v>
      </c>
      <c r="E1576" s="43" t="s">
        <v>3596</v>
      </c>
    </row>
    <row r="1577" spans="1:5" x14ac:dyDescent="0.35">
      <c r="A1577" s="40">
        <v>45245</v>
      </c>
      <c r="B1577" s="38">
        <v>-18.93</v>
      </c>
      <c r="C1577" s="13" t="s">
        <v>4414</v>
      </c>
      <c r="D1577" s="36">
        <v>2147.94</v>
      </c>
      <c r="E1577" s="43" t="s">
        <v>3596</v>
      </c>
    </row>
    <row r="1578" spans="1:5" x14ac:dyDescent="0.35">
      <c r="A1578" s="40">
        <v>45244</v>
      </c>
      <c r="B1578" s="38">
        <v>-15.16</v>
      </c>
      <c r="C1578" s="13" t="s">
        <v>4415</v>
      </c>
      <c r="D1578" s="36">
        <v>2243.71</v>
      </c>
      <c r="E1578" s="43" t="s">
        <v>3596</v>
      </c>
    </row>
    <row r="1579" spans="1:5" x14ac:dyDescent="0.35">
      <c r="A1579" s="40">
        <v>45244</v>
      </c>
      <c r="B1579" s="38">
        <v>-40.840000000000003</v>
      </c>
      <c r="C1579" s="13" t="s">
        <v>4416</v>
      </c>
      <c r="D1579" s="36">
        <v>2182.87</v>
      </c>
      <c r="E1579" s="43" t="s">
        <v>3596</v>
      </c>
    </row>
    <row r="1580" spans="1:5" x14ac:dyDescent="0.35">
      <c r="A1580" s="40">
        <v>45244</v>
      </c>
      <c r="B1580" s="38">
        <v>-16</v>
      </c>
      <c r="C1580" s="13" t="s">
        <v>3334</v>
      </c>
      <c r="D1580" s="36">
        <v>2166.87</v>
      </c>
      <c r="E1580" s="43" t="s">
        <v>3596</v>
      </c>
    </row>
    <row r="1581" spans="1:5" x14ac:dyDescent="0.35">
      <c r="A1581" s="40">
        <v>45244</v>
      </c>
      <c r="B1581" s="38">
        <v>-20</v>
      </c>
      <c r="C1581" s="13" t="s">
        <v>4417</v>
      </c>
      <c r="D1581" s="36">
        <v>2223.71</v>
      </c>
      <c r="E1581" s="43" t="s">
        <v>3596</v>
      </c>
    </row>
    <row r="1582" spans="1:5" x14ac:dyDescent="0.35">
      <c r="A1582" s="40">
        <v>45243</v>
      </c>
      <c r="B1582" s="38">
        <v>-22</v>
      </c>
      <c r="C1582" s="13" t="s">
        <v>1584</v>
      </c>
      <c r="D1582" s="36">
        <v>2258.87</v>
      </c>
      <c r="E1582" s="43" t="s">
        <v>3596</v>
      </c>
    </row>
    <row r="1583" spans="1:5" x14ac:dyDescent="0.35">
      <c r="A1583" s="40">
        <v>45242</v>
      </c>
      <c r="B1583" s="38">
        <v>-35.08</v>
      </c>
      <c r="C1583" s="13" t="s">
        <v>3320</v>
      </c>
      <c r="D1583" s="36">
        <v>2280.87</v>
      </c>
      <c r="E1583" s="43" t="s">
        <v>3596</v>
      </c>
    </row>
    <row r="1584" spans="1:5" x14ac:dyDescent="0.35">
      <c r="A1584" s="40">
        <v>45241</v>
      </c>
      <c r="B1584" s="38">
        <v>-39.01</v>
      </c>
      <c r="C1584" s="13" t="s">
        <v>2281</v>
      </c>
      <c r="D1584" s="36">
        <v>2315.9499999999998</v>
      </c>
      <c r="E1584" s="43" t="s">
        <v>3596</v>
      </c>
    </row>
    <row r="1585" spans="1:5" x14ac:dyDescent="0.35">
      <c r="A1585" s="40">
        <v>45240</v>
      </c>
      <c r="B1585" s="38">
        <v>-10.3</v>
      </c>
      <c r="C1585" s="13" t="s">
        <v>4418</v>
      </c>
      <c r="D1585" s="36">
        <v>1767.96</v>
      </c>
      <c r="E1585" s="43" t="s">
        <v>3596</v>
      </c>
    </row>
    <row r="1586" spans="1:5" x14ac:dyDescent="0.35">
      <c r="A1586" s="40">
        <v>45240</v>
      </c>
      <c r="B1586" s="38">
        <v>-10.3</v>
      </c>
      <c r="C1586" s="13" t="s">
        <v>4418</v>
      </c>
      <c r="D1586" s="36">
        <v>1778.26</v>
      </c>
      <c r="E1586" s="43" t="s">
        <v>3596</v>
      </c>
    </row>
    <row r="1587" spans="1:5" x14ac:dyDescent="0.35">
      <c r="A1587" s="40">
        <v>45240</v>
      </c>
      <c r="B1587" s="38">
        <v>600</v>
      </c>
      <c r="C1587" s="13" t="s">
        <v>1521</v>
      </c>
      <c r="D1587" s="36">
        <v>2354.96</v>
      </c>
      <c r="E1587" s="43" t="s">
        <v>3596</v>
      </c>
    </row>
    <row r="1588" spans="1:5" x14ac:dyDescent="0.35">
      <c r="A1588" s="40">
        <v>45240</v>
      </c>
      <c r="B1588" s="38">
        <v>-13</v>
      </c>
      <c r="C1588" s="13" t="s">
        <v>4419</v>
      </c>
      <c r="D1588" s="36">
        <v>1754.96</v>
      </c>
      <c r="E1588" s="43" t="s">
        <v>3596</v>
      </c>
    </row>
    <row r="1589" spans="1:5" x14ac:dyDescent="0.35">
      <c r="A1589" s="40">
        <v>45240</v>
      </c>
      <c r="B1589" s="38">
        <v>-600</v>
      </c>
      <c r="C1589" s="13" t="s">
        <v>3597</v>
      </c>
      <c r="D1589" s="36">
        <v>40224.589999999997</v>
      </c>
      <c r="E1589" s="43" t="s">
        <v>3604</v>
      </c>
    </row>
    <row r="1590" spans="1:5" x14ac:dyDescent="0.35">
      <c r="A1590" s="40">
        <v>45239</v>
      </c>
      <c r="B1590" s="38">
        <v>2375.25</v>
      </c>
      <c r="C1590" s="13" t="s">
        <v>4420</v>
      </c>
      <c r="D1590" s="36">
        <v>2549.91</v>
      </c>
      <c r="E1590" s="43" t="s">
        <v>3596</v>
      </c>
    </row>
    <row r="1591" spans="1:5" x14ac:dyDescent="0.35">
      <c r="A1591" s="40">
        <v>45239</v>
      </c>
      <c r="B1591" s="38">
        <v>-11.35</v>
      </c>
      <c r="C1591" s="13" t="s">
        <v>3406</v>
      </c>
      <c r="D1591" s="36">
        <v>1788.56</v>
      </c>
      <c r="E1591" s="43" t="s">
        <v>3596</v>
      </c>
    </row>
    <row r="1592" spans="1:5" x14ac:dyDescent="0.35">
      <c r="A1592" s="40">
        <v>45239</v>
      </c>
      <c r="B1592" s="38">
        <v>-500</v>
      </c>
      <c r="C1592" s="13" t="s">
        <v>1395</v>
      </c>
      <c r="D1592" s="36">
        <v>1799.91</v>
      </c>
      <c r="E1592" s="43" t="s">
        <v>3596</v>
      </c>
    </row>
    <row r="1593" spans="1:5" x14ac:dyDescent="0.35">
      <c r="A1593" s="40">
        <v>45239</v>
      </c>
      <c r="B1593" s="38">
        <v>-250</v>
      </c>
      <c r="C1593" s="13" t="s">
        <v>4421</v>
      </c>
      <c r="D1593" s="36">
        <v>2299.91</v>
      </c>
      <c r="E1593" s="43" t="s">
        <v>3596</v>
      </c>
    </row>
    <row r="1594" spans="1:5" x14ac:dyDescent="0.35">
      <c r="A1594" s="40">
        <v>45238</v>
      </c>
      <c r="B1594" s="38">
        <v>-4.9000000000000004</v>
      </c>
      <c r="C1594" s="13" t="s">
        <v>4422</v>
      </c>
      <c r="D1594" s="36">
        <v>244.33</v>
      </c>
      <c r="E1594" s="43" t="s">
        <v>3596</v>
      </c>
    </row>
    <row r="1595" spans="1:5" x14ac:dyDescent="0.35">
      <c r="A1595" s="40">
        <v>45238</v>
      </c>
      <c r="B1595" s="38">
        <v>-11.9</v>
      </c>
      <c r="C1595" s="13" t="s">
        <v>3111</v>
      </c>
      <c r="D1595" s="36">
        <v>174.66</v>
      </c>
      <c r="E1595" s="43" t="s">
        <v>3596</v>
      </c>
    </row>
    <row r="1596" spans="1:5" x14ac:dyDescent="0.35">
      <c r="A1596" s="40">
        <v>45238</v>
      </c>
      <c r="B1596" s="38">
        <v>-57.77</v>
      </c>
      <c r="C1596" s="13" t="s">
        <v>4423</v>
      </c>
      <c r="D1596" s="36">
        <v>186.56</v>
      </c>
      <c r="E1596" s="43" t="s">
        <v>3596</v>
      </c>
    </row>
    <row r="1597" spans="1:5" x14ac:dyDescent="0.35">
      <c r="A1597" s="40">
        <v>45237</v>
      </c>
      <c r="B1597" s="38">
        <v>-341.09</v>
      </c>
      <c r="C1597" s="13" t="s">
        <v>4424</v>
      </c>
      <c r="D1597" s="36">
        <v>249.23</v>
      </c>
      <c r="E1597" s="43" t="s">
        <v>3596</v>
      </c>
    </row>
    <row r="1598" spans="1:5" x14ac:dyDescent="0.35">
      <c r="A1598" s="40">
        <v>45236</v>
      </c>
      <c r="B1598" s="38">
        <v>-16</v>
      </c>
      <c r="C1598" s="13" t="s">
        <v>3334</v>
      </c>
      <c r="D1598" s="36">
        <v>590.32000000000005</v>
      </c>
      <c r="E1598" s="43" t="s">
        <v>3596</v>
      </c>
    </row>
    <row r="1599" spans="1:5" x14ac:dyDescent="0.35">
      <c r="A1599" s="40">
        <v>45234</v>
      </c>
      <c r="B1599" s="38">
        <v>-39.35</v>
      </c>
      <c r="C1599" s="13" t="s">
        <v>3414</v>
      </c>
      <c r="D1599" s="36">
        <v>606.32000000000005</v>
      </c>
      <c r="E1599" s="43" t="s">
        <v>3596</v>
      </c>
    </row>
    <row r="1600" spans="1:5" x14ac:dyDescent="0.35">
      <c r="A1600" s="40">
        <v>45233</v>
      </c>
      <c r="B1600" s="38">
        <v>500</v>
      </c>
      <c r="C1600" s="13" t="s">
        <v>1521</v>
      </c>
      <c r="D1600" s="36">
        <v>645.66999999999996</v>
      </c>
      <c r="E1600" s="43" t="s">
        <v>3596</v>
      </c>
    </row>
    <row r="1601" spans="1:5" x14ac:dyDescent="0.35">
      <c r="A1601" s="40">
        <v>45233</v>
      </c>
      <c r="B1601" s="38">
        <v>100</v>
      </c>
      <c r="C1601" s="13" t="s">
        <v>1521</v>
      </c>
      <c r="D1601" s="36">
        <v>470.67</v>
      </c>
      <c r="E1601" s="43" t="s">
        <v>3596</v>
      </c>
    </row>
    <row r="1602" spans="1:5" x14ac:dyDescent="0.35">
      <c r="A1602" s="40">
        <v>45233</v>
      </c>
      <c r="B1602" s="38">
        <v>-325</v>
      </c>
      <c r="C1602" s="13" t="s">
        <v>4425</v>
      </c>
      <c r="D1602" s="36">
        <v>145.66999999999999</v>
      </c>
      <c r="E1602" s="43" t="s">
        <v>3596</v>
      </c>
    </row>
    <row r="1603" spans="1:5" x14ac:dyDescent="0.35">
      <c r="A1603" s="40">
        <v>45233</v>
      </c>
      <c r="B1603" s="38">
        <v>-500</v>
      </c>
      <c r="C1603" s="13" t="s">
        <v>3597</v>
      </c>
      <c r="D1603" s="36">
        <v>40824.589999999997</v>
      </c>
      <c r="E1603" s="43" t="s">
        <v>3604</v>
      </c>
    </row>
    <row r="1604" spans="1:5" x14ac:dyDescent="0.35">
      <c r="A1604" s="40">
        <v>45233</v>
      </c>
      <c r="B1604" s="38">
        <v>-100</v>
      </c>
      <c r="C1604" s="13" t="s">
        <v>3597</v>
      </c>
      <c r="D1604" s="36">
        <v>41324.589999999997</v>
      </c>
      <c r="E1604" s="43" t="s">
        <v>3604</v>
      </c>
    </row>
    <row r="1605" spans="1:5" x14ac:dyDescent="0.35">
      <c r="A1605" s="40">
        <v>45232</v>
      </c>
      <c r="B1605" s="38">
        <v>-10.15</v>
      </c>
      <c r="C1605" s="13" t="s">
        <v>4426</v>
      </c>
      <c r="D1605" s="36">
        <v>370.67</v>
      </c>
      <c r="E1605" s="43" t="s">
        <v>3596</v>
      </c>
    </row>
    <row r="1606" spans="1:5" x14ac:dyDescent="0.35">
      <c r="A1606" s="40">
        <v>45231</v>
      </c>
      <c r="B1606" s="38">
        <v>-40</v>
      </c>
      <c r="C1606" s="13" t="s">
        <v>4427</v>
      </c>
      <c r="D1606" s="36">
        <v>1075.8699999999999</v>
      </c>
      <c r="E1606" s="43" t="s">
        <v>3596</v>
      </c>
    </row>
    <row r="1607" spans="1:5" x14ac:dyDescent="0.35">
      <c r="A1607" s="40">
        <v>45231</v>
      </c>
      <c r="B1607" s="38">
        <v>1000</v>
      </c>
      <c r="C1607" s="13" t="s">
        <v>4428</v>
      </c>
      <c r="D1607" s="36">
        <v>1115.8699999999999</v>
      </c>
      <c r="E1607" s="43" t="s">
        <v>3596</v>
      </c>
    </row>
    <row r="1608" spans="1:5" x14ac:dyDescent="0.35">
      <c r="A1608" s="40">
        <v>45231</v>
      </c>
      <c r="B1608" s="38">
        <v>-195.05</v>
      </c>
      <c r="C1608" s="13" t="s">
        <v>4429</v>
      </c>
      <c r="D1608" s="36">
        <v>380.82</v>
      </c>
      <c r="E1608" s="43" t="s">
        <v>3596</v>
      </c>
    </row>
    <row r="1609" spans="1:5" x14ac:dyDescent="0.35">
      <c r="A1609" s="40">
        <v>45231</v>
      </c>
      <c r="B1609" s="38">
        <v>500</v>
      </c>
      <c r="C1609" s="13" t="s">
        <v>3599</v>
      </c>
      <c r="D1609" s="36">
        <v>41424.589999999997</v>
      </c>
      <c r="E1609" s="43" t="s">
        <v>3604</v>
      </c>
    </row>
    <row r="1610" spans="1:5" x14ac:dyDescent="0.35">
      <c r="A1610" s="40">
        <v>45231</v>
      </c>
      <c r="B1610" s="38">
        <v>144.13999999999999</v>
      </c>
      <c r="C1610" s="13" t="s">
        <v>3598</v>
      </c>
      <c r="D1610" s="36">
        <v>40924.589999999997</v>
      </c>
      <c r="E1610" s="43" t="s">
        <v>3604</v>
      </c>
    </row>
    <row r="1611" spans="1:5" x14ac:dyDescent="0.35">
      <c r="A1611" s="40">
        <v>45231</v>
      </c>
      <c r="B1611" s="38">
        <v>-500</v>
      </c>
      <c r="C1611" s="13" t="s">
        <v>3418</v>
      </c>
      <c r="D1611" s="36">
        <v>575.87</v>
      </c>
      <c r="E1611" s="43" t="s">
        <v>3596</v>
      </c>
    </row>
    <row r="1612" spans="1:5" x14ac:dyDescent="0.35">
      <c r="A1612" s="40">
        <v>45230</v>
      </c>
      <c r="B1612" s="38">
        <v>-33.979999999999997</v>
      </c>
      <c r="C1612" s="13" t="s">
        <v>4430</v>
      </c>
      <c r="D1612" s="36">
        <v>312.27999999999997</v>
      </c>
      <c r="E1612" s="43" t="s">
        <v>3596</v>
      </c>
    </row>
    <row r="1613" spans="1:5" x14ac:dyDescent="0.35">
      <c r="A1613" s="40">
        <v>45230</v>
      </c>
      <c r="B1613" s="38">
        <v>-37.840000000000003</v>
      </c>
      <c r="C1613" s="13" t="s">
        <v>4431</v>
      </c>
      <c r="D1613" s="36">
        <v>108.79</v>
      </c>
      <c r="E1613" s="43" t="s">
        <v>3596</v>
      </c>
    </row>
    <row r="1614" spans="1:5" x14ac:dyDescent="0.35">
      <c r="A1614" s="40">
        <v>45230</v>
      </c>
      <c r="B1614" s="38">
        <v>200</v>
      </c>
      <c r="C1614" s="13" t="s">
        <v>1521</v>
      </c>
      <c r="D1614" s="36">
        <v>298.89</v>
      </c>
      <c r="E1614" s="43" t="s">
        <v>3596</v>
      </c>
    </row>
    <row r="1615" spans="1:5" x14ac:dyDescent="0.35">
      <c r="A1615" s="40">
        <v>45230</v>
      </c>
      <c r="B1615" s="38">
        <v>-149</v>
      </c>
      <c r="C1615" s="13" t="s">
        <v>4432</v>
      </c>
      <c r="D1615" s="36">
        <v>163.28</v>
      </c>
      <c r="E1615" s="43" t="s">
        <v>3596</v>
      </c>
    </row>
    <row r="1616" spans="1:5" x14ac:dyDescent="0.35">
      <c r="A1616" s="40">
        <v>45230</v>
      </c>
      <c r="B1616" s="38">
        <v>-183.02</v>
      </c>
      <c r="C1616" s="13" t="s">
        <v>3422</v>
      </c>
      <c r="D1616" s="36">
        <v>115.87</v>
      </c>
      <c r="E1616" s="43" t="s">
        <v>3596</v>
      </c>
    </row>
    <row r="1617" spans="1:5" x14ac:dyDescent="0.35">
      <c r="A1617" s="40">
        <v>45230</v>
      </c>
      <c r="B1617" s="38">
        <v>-16.649999999999999</v>
      </c>
      <c r="C1617" s="13" t="s">
        <v>4433</v>
      </c>
      <c r="D1617" s="36">
        <v>146.63</v>
      </c>
      <c r="E1617" s="43" t="s">
        <v>3596</v>
      </c>
    </row>
    <row r="1618" spans="1:5" x14ac:dyDescent="0.35">
      <c r="A1618" s="40">
        <v>45230</v>
      </c>
      <c r="B1618" s="38">
        <v>-9.9</v>
      </c>
      <c r="C1618" s="13" t="s">
        <v>3202</v>
      </c>
      <c r="D1618" s="36">
        <v>98.89</v>
      </c>
      <c r="E1618" s="43" t="s">
        <v>3596</v>
      </c>
    </row>
    <row r="1619" spans="1:5" x14ac:dyDescent="0.35">
      <c r="A1619" s="40">
        <v>45230</v>
      </c>
      <c r="B1619" s="38">
        <v>-200</v>
      </c>
      <c r="C1619" s="13" t="s">
        <v>3597</v>
      </c>
      <c r="D1619" s="36">
        <v>40780.449999999997</v>
      </c>
      <c r="E1619" s="43" t="s">
        <v>3604</v>
      </c>
    </row>
    <row r="1620" spans="1:5" x14ac:dyDescent="0.35">
      <c r="A1620" s="40">
        <v>45229</v>
      </c>
      <c r="B1620" s="38">
        <v>-16.5</v>
      </c>
      <c r="C1620" s="13" t="s">
        <v>3334</v>
      </c>
      <c r="D1620" s="36">
        <v>479.23</v>
      </c>
      <c r="E1620" s="43" t="s">
        <v>3596</v>
      </c>
    </row>
    <row r="1621" spans="1:5" x14ac:dyDescent="0.35">
      <c r="A1621" s="40">
        <v>45229</v>
      </c>
      <c r="B1621" s="38">
        <v>-132.97</v>
      </c>
      <c r="C1621" s="13" t="s">
        <v>4434</v>
      </c>
      <c r="D1621" s="36">
        <v>346.26</v>
      </c>
      <c r="E1621" s="43" t="s">
        <v>3596</v>
      </c>
    </row>
    <row r="1622" spans="1:5" x14ac:dyDescent="0.35">
      <c r="A1622" s="40">
        <v>45227</v>
      </c>
      <c r="B1622" s="38">
        <v>-12.36</v>
      </c>
      <c r="C1622" s="13" t="s">
        <v>3184</v>
      </c>
      <c r="D1622" s="36">
        <v>495.73</v>
      </c>
      <c r="E1622" s="43" t="s">
        <v>3596</v>
      </c>
    </row>
    <row r="1623" spans="1:5" x14ac:dyDescent="0.35">
      <c r="A1623" s="40">
        <v>45226</v>
      </c>
      <c r="B1623" s="38">
        <v>-2600</v>
      </c>
      <c r="C1623" s="13" t="s">
        <v>3418</v>
      </c>
      <c r="D1623" s="36">
        <v>508.09</v>
      </c>
      <c r="E1623" s="43" t="s">
        <v>3596</v>
      </c>
    </row>
    <row r="1624" spans="1:5" x14ac:dyDescent="0.35">
      <c r="A1624" s="40">
        <v>45226</v>
      </c>
      <c r="B1624" s="38">
        <v>-40</v>
      </c>
      <c r="C1624" s="13" t="s">
        <v>1614</v>
      </c>
      <c r="D1624" s="36">
        <v>3108.09</v>
      </c>
      <c r="E1624" s="43" t="s">
        <v>3596</v>
      </c>
    </row>
    <row r="1625" spans="1:5" x14ac:dyDescent="0.35">
      <c r="A1625" s="40">
        <v>45226</v>
      </c>
      <c r="B1625" s="38">
        <v>1099</v>
      </c>
      <c r="C1625" s="13" t="s">
        <v>4435</v>
      </c>
      <c r="D1625" s="36">
        <v>3180.6</v>
      </c>
      <c r="E1625" s="43" t="s">
        <v>3596</v>
      </c>
    </row>
    <row r="1626" spans="1:5" x14ac:dyDescent="0.35">
      <c r="A1626" s="40">
        <v>45226</v>
      </c>
      <c r="B1626" s="38">
        <v>-32.51</v>
      </c>
      <c r="C1626" s="13" t="s">
        <v>4436</v>
      </c>
      <c r="D1626" s="36">
        <v>3148.09</v>
      </c>
      <c r="E1626" s="43" t="s">
        <v>3596</v>
      </c>
    </row>
    <row r="1627" spans="1:5" x14ac:dyDescent="0.35">
      <c r="A1627" s="40">
        <v>45226</v>
      </c>
      <c r="B1627" s="38">
        <v>2600</v>
      </c>
      <c r="C1627" s="13" t="s">
        <v>3599</v>
      </c>
      <c r="D1627" s="36">
        <v>40980.449999999997</v>
      </c>
      <c r="E1627" s="43" t="s">
        <v>3604</v>
      </c>
    </row>
    <row r="1628" spans="1:5" x14ac:dyDescent="0.35">
      <c r="A1628" s="40">
        <v>45225</v>
      </c>
      <c r="B1628" s="38">
        <v>2348.84</v>
      </c>
      <c r="C1628" s="13" t="s">
        <v>4437</v>
      </c>
      <c r="D1628" s="36">
        <v>2404.5100000000002</v>
      </c>
      <c r="E1628" s="43" t="s">
        <v>3596</v>
      </c>
    </row>
    <row r="1629" spans="1:5" x14ac:dyDescent="0.35">
      <c r="A1629" s="40">
        <v>45225</v>
      </c>
      <c r="B1629" s="38">
        <v>-48.96</v>
      </c>
      <c r="C1629" s="13" t="s">
        <v>3898</v>
      </c>
      <c r="D1629" s="36">
        <v>2092.9499999999998</v>
      </c>
      <c r="E1629" s="43" t="s">
        <v>3596</v>
      </c>
    </row>
    <row r="1630" spans="1:5" x14ac:dyDescent="0.35">
      <c r="A1630" s="40">
        <v>45225</v>
      </c>
      <c r="B1630" s="38">
        <v>-11.35</v>
      </c>
      <c r="C1630" s="13" t="s">
        <v>3406</v>
      </c>
      <c r="D1630" s="36">
        <v>2081.6</v>
      </c>
      <c r="E1630" s="43" t="s">
        <v>3596</v>
      </c>
    </row>
    <row r="1631" spans="1:5" x14ac:dyDescent="0.35">
      <c r="A1631" s="40">
        <v>45225</v>
      </c>
      <c r="B1631" s="38">
        <v>-12.6</v>
      </c>
      <c r="C1631" s="13" t="s">
        <v>4438</v>
      </c>
      <c r="D1631" s="36">
        <v>2391.91</v>
      </c>
      <c r="E1631" s="43" t="s">
        <v>3596</v>
      </c>
    </row>
    <row r="1632" spans="1:5" x14ac:dyDescent="0.35">
      <c r="A1632" s="40">
        <v>45225</v>
      </c>
      <c r="B1632" s="38">
        <v>-250</v>
      </c>
      <c r="C1632" s="13" t="s">
        <v>1395</v>
      </c>
      <c r="D1632" s="36">
        <v>2141.91</v>
      </c>
      <c r="E1632" s="43" t="s">
        <v>3596</v>
      </c>
    </row>
    <row r="1633" spans="1:5" x14ac:dyDescent="0.35">
      <c r="A1633" s="40">
        <v>45224</v>
      </c>
      <c r="B1633" s="38">
        <v>150</v>
      </c>
      <c r="C1633" s="13" t="s">
        <v>1521</v>
      </c>
      <c r="D1633" s="36">
        <v>158.66999999999999</v>
      </c>
      <c r="E1633" s="43" t="s">
        <v>3596</v>
      </c>
    </row>
    <row r="1634" spans="1:5" x14ac:dyDescent="0.35">
      <c r="A1634" s="40">
        <v>45224</v>
      </c>
      <c r="B1634" s="38">
        <v>-129.32</v>
      </c>
      <c r="C1634" s="13" t="s">
        <v>4439</v>
      </c>
      <c r="D1634" s="36">
        <v>8.67</v>
      </c>
      <c r="E1634" s="43" t="s">
        <v>3596</v>
      </c>
    </row>
    <row r="1635" spans="1:5" x14ac:dyDescent="0.35">
      <c r="A1635" s="40">
        <v>45224</v>
      </c>
      <c r="B1635" s="38">
        <v>-30</v>
      </c>
      <c r="C1635" s="13" t="s">
        <v>4440</v>
      </c>
      <c r="D1635" s="36">
        <v>67.67</v>
      </c>
      <c r="E1635" s="43" t="s">
        <v>3596</v>
      </c>
    </row>
    <row r="1636" spans="1:5" x14ac:dyDescent="0.35">
      <c r="A1636" s="40">
        <v>45224</v>
      </c>
      <c r="B1636" s="38">
        <v>-12</v>
      </c>
      <c r="C1636" s="13" t="s">
        <v>4438</v>
      </c>
      <c r="D1636" s="36">
        <v>55.67</v>
      </c>
      <c r="E1636" s="43" t="s">
        <v>3596</v>
      </c>
    </row>
    <row r="1637" spans="1:5" x14ac:dyDescent="0.35">
      <c r="A1637" s="40">
        <v>45224</v>
      </c>
      <c r="B1637" s="38">
        <v>-150</v>
      </c>
      <c r="C1637" s="13" t="s">
        <v>3597</v>
      </c>
      <c r="D1637" s="36">
        <v>38380.449999999997</v>
      </c>
      <c r="E1637" s="43" t="s">
        <v>3604</v>
      </c>
    </row>
    <row r="1638" spans="1:5" x14ac:dyDescent="0.35">
      <c r="A1638" s="40">
        <v>45224</v>
      </c>
      <c r="B1638" s="38">
        <v>-61</v>
      </c>
      <c r="C1638" s="13" t="s">
        <v>4441</v>
      </c>
      <c r="D1638" s="36">
        <v>97.67</v>
      </c>
      <c r="E1638" s="43" t="s">
        <v>3596</v>
      </c>
    </row>
    <row r="1639" spans="1:5" x14ac:dyDescent="0.35">
      <c r="A1639" s="40">
        <v>45224</v>
      </c>
      <c r="B1639" s="38">
        <v>-61</v>
      </c>
      <c r="C1639" s="13" t="s">
        <v>4442</v>
      </c>
      <c r="D1639" s="36">
        <v>97.67</v>
      </c>
      <c r="E1639" s="43" t="s">
        <v>3596</v>
      </c>
    </row>
    <row r="1640" spans="1:5" x14ac:dyDescent="0.35">
      <c r="A1640" s="40">
        <v>45224</v>
      </c>
      <c r="B1640" s="38">
        <v>61</v>
      </c>
      <c r="C1640" s="13" t="s">
        <v>4443</v>
      </c>
      <c r="D1640" s="36">
        <v>158.66999999999999</v>
      </c>
      <c r="E1640" s="43" t="s">
        <v>3596</v>
      </c>
    </row>
    <row r="1641" spans="1:5" x14ac:dyDescent="0.35">
      <c r="A1641" s="40">
        <v>45223</v>
      </c>
      <c r="B1641" s="38">
        <v>-3.5</v>
      </c>
      <c r="C1641" s="13" t="s">
        <v>4264</v>
      </c>
      <c r="D1641" s="36">
        <v>137.99</v>
      </c>
      <c r="E1641" s="43" t="s">
        <v>3596</v>
      </c>
    </row>
    <row r="1642" spans="1:5" x14ac:dyDescent="0.35">
      <c r="A1642" s="40">
        <v>45223</v>
      </c>
      <c r="B1642" s="38">
        <v>-16</v>
      </c>
      <c r="C1642" s="13" t="s">
        <v>3334</v>
      </c>
      <c r="D1642" s="36">
        <v>141.49</v>
      </c>
      <c r="E1642" s="43" t="s">
        <v>3596</v>
      </c>
    </row>
    <row r="1643" spans="1:5" x14ac:dyDescent="0.35">
      <c r="A1643" s="40">
        <v>45223</v>
      </c>
      <c r="B1643" s="38">
        <v>-29.99</v>
      </c>
      <c r="C1643" s="13" t="s">
        <v>4259</v>
      </c>
      <c r="D1643" s="36">
        <v>157.49</v>
      </c>
      <c r="E1643" s="43" t="s">
        <v>3596</v>
      </c>
    </row>
    <row r="1644" spans="1:5" x14ac:dyDescent="0.35">
      <c r="A1644" s="40">
        <v>45222</v>
      </c>
      <c r="B1644" s="38">
        <v>100</v>
      </c>
      <c r="C1644" s="13" t="s">
        <v>1521</v>
      </c>
      <c r="D1644" s="36">
        <v>187.48</v>
      </c>
      <c r="E1644" s="43" t="s">
        <v>3596</v>
      </c>
    </row>
    <row r="1645" spans="1:5" x14ac:dyDescent="0.35">
      <c r="A1645" s="40">
        <v>45222</v>
      </c>
      <c r="B1645" s="38">
        <v>-16.5</v>
      </c>
      <c r="C1645" s="13" t="s">
        <v>3334</v>
      </c>
      <c r="D1645" s="36">
        <v>87.48</v>
      </c>
      <c r="E1645" s="43" t="s">
        <v>3596</v>
      </c>
    </row>
    <row r="1646" spans="1:5" x14ac:dyDescent="0.35">
      <c r="A1646" s="40">
        <v>45222</v>
      </c>
      <c r="B1646" s="38">
        <v>-29.99</v>
      </c>
      <c r="C1646" s="13" t="s">
        <v>4259</v>
      </c>
      <c r="D1646" s="36">
        <v>103.98</v>
      </c>
      <c r="E1646" s="43" t="s">
        <v>3596</v>
      </c>
    </row>
    <row r="1647" spans="1:5" x14ac:dyDescent="0.35">
      <c r="A1647" s="40">
        <v>45222</v>
      </c>
      <c r="B1647" s="38">
        <v>-100</v>
      </c>
      <c r="C1647" s="13" t="s">
        <v>3597</v>
      </c>
      <c r="D1647" s="36">
        <v>38530.449999999997</v>
      </c>
      <c r="E1647" s="43" t="s">
        <v>3604</v>
      </c>
    </row>
    <row r="1648" spans="1:5" x14ac:dyDescent="0.35">
      <c r="A1648" s="40">
        <v>45221</v>
      </c>
      <c r="B1648" s="38">
        <v>-12.66</v>
      </c>
      <c r="C1648" s="13" t="s">
        <v>4183</v>
      </c>
      <c r="D1648" s="36">
        <v>133.97</v>
      </c>
      <c r="E1648" s="43" t="s">
        <v>3596</v>
      </c>
    </row>
    <row r="1649" spans="1:5" x14ac:dyDescent="0.35">
      <c r="A1649" s="40">
        <v>45221</v>
      </c>
      <c r="B1649" s="38">
        <v>-39.5</v>
      </c>
      <c r="C1649" s="13" t="s">
        <v>3415</v>
      </c>
      <c r="D1649" s="36">
        <v>146.63</v>
      </c>
      <c r="E1649" s="43" t="s">
        <v>3596</v>
      </c>
    </row>
    <row r="1650" spans="1:5" x14ac:dyDescent="0.35">
      <c r="A1650" s="40">
        <v>45220</v>
      </c>
      <c r="B1650" s="38">
        <v>-15.99</v>
      </c>
      <c r="C1650" s="13" t="s">
        <v>4444</v>
      </c>
      <c r="D1650" s="36">
        <v>283.25</v>
      </c>
      <c r="E1650" s="43" t="s">
        <v>3596</v>
      </c>
    </row>
    <row r="1651" spans="1:5" x14ac:dyDescent="0.35">
      <c r="A1651" s="40">
        <v>45220</v>
      </c>
      <c r="B1651" s="38">
        <v>-64.62</v>
      </c>
      <c r="C1651" s="13" t="s">
        <v>3184</v>
      </c>
      <c r="D1651" s="36">
        <v>218.63</v>
      </c>
      <c r="E1651" s="43" t="s">
        <v>3596</v>
      </c>
    </row>
    <row r="1652" spans="1:5" x14ac:dyDescent="0.35">
      <c r="A1652" s="40">
        <v>45220</v>
      </c>
      <c r="B1652" s="38">
        <v>-32.5</v>
      </c>
      <c r="C1652" s="13" t="s">
        <v>4445</v>
      </c>
      <c r="D1652" s="36">
        <v>186.13</v>
      </c>
      <c r="E1652" s="43" t="s">
        <v>3596</v>
      </c>
    </row>
    <row r="1653" spans="1:5" x14ac:dyDescent="0.35">
      <c r="A1653" s="40">
        <v>45219</v>
      </c>
      <c r="B1653" s="38">
        <v>-2.4500000000000002</v>
      </c>
      <c r="C1653" s="13" t="s">
        <v>4446</v>
      </c>
      <c r="D1653" s="36">
        <v>348.13</v>
      </c>
      <c r="E1653" s="43" t="s">
        <v>3596</v>
      </c>
    </row>
    <row r="1654" spans="1:5" x14ac:dyDescent="0.35">
      <c r="A1654" s="40">
        <v>45219</v>
      </c>
      <c r="B1654" s="38">
        <v>-69.459999999999994</v>
      </c>
      <c r="C1654" s="13" t="s">
        <v>4447</v>
      </c>
      <c r="D1654" s="36">
        <v>350.58</v>
      </c>
      <c r="E1654" s="43" t="s">
        <v>3596</v>
      </c>
    </row>
    <row r="1655" spans="1:5" x14ac:dyDescent="0.35">
      <c r="A1655" s="40">
        <v>45219</v>
      </c>
      <c r="B1655" s="38">
        <v>-42.39</v>
      </c>
      <c r="C1655" s="13" t="s">
        <v>3742</v>
      </c>
      <c r="D1655" s="36">
        <v>299.24</v>
      </c>
      <c r="E1655" s="43" t="s">
        <v>3596</v>
      </c>
    </row>
    <row r="1656" spans="1:5" x14ac:dyDescent="0.35">
      <c r="A1656" s="40">
        <v>45219</v>
      </c>
      <c r="B1656" s="38">
        <v>-6.5</v>
      </c>
      <c r="C1656" s="13" t="s">
        <v>4183</v>
      </c>
      <c r="D1656" s="36">
        <v>341.63</v>
      </c>
      <c r="E1656" s="43" t="s">
        <v>3596</v>
      </c>
    </row>
    <row r="1657" spans="1:5" x14ac:dyDescent="0.35">
      <c r="A1657" s="40">
        <v>45218</v>
      </c>
      <c r="B1657" s="38">
        <v>-40</v>
      </c>
      <c r="C1657" s="13" t="s">
        <v>4448</v>
      </c>
      <c r="D1657" s="36">
        <v>450.5</v>
      </c>
      <c r="E1657" s="43" t="s">
        <v>3596</v>
      </c>
    </row>
    <row r="1658" spans="1:5" x14ac:dyDescent="0.35">
      <c r="A1658" s="40">
        <v>45218</v>
      </c>
      <c r="B1658" s="38">
        <v>-30.46</v>
      </c>
      <c r="C1658" s="13" t="s">
        <v>4449</v>
      </c>
      <c r="D1658" s="36">
        <v>420.04</v>
      </c>
      <c r="E1658" s="43" t="s">
        <v>3596</v>
      </c>
    </row>
    <row r="1659" spans="1:5" x14ac:dyDescent="0.35">
      <c r="A1659" s="40">
        <v>45217</v>
      </c>
      <c r="B1659" s="38">
        <v>-16</v>
      </c>
      <c r="C1659" s="13" t="s">
        <v>3334</v>
      </c>
      <c r="D1659" s="36">
        <v>325.5</v>
      </c>
      <c r="E1659" s="43" t="s">
        <v>3596</v>
      </c>
    </row>
    <row r="1660" spans="1:5" x14ac:dyDescent="0.35">
      <c r="A1660" s="40">
        <v>45217</v>
      </c>
      <c r="B1660" s="38">
        <v>165</v>
      </c>
      <c r="C1660" s="13" t="s">
        <v>4450</v>
      </c>
      <c r="D1660" s="36">
        <v>490.5</v>
      </c>
      <c r="E1660" s="43" t="s">
        <v>3596</v>
      </c>
    </row>
    <row r="1661" spans="1:5" x14ac:dyDescent="0.35">
      <c r="A1661" s="40">
        <v>45216</v>
      </c>
      <c r="B1661" s="38">
        <v>-36.72</v>
      </c>
      <c r="C1661" s="13" t="s">
        <v>4451</v>
      </c>
      <c r="D1661" s="36">
        <v>877.86</v>
      </c>
      <c r="E1661" s="43" t="s">
        <v>3596</v>
      </c>
    </row>
    <row r="1662" spans="1:5" x14ac:dyDescent="0.35">
      <c r="A1662" s="40">
        <v>45216</v>
      </c>
      <c r="B1662" s="38">
        <v>-70.989999999999995</v>
      </c>
      <c r="C1662" s="13" t="s">
        <v>4452</v>
      </c>
      <c r="D1662" s="36">
        <v>914.58</v>
      </c>
      <c r="E1662" s="43" t="s">
        <v>3596</v>
      </c>
    </row>
    <row r="1663" spans="1:5" x14ac:dyDescent="0.35">
      <c r="A1663" s="40">
        <v>45216</v>
      </c>
      <c r="B1663" s="38">
        <v>-14.2</v>
      </c>
      <c r="C1663" s="13" t="s">
        <v>3231</v>
      </c>
      <c r="D1663" s="36">
        <v>836.5</v>
      </c>
      <c r="E1663" s="43" t="s">
        <v>3596</v>
      </c>
    </row>
    <row r="1664" spans="1:5" x14ac:dyDescent="0.35">
      <c r="A1664" s="40">
        <v>45216</v>
      </c>
      <c r="B1664" s="38">
        <v>-495</v>
      </c>
      <c r="C1664" s="13" t="s">
        <v>4453</v>
      </c>
      <c r="D1664" s="36">
        <v>341.5</v>
      </c>
      <c r="E1664" s="43" t="s">
        <v>3596</v>
      </c>
    </row>
    <row r="1665" spans="1:5" x14ac:dyDescent="0.35">
      <c r="A1665" s="40">
        <v>45216</v>
      </c>
      <c r="B1665" s="38">
        <v>-7.8</v>
      </c>
      <c r="C1665" s="13" t="s">
        <v>4454</v>
      </c>
      <c r="D1665" s="36">
        <v>870.06</v>
      </c>
      <c r="E1665" s="43" t="s">
        <v>3596</v>
      </c>
    </row>
    <row r="1666" spans="1:5" x14ac:dyDescent="0.35">
      <c r="A1666" s="40">
        <v>45216</v>
      </c>
      <c r="B1666" s="38">
        <v>-13.99</v>
      </c>
      <c r="C1666" s="13" t="s">
        <v>3198</v>
      </c>
      <c r="D1666" s="36">
        <v>850.7</v>
      </c>
      <c r="E1666" s="43" t="s">
        <v>3596</v>
      </c>
    </row>
    <row r="1667" spans="1:5" x14ac:dyDescent="0.35">
      <c r="A1667" s="40">
        <v>45216</v>
      </c>
      <c r="B1667" s="38">
        <v>-5.37</v>
      </c>
      <c r="C1667" s="13" t="s">
        <v>2281</v>
      </c>
      <c r="D1667" s="36">
        <v>864.69</v>
      </c>
      <c r="E1667" s="43" t="s">
        <v>3596</v>
      </c>
    </row>
    <row r="1668" spans="1:5" x14ac:dyDescent="0.35">
      <c r="A1668" s="40">
        <v>45215</v>
      </c>
      <c r="B1668" s="38">
        <v>-3.5</v>
      </c>
      <c r="C1668" s="13" t="s">
        <v>4264</v>
      </c>
      <c r="D1668" s="36">
        <v>985.57</v>
      </c>
      <c r="E1668" s="43" t="s">
        <v>3596</v>
      </c>
    </row>
    <row r="1669" spans="1:5" x14ac:dyDescent="0.35">
      <c r="A1669" s="40">
        <v>45215</v>
      </c>
      <c r="B1669" s="38">
        <v>-16.5</v>
      </c>
      <c r="C1669" s="13" t="s">
        <v>3334</v>
      </c>
      <c r="D1669" s="36">
        <v>989.07</v>
      </c>
      <c r="E1669" s="43" t="s">
        <v>3596</v>
      </c>
    </row>
    <row r="1670" spans="1:5" x14ac:dyDescent="0.35">
      <c r="A1670" s="40">
        <v>45213</v>
      </c>
      <c r="B1670" s="38">
        <v>-1099</v>
      </c>
      <c r="C1670" s="13" t="s">
        <v>4455</v>
      </c>
      <c r="D1670" s="36">
        <v>1005.57</v>
      </c>
      <c r="E1670" s="43" t="s">
        <v>3596</v>
      </c>
    </row>
    <row r="1671" spans="1:5" x14ac:dyDescent="0.35">
      <c r="A1671" s="40">
        <v>45212</v>
      </c>
      <c r="B1671" s="38">
        <v>-15.6</v>
      </c>
      <c r="C1671" s="13" t="s">
        <v>4456</v>
      </c>
      <c r="D1671" s="36">
        <v>2104.5700000000002</v>
      </c>
      <c r="E1671" s="43" t="s">
        <v>3596</v>
      </c>
    </row>
    <row r="1672" spans="1:5" x14ac:dyDescent="0.35">
      <c r="A1672" s="40">
        <v>45212</v>
      </c>
      <c r="B1672" s="38">
        <v>-6</v>
      </c>
      <c r="C1672" s="13" t="s">
        <v>4456</v>
      </c>
      <c r="D1672" s="36">
        <v>2120.17</v>
      </c>
      <c r="E1672" s="43" t="s">
        <v>3596</v>
      </c>
    </row>
    <row r="1673" spans="1:5" x14ac:dyDescent="0.35">
      <c r="A1673" s="40">
        <v>45211</v>
      </c>
      <c r="B1673" s="38">
        <v>2348.83</v>
      </c>
      <c r="C1673" s="13" t="s">
        <v>3358</v>
      </c>
      <c r="D1673" s="36">
        <v>2387.52</v>
      </c>
      <c r="E1673" s="43" t="s">
        <v>3596</v>
      </c>
    </row>
    <row r="1674" spans="1:5" x14ac:dyDescent="0.35">
      <c r="A1674" s="40">
        <v>45211</v>
      </c>
      <c r="B1674" s="38">
        <v>-11.35</v>
      </c>
      <c r="C1674" s="13" t="s">
        <v>3406</v>
      </c>
      <c r="D1674" s="36">
        <v>2126.17</v>
      </c>
      <c r="E1674" s="43" t="s">
        <v>3596</v>
      </c>
    </row>
    <row r="1675" spans="1:5" x14ac:dyDescent="0.35">
      <c r="A1675" s="40">
        <v>45211</v>
      </c>
      <c r="B1675" s="38">
        <v>-250</v>
      </c>
      <c r="C1675" s="13" t="s">
        <v>1395</v>
      </c>
      <c r="D1675" s="36">
        <v>2137.52</v>
      </c>
      <c r="E1675" s="43" t="s">
        <v>3596</v>
      </c>
    </row>
    <row r="1676" spans="1:5" x14ac:dyDescent="0.35">
      <c r="A1676" s="40">
        <v>45210</v>
      </c>
      <c r="B1676" s="38">
        <v>-24.36</v>
      </c>
      <c r="C1676" s="13" t="s">
        <v>4457</v>
      </c>
      <c r="D1676" s="36">
        <v>38.69</v>
      </c>
      <c r="E1676" s="43" t="s">
        <v>3596</v>
      </c>
    </row>
    <row r="1677" spans="1:5" x14ac:dyDescent="0.35">
      <c r="A1677" s="40">
        <v>45210</v>
      </c>
      <c r="B1677" s="38">
        <v>-34.51</v>
      </c>
      <c r="C1677" s="13" t="s">
        <v>4457</v>
      </c>
      <c r="D1677" s="36">
        <v>63.05</v>
      </c>
      <c r="E1677" s="43" t="s">
        <v>3596</v>
      </c>
    </row>
    <row r="1678" spans="1:5" x14ac:dyDescent="0.35">
      <c r="A1678" s="40">
        <v>45210</v>
      </c>
      <c r="B1678" s="38">
        <v>-12.18</v>
      </c>
      <c r="C1678" s="13" t="s">
        <v>4458</v>
      </c>
      <c r="D1678" s="36">
        <v>97.56</v>
      </c>
      <c r="E1678" s="43" t="s">
        <v>3596</v>
      </c>
    </row>
    <row r="1679" spans="1:5" x14ac:dyDescent="0.35">
      <c r="A1679" s="40">
        <v>45209</v>
      </c>
      <c r="B1679" s="38">
        <v>-8.07</v>
      </c>
      <c r="C1679" s="13" t="s">
        <v>4459</v>
      </c>
      <c r="D1679" s="36">
        <v>109.74</v>
      </c>
      <c r="E1679" s="43" t="s">
        <v>3596</v>
      </c>
    </row>
    <row r="1680" spans="1:5" x14ac:dyDescent="0.35">
      <c r="A1680" s="40">
        <v>45207</v>
      </c>
      <c r="B1680" s="38">
        <v>150</v>
      </c>
      <c r="C1680" s="13" t="s">
        <v>1521</v>
      </c>
      <c r="D1680" s="36">
        <v>166.96</v>
      </c>
      <c r="E1680" s="43" t="s">
        <v>3596</v>
      </c>
    </row>
    <row r="1681" spans="1:5" x14ac:dyDescent="0.35">
      <c r="A1681" s="40">
        <v>45207</v>
      </c>
      <c r="B1681" s="38">
        <v>-32.99</v>
      </c>
      <c r="C1681" s="13" t="s">
        <v>4460</v>
      </c>
      <c r="D1681" s="36">
        <v>117.81</v>
      </c>
      <c r="E1681" s="43" t="s">
        <v>3596</v>
      </c>
    </row>
    <row r="1682" spans="1:5" x14ac:dyDescent="0.35">
      <c r="A1682" s="40">
        <v>45207</v>
      </c>
      <c r="B1682" s="38">
        <v>-16.16</v>
      </c>
      <c r="C1682" s="13" t="s">
        <v>4461</v>
      </c>
      <c r="D1682" s="36">
        <v>150.80000000000001</v>
      </c>
      <c r="E1682" s="43" t="s">
        <v>3596</v>
      </c>
    </row>
    <row r="1683" spans="1:5" x14ac:dyDescent="0.35">
      <c r="A1683" s="40">
        <v>45207</v>
      </c>
      <c r="B1683" s="38">
        <v>-150</v>
      </c>
      <c r="C1683" s="13" t="s">
        <v>3597</v>
      </c>
      <c r="D1683" s="36">
        <v>38630.449999999997</v>
      </c>
      <c r="E1683" s="43" t="s">
        <v>3604</v>
      </c>
    </row>
    <row r="1684" spans="1:5" x14ac:dyDescent="0.35">
      <c r="A1684" s="40">
        <v>45206</v>
      </c>
      <c r="B1684" s="38">
        <v>-410.07</v>
      </c>
      <c r="C1684" s="13" t="s">
        <v>4462</v>
      </c>
      <c r="D1684" s="36">
        <v>16.96</v>
      </c>
      <c r="E1684" s="43" t="s">
        <v>3596</v>
      </c>
    </row>
    <row r="1685" spans="1:5" ht="15" customHeight="1" x14ac:dyDescent="0.35">
      <c r="A1685" s="40">
        <v>45204</v>
      </c>
      <c r="B1685" s="38">
        <v>-40</v>
      </c>
      <c r="C1685" s="13" t="s">
        <v>4463</v>
      </c>
      <c r="D1685" s="36">
        <v>490.63</v>
      </c>
      <c r="E1685" s="43" t="s">
        <v>3596</v>
      </c>
    </row>
    <row r="1686" spans="1:5" ht="15" customHeight="1" x14ac:dyDescent="0.35">
      <c r="A1686" s="40">
        <v>45204</v>
      </c>
      <c r="B1686" s="38">
        <v>-63.6</v>
      </c>
      <c r="C1686" s="13" t="s">
        <v>4464</v>
      </c>
      <c r="D1686" s="36">
        <v>427.03</v>
      </c>
      <c r="E1686" s="43" t="s">
        <v>3596</v>
      </c>
    </row>
    <row r="1687" spans="1:5" ht="15" customHeight="1" x14ac:dyDescent="0.35">
      <c r="A1687" s="40">
        <v>45203</v>
      </c>
      <c r="B1687" s="38">
        <v>-16.5</v>
      </c>
      <c r="C1687" s="13" t="s">
        <v>3334</v>
      </c>
      <c r="D1687" s="36">
        <v>530.63</v>
      </c>
      <c r="E1687" s="43" t="s">
        <v>3596</v>
      </c>
    </row>
    <row r="1688" spans="1:5" ht="15" customHeight="1" x14ac:dyDescent="0.35">
      <c r="A1688" s="40">
        <v>45203</v>
      </c>
      <c r="B1688" s="38">
        <v>100</v>
      </c>
      <c r="C1688" s="13" t="s">
        <v>4465</v>
      </c>
      <c r="D1688" s="36">
        <v>547.13</v>
      </c>
      <c r="E1688" s="43" t="s">
        <v>3596</v>
      </c>
    </row>
    <row r="1689" spans="1:5" ht="15" customHeight="1" x14ac:dyDescent="0.35">
      <c r="A1689" s="40">
        <v>45203</v>
      </c>
      <c r="B1689" s="38">
        <v>-4.6399999999999997</v>
      </c>
      <c r="C1689" s="13" t="s">
        <v>4466</v>
      </c>
      <c r="D1689" s="36">
        <v>447.13</v>
      </c>
      <c r="E1689" s="43" t="s">
        <v>3596</v>
      </c>
    </row>
    <row r="1690" spans="1:5" ht="15" customHeight="1" x14ac:dyDescent="0.35">
      <c r="A1690" s="40">
        <v>45202</v>
      </c>
      <c r="B1690" s="38">
        <v>-612.19000000000005</v>
      </c>
      <c r="C1690" s="13" t="s">
        <v>4467</v>
      </c>
      <c r="D1690" s="36">
        <v>646.82000000000005</v>
      </c>
      <c r="E1690" s="43" t="s">
        <v>3596</v>
      </c>
    </row>
    <row r="1691" spans="1:5" x14ac:dyDescent="0.35">
      <c r="A1691" s="40">
        <v>45202</v>
      </c>
      <c r="B1691" s="38">
        <v>-55.53</v>
      </c>
      <c r="C1691" s="13" t="s">
        <v>4468</v>
      </c>
      <c r="D1691" s="36">
        <v>1393.51</v>
      </c>
      <c r="E1691" s="43" t="s">
        <v>3596</v>
      </c>
    </row>
    <row r="1692" spans="1:5" x14ac:dyDescent="0.35">
      <c r="A1692" s="40">
        <v>45202</v>
      </c>
      <c r="B1692" s="38">
        <v>-46.77</v>
      </c>
      <c r="C1692" s="13" t="s">
        <v>4469</v>
      </c>
      <c r="D1692" s="36">
        <v>1346.74</v>
      </c>
      <c r="E1692" s="43" t="s">
        <v>3596</v>
      </c>
    </row>
    <row r="1693" spans="1:5" x14ac:dyDescent="0.35">
      <c r="A1693" s="40">
        <v>45202</v>
      </c>
      <c r="B1693" s="38">
        <v>-1.4</v>
      </c>
      <c r="C1693" s="13" t="s">
        <v>4470</v>
      </c>
      <c r="D1693" s="36">
        <v>1345.34</v>
      </c>
      <c r="E1693" s="43" t="s">
        <v>3596</v>
      </c>
    </row>
    <row r="1694" spans="1:5" x14ac:dyDescent="0.35">
      <c r="A1694" s="40">
        <v>45202</v>
      </c>
      <c r="B1694" s="38">
        <v>-16</v>
      </c>
      <c r="C1694" s="13" t="s">
        <v>3334</v>
      </c>
      <c r="D1694" s="36">
        <v>1259.01</v>
      </c>
      <c r="E1694" s="43" t="s">
        <v>3596</v>
      </c>
    </row>
    <row r="1695" spans="1:5" x14ac:dyDescent="0.35">
      <c r="A1695" s="40">
        <v>45202</v>
      </c>
      <c r="B1695" s="38">
        <v>-195.05</v>
      </c>
      <c r="C1695" s="13" t="s">
        <v>4471</v>
      </c>
      <c r="D1695" s="36">
        <v>451.77</v>
      </c>
      <c r="E1695" s="43" t="s">
        <v>3596</v>
      </c>
    </row>
    <row r="1696" spans="1:5" x14ac:dyDescent="0.35">
      <c r="A1696" s="40">
        <v>45202</v>
      </c>
      <c r="B1696" s="38">
        <v>-40.33</v>
      </c>
      <c r="C1696" s="13" t="s">
        <v>4472</v>
      </c>
      <c r="D1696" s="36">
        <v>1305.01</v>
      </c>
      <c r="E1696" s="43" t="s">
        <v>3596</v>
      </c>
    </row>
    <row r="1697" spans="1:5" x14ac:dyDescent="0.35">
      <c r="A1697" s="40">
        <v>45202</v>
      </c>
      <c r="B1697" s="38">
        <v>-30</v>
      </c>
      <c r="C1697" s="13" t="s">
        <v>4473</v>
      </c>
      <c r="D1697" s="36">
        <v>1275.01</v>
      </c>
      <c r="E1697" s="43" t="s">
        <v>3596</v>
      </c>
    </row>
    <row r="1698" spans="1:5" x14ac:dyDescent="0.35">
      <c r="A1698" s="40">
        <v>45201</v>
      </c>
      <c r="B1698" s="38">
        <v>-42.26</v>
      </c>
      <c r="C1698" s="13" t="s">
        <v>2281</v>
      </c>
      <c r="D1698" s="36">
        <v>1449.04</v>
      </c>
      <c r="E1698" s="43" t="s">
        <v>3596</v>
      </c>
    </row>
    <row r="1699" spans="1:5" x14ac:dyDescent="0.35">
      <c r="A1699" s="40">
        <v>45200</v>
      </c>
      <c r="B1699" s="38">
        <v>-0.02</v>
      </c>
      <c r="C1699" s="13" t="s">
        <v>1873</v>
      </c>
      <c r="D1699" s="36">
        <v>1491.3</v>
      </c>
      <c r="E1699" s="43" t="s">
        <v>3596</v>
      </c>
    </row>
    <row r="1700" spans="1:5" x14ac:dyDescent="0.35">
      <c r="A1700" s="40">
        <v>45200</v>
      </c>
      <c r="B1700" s="38">
        <v>132.47999999999999</v>
      </c>
      <c r="C1700" s="13" t="s">
        <v>3598</v>
      </c>
      <c r="D1700" s="36">
        <v>38780.449999999997</v>
      </c>
      <c r="E1700" s="43" t="s">
        <v>3604</v>
      </c>
    </row>
    <row r="1701" spans="1:5" x14ac:dyDescent="0.35">
      <c r="A1701" s="40">
        <v>45199</v>
      </c>
      <c r="B1701" s="38">
        <v>-12.65</v>
      </c>
      <c r="C1701" s="13" t="s">
        <v>1584</v>
      </c>
      <c r="D1701" s="36">
        <v>1542.67</v>
      </c>
      <c r="E1701" s="43" t="s">
        <v>3596</v>
      </c>
    </row>
    <row r="1702" spans="1:5" x14ac:dyDescent="0.35">
      <c r="A1702" s="40">
        <v>45199</v>
      </c>
      <c r="B1702" s="38">
        <v>-26.35</v>
      </c>
      <c r="C1702" s="13" t="s">
        <v>4474</v>
      </c>
      <c r="D1702" s="36">
        <v>1516.32</v>
      </c>
      <c r="E1702" s="43" t="s">
        <v>3596</v>
      </c>
    </row>
    <row r="1703" spans="1:5" x14ac:dyDescent="0.35">
      <c r="A1703" s="40">
        <v>45199</v>
      </c>
      <c r="B1703" s="38">
        <v>-25</v>
      </c>
      <c r="C1703" s="13" t="s">
        <v>4475</v>
      </c>
      <c r="D1703" s="36">
        <v>1491.32</v>
      </c>
      <c r="E1703" s="43" t="s">
        <v>3596</v>
      </c>
    </row>
    <row r="1704" spans="1:5" x14ac:dyDescent="0.35">
      <c r="A1704" s="40">
        <v>45197</v>
      </c>
      <c r="B1704" s="38">
        <v>-2348.81</v>
      </c>
      <c r="C1704" s="13" t="s">
        <v>3418</v>
      </c>
      <c r="D1704" s="36">
        <v>1612.68</v>
      </c>
      <c r="E1704" s="43" t="s">
        <v>3596</v>
      </c>
    </row>
    <row r="1705" spans="1:5" x14ac:dyDescent="0.35">
      <c r="A1705" s="40">
        <v>45197</v>
      </c>
      <c r="B1705" s="38">
        <v>2348.84</v>
      </c>
      <c r="C1705" s="13" t="s">
        <v>3891</v>
      </c>
      <c r="D1705" s="36">
        <v>4211.49</v>
      </c>
      <c r="E1705" s="43" t="s">
        <v>3596</v>
      </c>
    </row>
    <row r="1706" spans="1:5" x14ac:dyDescent="0.35">
      <c r="A1706" s="40">
        <v>45197</v>
      </c>
      <c r="B1706" s="38">
        <v>-46.01</v>
      </c>
      <c r="C1706" s="13" t="s">
        <v>2281</v>
      </c>
      <c r="D1706" s="36">
        <v>1566.67</v>
      </c>
      <c r="E1706" s="43" t="s">
        <v>3596</v>
      </c>
    </row>
    <row r="1707" spans="1:5" x14ac:dyDescent="0.35">
      <c r="A1707" s="40">
        <v>45197</v>
      </c>
      <c r="B1707" s="38">
        <v>-11.35</v>
      </c>
      <c r="C1707" s="13" t="s">
        <v>3406</v>
      </c>
      <c r="D1707" s="36">
        <v>1555.32</v>
      </c>
      <c r="E1707" s="43" t="s">
        <v>3596</v>
      </c>
    </row>
    <row r="1708" spans="1:5" x14ac:dyDescent="0.35">
      <c r="A1708" s="40">
        <v>45197</v>
      </c>
      <c r="B1708" s="38">
        <v>2348.81</v>
      </c>
      <c r="C1708" s="13" t="s">
        <v>3599</v>
      </c>
      <c r="D1708" s="36">
        <v>38647.97</v>
      </c>
      <c r="E1708" s="43" t="s">
        <v>3604</v>
      </c>
    </row>
    <row r="1709" spans="1:5" x14ac:dyDescent="0.35">
      <c r="A1709" s="40">
        <v>45197</v>
      </c>
      <c r="B1709" s="38">
        <v>-250</v>
      </c>
      <c r="C1709" s="13" t="s">
        <v>1395</v>
      </c>
      <c r="D1709" s="36">
        <v>3961.49</v>
      </c>
      <c r="E1709" s="43" t="s">
        <v>3596</v>
      </c>
    </row>
    <row r="1710" spans="1:5" x14ac:dyDescent="0.35">
      <c r="A1710" s="40">
        <v>45196</v>
      </c>
      <c r="B1710" s="38">
        <v>-16.03</v>
      </c>
      <c r="C1710" s="13" t="s">
        <v>3425</v>
      </c>
      <c r="D1710" s="36">
        <v>1880.35</v>
      </c>
      <c r="E1710" s="43" t="s">
        <v>3596</v>
      </c>
    </row>
    <row r="1711" spans="1:5" x14ac:dyDescent="0.35">
      <c r="A1711" s="40">
        <v>45196</v>
      </c>
      <c r="B1711" s="38">
        <v>-17.18</v>
      </c>
      <c r="C1711" s="13" t="s">
        <v>3424</v>
      </c>
      <c r="D1711" s="36">
        <v>1863.17</v>
      </c>
      <c r="E1711" s="43" t="s">
        <v>3596</v>
      </c>
    </row>
    <row r="1712" spans="1:5" x14ac:dyDescent="0.35">
      <c r="A1712" s="40">
        <v>45196</v>
      </c>
      <c r="B1712" s="38">
        <v>-0.52</v>
      </c>
      <c r="C1712" s="13" t="s">
        <v>3423</v>
      </c>
      <c r="D1712" s="36">
        <v>1862.65</v>
      </c>
      <c r="E1712" s="43" t="s">
        <v>3596</v>
      </c>
    </row>
    <row r="1713" spans="1:5" x14ac:dyDescent="0.35">
      <c r="A1713" s="40">
        <v>45195</v>
      </c>
      <c r="B1713" s="38">
        <v>-16.79</v>
      </c>
      <c r="C1713" s="13" t="s">
        <v>3428</v>
      </c>
      <c r="D1713" s="36">
        <v>1972.36</v>
      </c>
      <c r="E1713" s="43" t="s">
        <v>3596</v>
      </c>
    </row>
    <row r="1714" spans="1:5" x14ac:dyDescent="0.35">
      <c r="A1714" s="40">
        <v>45195</v>
      </c>
      <c r="B1714" s="38">
        <v>-38.5</v>
      </c>
      <c r="C1714" s="13" t="s">
        <v>3429</v>
      </c>
      <c r="D1714" s="36">
        <v>1989.15</v>
      </c>
      <c r="E1714" s="43" t="s">
        <v>3596</v>
      </c>
    </row>
    <row r="1715" spans="1:5" x14ac:dyDescent="0.35">
      <c r="A1715" s="40">
        <v>45195</v>
      </c>
      <c r="B1715" s="38">
        <v>-36.74</v>
      </c>
      <c r="C1715" s="13" t="s">
        <v>3427</v>
      </c>
      <c r="D1715" s="36">
        <v>1935.62</v>
      </c>
      <c r="E1715" s="43" t="s">
        <v>3596</v>
      </c>
    </row>
    <row r="1716" spans="1:5" x14ac:dyDescent="0.35">
      <c r="A1716" s="40">
        <v>45195</v>
      </c>
      <c r="B1716" s="38">
        <v>-16</v>
      </c>
      <c r="C1716" s="13" t="s">
        <v>3334</v>
      </c>
      <c r="D1716" s="36">
        <v>1896.38</v>
      </c>
      <c r="E1716" s="43" t="s">
        <v>3596</v>
      </c>
    </row>
    <row r="1717" spans="1:5" x14ac:dyDescent="0.35">
      <c r="A1717" s="40">
        <v>45195</v>
      </c>
      <c r="B1717" s="38">
        <v>-23.24</v>
      </c>
      <c r="C1717" s="13" t="s">
        <v>3426</v>
      </c>
      <c r="D1717" s="36">
        <v>1912.38</v>
      </c>
      <c r="E1717" s="43" t="s">
        <v>3596</v>
      </c>
    </row>
    <row r="1718" spans="1:5" x14ac:dyDescent="0.35">
      <c r="A1718" s="40">
        <v>45192</v>
      </c>
      <c r="B1718" s="38">
        <v>-13.2</v>
      </c>
      <c r="C1718" s="13" t="s">
        <v>3431</v>
      </c>
      <c r="D1718" s="36">
        <v>2162.02</v>
      </c>
      <c r="E1718" s="43" t="s">
        <v>3596</v>
      </c>
    </row>
    <row r="1719" spans="1:5" x14ac:dyDescent="0.35">
      <c r="A1719" s="40">
        <v>45192</v>
      </c>
      <c r="B1719" s="38">
        <v>-13.9</v>
      </c>
      <c r="C1719" s="13" t="s">
        <v>3431</v>
      </c>
      <c r="D1719" s="36">
        <v>2175.2199999999998</v>
      </c>
      <c r="E1719" s="43" t="s">
        <v>3596</v>
      </c>
    </row>
    <row r="1720" spans="1:5" x14ac:dyDescent="0.35">
      <c r="A1720" s="40">
        <v>45192</v>
      </c>
      <c r="B1720" s="38">
        <v>-8.59</v>
      </c>
      <c r="C1720" s="13" t="s">
        <v>3320</v>
      </c>
      <c r="D1720" s="36">
        <v>2127.65</v>
      </c>
      <c r="E1720" s="43" t="s">
        <v>3596</v>
      </c>
    </row>
    <row r="1721" spans="1:5" x14ac:dyDescent="0.35">
      <c r="A1721" s="40">
        <v>45192</v>
      </c>
      <c r="B1721" s="38">
        <v>-25.78</v>
      </c>
      <c r="C1721" s="13" t="s">
        <v>3320</v>
      </c>
      <c r="D1721" s="36">
        <v>2136.2399999999998</v>
      </c>
      <c r="E1721" s="43" t="s">
        <v>3596</v>
      </c>
    </row>
    <row r="1722" spans="1:5" x14ac:dyDescent="0.35">
      <c r="A1722" s="40">
        <v>45192</v>
      </c>
      <c r="B1722" s="38">
        <v>-100</v>
      </c>
      <c r="C1722" s="13" t="s">
        <v>3430</v>
      </c>
      <c r="D1722" s="36">
        <v>2027.65</v>
      </c>
      <c r="E1722" s="43" t="s">
        <v>3596</v>
      </c>
    </row>
    <row r="1723" spans="1:5" x14ac:dyDescent="0.35">
      <c r="A1723" s="40">
        <v>45191</v>
      </c>
      <c r="B1723" s="38">
        <v>-23.35</v>
      </c>
      <c r="C1723" s="13" t="s">
        <v>3433</v>
      </c>
      <c r="D1723" s="36">
        <v>2189.8200000000002</v>
      </c>
      <c r="E1723" s="43" t="s">
        <v>3596</v>
      </c>
    </row>
    <row r="1724" spans="1:5" x14ac:dyDescent="0.35">
      <c r="A1724" s="40">
        <v>45191</v>
      </c>
      <c r="B1724" s="38">
        <v>-0.7</v>
      </c>
      <c r="C1724" s="13" t="s">
        <v>3432</v>
      </c>
      <c r="D1724" s="36">
        <v>2189.12</v>
      </c>
      <c r="E1724" s="43" t="s">
        <v>3596</v>
      </c>
    </row>
    <row r="1725" spans="1:5" x14ac:dyDescent="0.35">
      <c r="A1725" s="40">
        <v>45190</v>
      </c>
      <c r="B1725" s="38">
        <v>-25</v>
      </c>
      <c r="C1725" s="13" t="s">
        <v>3434</v>
      </c>
      <c r="D1725" s="36">
        <v>2213.17</v>
      </c>
      <c r="E1725" s="43" t="s">
        <v>3596</v>
      </c>
    </row>
    <row r="1726" spans="1:5" x14ac:dyDescent="0.35">
      <c r="A1726" s="40">
        <v>45190</v>
      </c>
      <c r="B1726" s="38">
        <v>-4.6500000000000004</v>
      </c>
      <c r="C1726" s="13" t="s">
        <v>3184</v>
      </c>
      <c r="D1726" s="36">
        <v>2238.17</v>
      </c>
      <c r="E1726" s="43" t="s">
        <v>3596</v>
      </c>
    </row>
    <row r="1727" spans="1:5" x14ac:dyDescent="0.35">
      <c r="A1727" s="40">
        <v>45189</v>
      </c>
      <c r="B1727" s="38">
        <v>-40</v>
      </c>
      <c r="C1727" s="13" t="s">
        <v>3436</v>
      </c>
      <c r="D1727" s="36">
        <v>2280.23</v>
      </c>
      <c r="E1727" s="43" t="s">
        <v>3596</v>
      </c>
    </row>
    <row r="1728" spans="1:5" x14ac:dyDescent="0.35">
      <c r="A1728" s="40">
        <v>45189</v>
      </c>
      <c r="B1728" s="38">
        <v>-14.5</v>
      </c>
      <c r="C1728" s="13" t="s">
        <v>3334</v>
      </c>
      <c r="D1728" s="36">
        <v>2242.8200000000002</v>
      </c>
      <c r="E1728" s="43" t="s">
        <v>3596</v>
      </c>
    </row>
    <row r="1729" spans="1:5" x14ac:dyDescent="0.35">
      <c r="A1729" s="40">
        <v>45189</v>
      </c>
      <c r="B1729" s="38">
        <v>-22.91</v>
      </c>
      <c r="C1729" s="13" t="s">
        <v>3435</v>
      </c>
      <c r="D1729" s="36">
        <v>2257.3200000000002</v>
      </c>
      <c r="E1729" s="43" t="s">
        <v>3596</v>
      </c>
    </row>
    <row r="1730" spans="1:5" x14ac:dyDescent="0.35">
      <c r="A1730" s="40">
        <v>45188</v>
      </c>
      <c r="B1730" s="38">
        <v>-32.4</v>
      </c>
      <c r="C1730" s="13" t="s">
        <v>3439</v>
      </c>
      <c r="D1730" s="36">
        <v>2399.4699999999998</v>
      </c>
      <c r="E1730" s="43" t="s">
        <v>3596</v>
      </c>
    </row>
    <row r="1731" spans="1:5" x14ac:dyDescent="0.35">
      <c r="A1731" s="40">
        <v>45188</v>
      </c>
      <c r="B1731" s="38">
        <v>-21.7</v>
      </c>
      <c r="C1731" s="13" t="s">
        <v>3441</v>
      </c>
      <c r="D1731" s="36">
        <v>2453.7600000000002</v>
      </c>
      <c r="E1731" s="43" t="s">
        <v>3596</v>
      </c>
    </row>
    <row r="1732" spans="1:5" x14ac:dyDescent="0.35">
      <c r="A1732" s="40">
        <v>45188</v>
      </c>
      <c r="B1732" s="38">
        <v>-21.89</v>
      </c>
      <c r="C1732" s="13" t="s">
        <v>3440</v>
      </c>
      <c r="D1732" s="36">
        <v>2431.87</v>
      </c>
      <c r="E1732" s="43" t="s">
        <v>3596</v>
      </c>
    </row>
    <row r="1733" spans="1:5" x14ac:dyDescent="0.35">
      <c r="A1733" s="40">
        <v>45188</v>
      </c>
      <c r="B1733" s="38">
        <v>-34.61</v>
      </c>
      <c r="C1733" s="13" t="s">
        <v>3438</v>
      </c>
      <c r="D1733" s="36">
        <v>2364.86</v>
      </c>
      <c r="E1733" s="43" t="s">
        <v>3596</v>
      </c>
    </row>
    <row r="1734" spans="1:5" x14ac:dyDescent="0.35">
      <c r="A1734" s="40">
        <v>45188</v>
      </c>
      <c r="B1734" s="38">
        <v>-15.5</v>
      </c>
      <c r="C1734" s="13" t="s">
        <v>3334</v>
      </c>
      <c r="D1734" s="36">
        <v>2320.23</v>
      </c>
      <c r="E1734" s="43" t="s">
        <v>3596</v>
      </c>
    </row>
    <row r="1735" spans="1:5" x14ac:dyDescent="0.35">
      <c r="A1735" s="40">
        <v>45188</v>
      </c>
      <c r="B1735" s="38">
        <v>-29.13</v>
      </c>
      <c r="C1735" s="13" t="s">
        <v>3437</v>
      </c>
      <c r="D1735" s="36">
        <v>2335.73</v>
      </c>
      <c r="E1735" s="43" t="s">
        <v>3596</v>
      </c>
    </row>
    <row r="1736" spans="1:5" x14ac:dyDescent="0.35">
      <c r="A1736" s="40">
        <v>45187</v>
      </c>
      <c r="B1736" s="38">
        <v>-14.5</v>
      </c>
      <c r="C1736" s="13" t="s">
        <v>3334</v>
      </c>
      <c r="D1736" s="36">
        <v>2497.27</v>
      </c>
      <c r="E1736" s="43" t="s">
        <v>3596</v>
      </c>
    </row>
    <row r="1737" spans="1:5" x14ac:dyDescent="0.35">
      <c r="A1737" s="40">
        <v>45187</v>
      </c>
      <c r="B1737" s="38">
        <v>-21.81</v>
      </c>
      <c r="C1737" s="13" t="s">
        <v>3184</v>
      </c>
      <c r="D1737" s="36">
        <v>2475.46</v>
      </c>
      <c r="E1737" s="43" t="s">
        <v>3596</v>
      </c>
    </row>
    <row r="1738" spans="1:5" x14ac:dyDescent="0.35">
      <c r="A1738" s="40">
        <v>45186</v>
      </c>
      <c r="B1738" s="38">
        <v>-12.25</v>
      </c>
      <c r="C1738" s="13" t="s">
        <v>3443</v>
      </c>
      <c r="D1738" s="36">
        <v>2524.27</v>
      </c>
      <c r="E1738" s="43" t="s">
        <v>3596</v>
      </c>
    </row>
    <row r="1739" spans="1:5" x14ac:dyDescent="0.35">
      <c r="A1739" s="40">
        <v>45186</v>
      </c>
      <c r="B1739" s="38">
        <v>-12.5</v>
      </c>
      <c r="C1739" s="13" t="s">
        <v>3442</v>
      </c>
      <c r="D1739" s="36">
        <v>2511.77</v>
      </c>
      <c r="E1739" s="43" t="s">
        <v>3596</v>
      </c>
    </row>
    <row r="1740" spans="1:5" x14ac:dyDescent="0.35">
      <c r="A1740" s="40">
        <v>45185</v>
      </c>
      <c r="B1740" s="38">
        <v>-61.51</v>
      </c>
      <c r="C1740" s="13" t="s">
        <v>3444</v>
      </c>
      <c r="D1740" s="36">
        <v>2536.52</v>
      </c>
      <c r="E1740" s="43" t="s">
        <v>3596</v>
      </c>
    </row>
    <row r="1741" spans="1:5" x14ac:dyDescent="0.35">
      <c r="A1741" s="40">
        <v>45183</v>
      </c>
      <c r="B1741" s="38">
        <v>-138</v>
      </c>
      <c r="C1741" s="13" t="s">
        <v>3446</v>
      </c>
      <c r="D1741" s="36">
        <v>2532.08</v>
      </c>
      <c r="E1741" s="43" t="s">
        <v>3596</v>
      </c>
    </row>
    <row r="1742" spans="1:5" x14ac:dyDescent="0.35">
      <c r="A1742" s="40">
        <v>45183</v>
      </c>
      <c r="B1742" s="38">
        <v>2348.84</v>
      </c>
      <c r="C1742" s="13" t="s">
        <v>3447</v>
      </c>
      <c r="D1742" s="36">
        <v>3170.08</v>
      </c>
      <c r="E1742" s="43" t="s">
        <v>3596</v>
      </c>
    </row>
    <row r="1743" spans="1:5" x14ac:dyDescent="0.35">
      <c r="A1743" s="40">
        <v>45183</v>
      </c>
      <c r="B1743" s="38">
        <v>-22.7</v>
      </c>
      <c r="C1743" s="13" t="s">
        <v>1584</v>
      </c>
      <c r="D1743" s="36">
        <v>2598.0300000000002</v>
      </c>
      <c r="E1743" s="43" t="s">
        <v>3596</v>
      </c>
    </row>
    <row r="1744" spans="1:5" x14ac:dyDescent="0.35">
      <c r="A1744" s="40">
        <v>45183</v>
      </c>
      <c r="B1744" s="38">
        <v>100</v>
      </c>
      <c r="C1744" s="13" t="s">
        <v>3445</v>
      </c>
      <c r="D1744" s="36">
        <v>2620.73</v>
      </c>
      <c r="E1744" s="43" t="s">
        <v>3596</v>
      </c>
    </row>
    <row r="1745" spans="1:5" x14ac:dyDescent="0.35">
      <c r="A1745" s="40">
        <v>45183</v>
      </c>
      <c r="B1745" s="38">
        <v>-11.35</v>
      </c>
      <c r="C1745" s="13" t="s">
        <v>3406</v>
      </c>
      <c r="D1745" s="36">
        <v>2520.73</v>
      </c>
      <c r="E1745" s="43" t="s">
        <v>3596</v>
      </c>
    </row>
    <row r="1746" spans="1:5" x14ac:dyDescent="0.35">
      <c r="A1746" s="40">
        <v>45183</v>
      </c>
      <c r="B1746" s="38">
        <v>-500</v>
      </c>
      <c r="C1746" s="13" t="s">
        <v>1395</v>
      </c>
      <c r="D1746" s="36">
        <v>2670.08</v>
      </c>
      <c r="E1746" s="43" t="s">
        <v>3596</v>
      </c>
    </row>
    <row r="1747" spans="1:5" x14ac:dyDescent="0.35">
      <c r="A1747" s="40">
        <v>45182</v>
      </c>
      <c r="B1747" s="38">
        <v>-700</v>
      </c>
      <c r="C1747" s="13" t="s">
        <v>3597</v>
      </c>
      <c r="D1747" s="36">
        <v>36299.160000000003</v>
      </c>
      <c r="E1747" s="43" t="s">
        <v>3604</v>
      </c>
    </row>
    <row r="1748" spans="1:5" x14ac:dyDescent="0.35">
      <c r="A1748" s="40">
        <v>45182</v>
      </c>
      <c r="B1748" s="38">
        <v>-6.5</v>
      </c>
      <c r="C1748" s="13" t="s">
        <v>3448</v>
      </c>
      <c r="D1748" s="36">
        <v>366.74</v>
      </c>
      <c r="E1748" s="43" t="s">
        <v>3596</v>
      </c>
    </row>
    <row r="1749" spans="1:5" x14ac:dyDescent="0.35">
      <c r="A1749" s="40">
        <v>45182</v>
      </c>
      <c r="B1749" s="38">
        <v>700</v>
      </c>
      <c r="C1749" s="13" t="s">
        <v>1521</v>
      </c>
      <c r="D1749" s="36">
        <v>1051.24</v>
      </c>
      <c r="E1749" s="43" t="s">
        <v>3596</v>
      </c>
    </row>
    <row r="1750" spans="1:5" x14ac:dyDescent="0.35">
      <c r="A1750" s="40">
        <v>45182</v>
      </c>
      <c r="B1750" s="38">
        <v>-15.5</v>
      </c>
      <c r="C1750" s="13" t="s">
        <v>3334</v>
      </c>
      <c r="D1750" s="36">
        <v>351.24</v>
      </c>
      <c r="E1750" s="43" t="s">
        <v>3596</v>
      </c>
    </row>
    <row r="1751" spans="1:5" x14ac:dyDescent="0.35">
      <c r="A1751" s="40">
        <v>45182</v>
      </c>
      <c r="B1751" s="38">
        <v>-32.86</v>
      </c>
      <c r="C1751" s="13" t="s">
        <v>3449</v>
      </c>
      <c r="D1751" s="36">
        <v>373.24</v>
      </c>
      <c r="E1751" s="43" t="s">
        <v>3596</v>
      </c>
    </row>
    <row r="1752" spans="1:5" x14ac:dyDescent="0.35">
      <c r="A1752" s="40">
        <v>45182</v>
      </c>
      <c r="B1752" s="38">
        <v>-230</v>
      </c>
      <c r="C1752" s="13" t="s">
        <v>3645</v>
      </c>
      <c r="D1752" s="36">
        <v>821.24</v>
      </c>
      <c r="E1752" s="43" t="s">
        <v>3596</v>
      </c>
    </row>
    <row r="1753" spans="1:5" x14ac:dyDescent="0.35">
      <c r="A1753" s="40">
        <v>45181</v>
      </c>
      <c r="B1753" s="38">
        <v>-6.5</v>
      </c>
      <c r="C1753" s="13" t="s">
        <v>3451</v>
      </c>
      <c r="D1753" s="36">
        <v>450.37</v>
      </c>
      <c r="E1753" s="43" t="s">
        <v>3596</v>
      </c>
    </row>
    <row r="1754" spans="1:5" x14ac:dyDescent="0.35">
      <c r="A1754" s="40">
        <v>45181</v>
      </c>
      <c r="B1754" s="38">
        <v>-47.32</v>
      </c>
      <c r="C1754" s="13" t="s">
        <v>3452</v>
      </c>
      <c r="D1754" s="36">
        <v>456.87</v>
      </c>
      <c r="E1754" s="43" t="s">
        <v>3596</v>
      </c>
    </row>
    <row r="1755" spans="1:5" x14ac:dyDescent="0.35">
      <c r="A1755" s="40">
        <v>45181</v>
      </c>
      <c r="B1755" s="38">
        <v>-40</v>
      </c>
      <c r="C1755" s="13" t="s">
        <v>3453</v>
      </c>
      <c r="D1755" s="36">
        <v>504.19</v>
      </c>
      <c r="E1755" s="43" t="s">
        <v>3596</v>
      </c>
    </row>
    <row r="1756" spans="1:5" x14ac:dyDescent="0.35">
      <c r="A1756" s="40">
        <v>45181</v>
      </c>
      <c r="B1756" s="38">
        <v>-29.77</v>
      </c>
      <c r="C1756" s="13" t="s">
        <v>3450</v>
      </c>
      <c r="D1756" s="36">
        <v>420.6</v>
      </c>
      <c r="E1756" s="43" t="s">
        <v>3596</v>
      </c>
    </row>
    <row r="1757" spans="1:5" x14ac:dyDescent="0.35">
      <c r="A1757" s="40">
        <v>45181</v>
      </c>
      <c r="B1757" s="38">
        <v>-14.5</v>
      </c>
      <c r="C1757" s="13" t="s">
        <v>3334</v>
      </c>
      <c r="D1757" s="36">
        <v>406.1</v>
      </c>
      <c r="E1757" s="43" t="s">
        <v>3596</v>
      </c>
    </row>
    <row r="1758" spans="1:5" x14ac:dyDescent="0.35">
      <c r="A1758" s="40">
        <v>45180</v>
      </c>
      <c r="B1758" s="38">
        <v>-24.04</v>
      </c>
      <c r="C1758" s="13" t="s">
        <v>1481</v>
      </c>
      <c r="D1758" s="36">
        <v>544.19000000000005</v>
      </c>
      <c r="E1758" s="43" t="s">
        <v>3596</v>
      </c>
    </row>
    <row r="1759" spans="1:5" x14ac:dyDescent="0.35">
      <c r="A1759" s="40">
        <v>45179</v>
      </c>
      <c r="B1759" s="38">
        <v>500</v>
      </c>
      <c r="C1759" s="13" t="s">
        <v>1521</v>
      </c>
      <c r="D1759" s="36">
        <v>568.23</v>
      </c>
      <c r="E1759" s="43" t="s">
        <v>3596</v>
      </c>
    </row>
    <row r="1760" spans="1:5" x14ac:dyDescent="0.35">
      <c r="A1760" s="40">
        <v>45179</v>
      </c>
      <c r="B1760" s="38">
        <v>75</v>
      </c>
      <c r="C1760" s="13" t="s">
        <v>1521</v>
      </c>
      <c r="D1760" s="36">
        <v>146.88999999999999</v>
      </c>
      <c r="E1760" s="43" t="s">
        <v>3596</v>
      </c>
    </row>
    <row r="1761" spans="1:5" x14ac:dyDescent="0.35">
      <c r="A1761" s="40">
        <v>45179</v>
      </c>
      <c r="B1761" s="38">
        <v>-30.26</v>
      </c>
      <c r="C1761" s="13" t="s">
        <v>3454</v>
      </c>
      <c r="D1761" s="36">
        <v>68.23</v>
      </c>
      <c r="E1761" s="43" t="s">
        <v>3596</v>
      </c>
    </row>
    <row r="1762" spans="1:5" x14ac:dyDescent="0.35">
      <c r="A1762" s="40">
        <v>45179</v>
      </c>
      <c r="B1762" s="38">
        <v>-40.549999999999997</v>
      </c>
      <c r="C1762" s="13" t="s">
        <v>3456</v>
      </c>
      <c r="D1762" s="36">
        <v>71.89</v>
      </c>
      <c r="E1762" s="43" t="s">
        <v>3596</v>
      </c>
    </row>
    <row r="1763" spans="1:5" x14ac:dyDescent="0.35">
      <c r="A1763" s="40">
        <v>45179</v>
      </c>
      <c r="B1763" s="38">
        <v>-500</v>
      </c>
      <c r="C1763" s="13" t="s">
        <v>3597</v>
      </c>
      <c r="D1763" s="36">
        <v>36999.160000000003</v>
      </c>
      <c r="E1763" s="43" t="s">
        <v>3604</v>
      </c>
    </row>
    <row r="1764" spans="1:5" x14ac:dyDescent="0.35">
      <c r="A1764" s="40">
        <v>45179</v>
      </c>
      <c r="B1764" s="38">
        <v>-75</v>
      </c>
      <c r="C1764" s="13" t="s">
        <v>3597</v>
      </c>
      <c r="D1764" s="36">
        <v>37499.160000000003</v>
      </c>
      <c r="E1764" s="43" t="s">
        <v>3604</v>
      </c>
    </row>
    <row r="1765" spans="1:5" x14ac:dyDescent="0.35">
      <c r="A1765" s="40">
        <v>45179</v>
      </c>
      <c r="B1765" s="38">
        <v>-48.4</v>
      </c>
      <c r="C1765" s="13" t="s">
        <v>3455</v>
      </c>
      <c r="D1765" s="36">
        <v>98.49</v>
      </c>
      <c r="E1765" s="43" t="s">
        <v>3596</v>
      </c>
    </row>
    <row r="1766" spans="1:5" x14ac:dyDescent="0.35">
      <c r="A1766" s="40">
        <v>45178</v>
      </c>
      <c r="B1766" s="38">
        <v>-17.100000000000001</v>
      </c>
      <c r="C1766" s="13" t="s">
        <v>1584</v>
      </c>
      <c r="D1766" s="36">
        <v>130.13999999999999</v>
      </c>
      <c r="E1766" s="43" t="s">
        <v>3596</v>
      </c>
    </row>
    <row r="1767" spans="1:5" x14ac:dyDescent="0.35">
      <c r="A1767" s="40">
        <v>45178</v>
      </c>
      <c r="B1767" s="38">
        <v>-17.7</v>
      </c>
      <c r="C1767" s="13" t="s">
        <v>3456</v>
      </c>
      <c r="D1767" s="36">
        <v>112.44</v>
      </c>
      <c r="E1767" s="43" t="s">
        <v>3596</v>
      </c>
    </row>
    <row r="1768" spans="1:5" x14ac:dyDescent="0.35">
      <c r="A1768" s="40">
        <v>45178</v>
      </c>
      <c r="B1768" s="38">
        <v>-159</v>
      </c>
      <c r="C1768" s="13" t="s">
        <v>3647</v>
      </c>
      <c r="D1768" s="36">
        <v>147.24</v>
      </c>
      <c r="E1768" s="43" t="s">
        <v>3596</v>
      </c>
    </row>
    <row r="1769" spans="1:5" x14ac:dyDescent="0.35">
      <c r="A1769" s="40">
        <v>45176</v>
      </c>
      <c r="B1769" s="38">
        <v>-18.809999999999999</v>
      </c>
      <c r="C1769" s="13" t="s">
        <v>3457</v>
      </c>
      <c r="D1769" s="36">
        <v>306.24</v>
      </c>
      <c r="E1769" s="43" t="s">
        <v>3596</v>
      </c>
    </row>
    <row r="1770" spans="1:5" x14ac:dyDescent="0.35">
      <c r="A1770" s="40">
        <v>45175</v>
      </c>
      <c r="B1770" s="38">
        <v>-14.5</v>
      </c>
      <c r="C1770" s="13" t="s">
        <v>3334</v>
      </c>
      <c r="D1770" s="36">
        <v>325.05</v>
      </c>
      <c r="E1770" s="43" t="s">
        <v>3596</v>
      </c>
    </row>
    <row r="1771" spans="1:5" x14ac:dyDescent="0.35">
      <c r="A1771" s="40">
        <v>45175</v>
      </c>
      <c r="B1771" s="38">
        <v>-58.42</v>
      </c>
      <c r="C1771" s="13" t="s">
        <v>3458</v>
      </c>
      <c r="D1771" s="36">
        <v>339.55</v>
      </c>
      <c r="E1771" s="43" t="s">
        <v>3596</v>
      </c>
    </row>
    <row r="1772" spans="1:5" x14ac:dyDescent="0.35">
      <c r="A1772" s="40">
        <v>45174</v>
      </c>
      <c r="B1772" s="38">
        <v>350</v>
      </c>
      <c r="C1772" s="13" t="s">
        <v>1521</v>
      </c>
      <c r="D1772" s="36">
        <v>397.97</v>
      </c>
      <c r="E1772" s="43" t="s">
        <v>3596</v>
      </c>
    </row>
    <row r="1773" spans="1:5" x14ac:dyDescent="0.35">
      <c r="A1773" s="40">
        <v>45174</v>
      </c>
      <c r="B1773" s="38">
        <v>-480</v>
      </c>
      <c r="C1773" s="13" t="s">
        <v>3459</v>
      </c>
      <c r="D1773" s="36">
        <v>63.47</v>
      </c>
      <c r="E1773" s="43" t="s">
        <v>3596</v>
      </c>
    </row>
    <row r="1774" spans="1:5" x14ac:dyDescent="0.35">
      <c r="A1774" s="40">
        <v>45174</v>
      </c>
      <c r="B1774" s="38">
        <v>-15.5</v>
      </c>
      <c r="C1774" s="13" t="s">
        <v>3334</v>
      </c>
      <c r="D1774" s="36">
        <v>47.97</v>
      </c>
      <c r="E1774" s="43" t="s">
        <v>3596</v>
      </c>
    </row>
    <row r="1775" spans="1:5" x14ac:dyDescent="0.35">
      <c r="A1775" s="40">
        <v>45174</v>
      </c>
      <c r="B1775" s="38">
        <v>-45.22</v>
      </c>
      <c r="C1775" s="13" t="s">
        <v>3460</v>
      </c>
      <c r="D1775" s="36">
        <v>543.47</v>
      </c>
      <c r="E1775" s="43" t="s">
        <v>3596</v>
      </c>
    </row>
    <row r="1776" spans="1:5" x14ac:dyDescent="0.35">
      <c r="A1776" s="40">
        <v>45174</v>
      </c>
      <c r="B1776" s="38">
        <v>-350</v>
      </c>
      <c r="C1776" s="13" t="s">
        <v>3597</v>
      </c>
      <c r="D1776" s="36">
        <v>37574.160000000003</v>
      </c>
      <c r="E1776" s="43" t="s">
        <v>3604</v>
      </c>
    </row>
    <row r="1777" spans="1:5" x14ac:dyDescent="0.35">
      <c r="A1777" s="40">
        <v>45173</v>
      </c>
      <c r="B1777" s="38">
        <v>-14.5</v>
      </c>
      <c r="C1777" s="13" t="s">
        <v>3334</v>
      </c>
      <c r="D1777" s="36">
        <v>588.69000000000005</v>
      </c>
      <c r="E1777" s="43" t="s">
        <v>3596</v>
      </c>
    </row>
    <row r="1778" spans="1:5" x14ac:dyDescent="0.35">
      <c r="A1778" s="40">
        <v>45172</v>
      </c>
      <c r="B1778" s="38">
        <v>-18</v>
      </c>
      <c r="C1778" s="13" t="s">
        <v>3461</v>
      </c>
      <c r="D1778" s="36">
        <v>603.19000000000005</v>
      </c>
      <c r="E1778" s="43" t="s">
        <v>3596</v>
      </c>
    </row>
    <row r="1779" spans="1:5" x14ac:dyDescent="0.35">
      <c r="A1779" s="40">
        <v>45171</v>
      </c>
      <c r="B1779" s="38">
        <v>-20</v>
      </c>
      <c r="C1779" s="13" t="s">
        <v>1614</v>
      </c>
      <c r="D1779" s="36">
        <v>714.54</v>
      </c>
      <c r="E1779" s="43" t="s">
        <v>3596</v>
      </c>
    </row>
    <row r="1780" spans="1:5" x14ac:dyDescent="0.35">
      <c r="A1780" s="40">
        <v>45171</v>
      </c>
      <c r="B1780" s="38">
        <v>100</v>
      </c>
      <c r="C1780" s="13" t="s">
        <v>1521</v>
      </c>
      <c r="D1780" s="36">
        <v>651.19000000000005</v>
      </c>
      <c r="E1780" s="43" t="s">
        <v>3596</v>
      </c>
    </row>
    <row r="1781" spans="1:5" x14ac:dyDescent="0.35">
      <c r="A1781" s="40">
        <v>45171</v>
      </c>
      <c r="B1781" s="38">
        <v>270</v>
      </c>
      <c r="C1781" s="13" t="s">
        <v>1521</v>
      </c>
      <c r="D1781" s="36">
        <v>921.19</v>
      </c>
      <c r="E1781" s="43" t="s">
        <v>3596</v>
      </c>
    </row>
    <row r="1782" spans="1:5" x14ac:dyDescent="0.35">
      <c r="A1782" s="40">
        <v>45171</v>
      </c>
      <c r="B1782" s="38">
        <v>300</v>
      </c>
      <c r="C1782" s="13" t="s">
        <v>1521</v>
      </c>
      <c r="D1782" s="36">
        <v>734.54</v>
      </c>
      <c r="E1782" s="43" t="s">
        <v>3596</v>
      </c>
    </row>
    <row r="1783" spans="1:5" x14ac:dyDescent="0.35">
      <c r="A1783" s="40">
        <v>45171</v>
      </c>
      <c r="B1783" s="38">
        <v>-11.6</v>
      </c>
      <c r="C1783" s="13" t="s">
        <v>3462</v>
      </c>
      <c r="D1783" s="36">
        <v>551.19000000000005</v>
      </c>
      <c r="E1783" s="43" t="s">
        <v>3596</v>
      </c>
    </row>
    <row r="1784" spans="1:5" x14ac:dyDescent="0.35">
      <c r="A1784" s="40">
        <v>45171</v>
      </c>
      <c r="B1784" s="38">
        <v>-11.1</v>
      </c>
      <c r="C1784" s="13" t="s">
        <v>3462</v>
      </c>
      <c r="D1784" s="36">
        <v>562.79</v>
      </c>
      <c r="E1784" s="43" t="s">
        <v>3596</v>
      </c>
    </row>
    <row r="1785" spans="1:5" x14ac:dyDescent="0.35">
      <c r="A1785" s="40">
        <v>45171</v>
      </c>
      <c r="B1785" s="38">
        <v>-11.1</v>
      </c>
      <c r="C1785" s="13" t="s">
        <v>3462</v>
      </c>
      <c r="D1785" s="36">
        <v>573.89</v>
      </c>
      <c r="E1785" s="43" t="s">
        <v>3596</v>
      </c>
    </row>
    <row r="1786" spans="1:5" x14ac:dyDescent="0.35">
      <c r="A1786" s="40">
        <v>45171</v>
      </c>
      <c r="B1786" s="38">
        <v>-15</v>
      </c>
      <c r="C1786" s="13" t="s">
        <v>3464</v>
      </c>
      <c r="D1786" s="36">
        <v>600.99</v>
      </c>
      <c r="E1786" s="43" t="s">
        <v>3596</v>
      </c>
    </row>
    <row r="1787" spans="1:5" x14ac:dyDescent="0.35">
      <c r="A1787" s="40">
        <v>45171</v>
      </c>
      <c r="B1787" s="38">
        <v>-16</v>
      </c>
      <c r="C1787" s="13" t="s">
        <v>3463</v>
      </c>
      <c r="D1787" s="36">
        <v>584.99</v>
      </c>
      <c r="E1787" s="43" t="s">
        <v>3596</v>
      </c>
    </row>
    <row r="1788" spans="1:5" x14ac:dyDescent="0.35">
      <c r="A1788" s="40">
        <v>45171</v>
      </c>
      <c r="B1788" s="38">
        <v>-23.6</v>
      </c>
      <c r="C1788" s="13" t="s">
        <v>3463</v>
      </c>
      <c r="D1788" s="36">
        <v>615.99</v>
      </c>
      <c r="E1788" s="43" t="s">
        <v>3596</v>
      </c>
    </row>
    <row r="1789" spans="1:5" x14ac:dyDescent="0.35">
      <c r="A1789" s="40">
        <v>45171</v>
      </c>
      <c r="B1789" s="38">
        <v>-11.6</v>
      </c>
      <c r="C1789" s="13" t="s">
        <v>3463</v>
      </c>
      <c r="D1789" s="36">
        <v>639.59</v>
      </c>
      <c r="E1789" s="43" t="s">
        <v>3596</v>
      </c>
    </row>
    <row r="1790" spans="1:5" x14ac:dyDescent="0.35">
      <c r="A1790" s="40">
        <v>45171</v>
      </c>
      <c r="B1790" s="38">
        <v>-13.2</v>
      </c>
      <c r="C1790" s="13" t="s">
        <v>3463</v>
      </c>
      <c r="D1790" s="36">
        <v>651.19000000000005</v>
      </c>
      <c r="E1790" s="43" t="s">
        <v>3596</v>
      </c>
    </row>
    <row r="1791" spans="1:5" x14ac:dyDescent="0.35">
      <c r="A1791" s="40">
        <v>45171</v>
      </c>
      <c r="B1791" s="38">
        <v>-26.95</v>
      </c>
      <c r="C1791" s="13" t="s">
        <v>3463</v>
      </c>
      <c r="D1791" s="36">
        <v>664.39</v>
      </c>
      <c r="E1791" s="43" t="s">
        <v>3596</v>
      </c>
    </row>
    <row r="1792" spans="1:5" x14ac:dyDescent="0.35">
      <c r="A1792" s="40">
        <v>45171</v>
      </c>
      <c r="B1792" s="38">
        <v>-11.6</v>
      </c>
      <c r="C1792" s="13" t="s">
        <v>3463</v>
      </c>
      <c r="D1792" s="36">
        <v>691.34</v>
      </c>
      <c r="E1792" s="43" t="s">
        <v>3596</v>
      </c>
    </row>
    <row r="1793" spans="1:5" x14ac:dyDescent="0.35">
      <c r="A1793" s="40">
        <v>45171</v>
      </c>
      <c r="B1793" s="38">
        <v>-11.6</v>
      </c>
      <c r="C1793" s="13" t="s">
        <v>3463</v>
      </c>
      <c r="D1793" s="36">
        <v>702.94</v>
      </c>
      <c r="E1793" s="43" t="s">
        <v>3596</v>
      </c>
    </row>
    <row r="1794" spans="1:5" x14ac:dyDescent="0.35">
      <c r="A1794" s="40">
        <v>45171</v>
      </c>
      <c r="B1794" s="38">
        <v>-300</v>
      </c>
      <c r="C1794" s="13" t="s">
        <v>3597</v>
      </c>
      <c r="D1794" s="36">
        <v>38294.160000000003</v>
      </c>
      <c r="E1794" s="43" t="s">
        <v>3604</v>
      </c>
    </row>
    <row r="1795" spans="1:5" x14ac:dyDescent="0.35">
      <c r="A1795" s="40">
        <v>45171</v>
      </c>
      <c r="B1795" s="38">
        <v>-270</v>
      </c>
      <c r="C1795" s="13" t="s">
        <v>3465</v>
      </c>
      <c r="D1795" s="36">
        <v>651.19000000000005</v>
      </c>
      <c r="E1795" s="43" t="s">
        <v>3596</v>
      </c>
    </row>
    <row r="1796" spans="1:5" x14ac:dyDescent="0.35">
      <c r="A1796" s="40">
        <v>45171</v>
      </c>
      <c r="B1796" s="38">
        <v>-270</v>
      </c>
      <c r="C1796" s="13" t="s">
        <v>3597</v>
      </c>
      <c r="D1796" s="36">
        <v>38024.160000000003</v>
      </c>
      <c r="E1796" s="43" t="s">
        <v>3604</v>
      </c>
    </row>
    <row r="1797" spans="1:5" x14ac:dyDescent="0.35">
      <c r="A1797" s="40">
        <v>45171</v>
      </c>
      <c r="B1797" s="38">
        <v>-100</v>
      </c>
      <c r="C1797" s="13" t="s">
        <v>3597</v>
      </c>
      <c r="D1797" s="36">
        <v>37924.160000000003</v>
      </c>
      <c r="E1797" s="43" t="s">
        <v>3604</v>
      </c>
    </row>
    <row r="1798" spans="1:5" x14ac:dyDescent="0.35">
      <c r="A1798" s="40">
        <v>45171</v>
      </c>
      <c r="B1798" s="38">
        <v>-30</v>
      </c>
      <c r="C1798" s="13" t="s">
        <v>1571</v>
      </c>
      <c r="D1798" s="36">
        <v>621.19000000000005</v>
      </c>
      <c r="E1798" s="43" t="s">
        <v>3596</v>
      </c>
    </row>
    <row r="1799" spans="1:5" x14ac:dyDescent="0.35">
      <c r="A1799" s="40">
        <v>45170</v>
      </c>
      <c r="B1799" s="38">
        <v>-3300</v>
      </c>
      <c r="C1799" s="13" t="s">
        <v>3418</v>
      </c>
      <c r="D1799" s="36">
        <v>635.44000000000005</v>
      </c>
      <c r="E1799" s="43" t="s">
        <v>3596</v>
      </c>
    </row>
    <row r="1800" spans="1:5" x14ac:dyDescent="0.35">
      <c r="A1800" s="40">
        <v>45170</v>
      </c>
      <c r="B1800" s="38">
        <v>-5.85</v>
      </c>
      <c r="C1800" s="13" t="s">
        <v>3467</v>
      </c>
      <c r="D1800" s="36">
        <v>629.59</v>
      </c>
      <c r="E1800" s="43" t="s">
        <v>3596</v>
      </c>
    </row>
    <row r="1801" spans="1:5" x14ac:dyDescent="0.35">
      <c r="A1801" s="40">
        <v>45170</v>
      </c>
      <c r="B1801" s="38">
        <v>-195.05</v>
      </c>
      <c r="C1801" s="13" t="s">
        <v>3466</v>
      </c>
      <c r="D1801" s="36">
        <v>434.54</v>
      </c>
      <c r="E1801" s="43" t="s">
        <v>3596</v>
      </c>
    </row>
    <row r="1802" spans="1:5" x14ac:dyDescent="0.35">
      <c r="A1802" s="40">
        <v>45170</v>
      </c>
      <c r="B1802" s="38">
        <v>124.73</v>
      </c>
      <c r="C1802" s="13" t="s">
        <v>3598</v>
      </c>
      <c r="D1802" s="36">
        <v>38594.160000000003</v>
      </c>
      <c r="E1802" s="43" t="s">
        <v>3604</v>
      </c>
    </row>
    <row r="1803" spans="1:5" x14ac:dyDescent="0.35">
      <c r="A1803" s="40">
        <v>45170</v>
      </c>
      <c r="B1803" s="38">
        <v>3300</v>
      </c>
      <c r="C1803" s="13" t="s">
        <v>3599</v>
      </c>
      <c r="D1803" s="36">
        <v>38469.43</v>
      </c>
      <c r="E1803" s="43" t="s">
        <v>3604</v>
      </c>
    </row>
    <row r="1804" spans="1:5" x14ac:dyDescent="0.35">
      <c r="A1804" s="40">
        <v>45169</v>
      </c>
      <c r="B1804" s="38">
        <v>-500</v>
      </c>
      <c r="C1804" s="13" t="s">
        <v>1395</v>
      </c>
      <c r="D1804" s="36">
        <v>3886.79</v>
      </c>
      <c r="E1804" s="43" t="s">
        <v>3596</v>
      </c>
    </row>
    <row r="1805" spans="1:5" x14ac:dyDescent="0.35">
      <c r="A1805" s="40">
        <v>45169</v>
      </c>
      <c r="B1805" s="38">
        <v>-40</v>
      </c>
      <c r="C1805" s="13" t="s">
        <v>3469</v>
      </c>
      <c r="D1805" s="36">
        <v>3846.79</v>
      </c>
      <c r="E1805" s="43" t="s">
        <v>3596</v>
      </c>
    </row>
    <row r="1806" spans="1:5" x14ac:dyDescent="0.35">
      <c r="A1806" s="40">
        <v>45169</v>
      </c>
      <c r="B1806" s="38">
        <v>2348.84</v>
      </c>
      <c r="C1806" s="13" t="s">
        <v>3470</v>
      </c>
      <c r="D1806" s="36">
        <v>4386.79</v>
      </c>
      <c r="E1806" s="43" t="s">
        <v>3596</v>
      </c>
    </row>
    <row r="1807" spans="1:5" x14ac:dyDescent="0.35">
      <c r="A1807" s="40">
        <v>45169</v>
      </c>
      <c r="B1807" s="38">
        <v>100</v>
      </c>
      <c r="C1807" s="13" t="s">
        <v>3468</v>
      </c>
      <c r="D1807" s="36">
        <v>3946.79</v>
      </c>
      <c r="E1807" s="43" t="s">
        <v>3596</v>
      </c>
    </row>
    <row r="1808" spans="1:5" x14ac:dyDescent="0.35">
      <c r="A1808" s="40">
        <v>45169</v>
      </c>
      <c r="B1808" s="38">
        <v>-11.35</v>
      </c>
      <c r="C1808" s="13" t="s">
        <v>3406</v>
      </c>
      <c r="D1808" s="36">
        <v>3935.44</v>
      </c>
      <c r="E1808" s="43" t="s">
        <v>3596</v>
      </c>
    </row>
    <row r="1809" spans="1:5" x14ac:dyDescent="0.35">
      <c r="A1809" s="40">
        <v>45168</v>
      </c>
      <c r="B1809" s="38">
        <v>-14.5</v>
      </c>
      <c r="C1809" s="13" t="s">
        <v>3334</v>
      </c>
      <c r="D1809" s="36">
        <v>2037.95</v>
      </c>
      <c r="E1809" s="43" t="s">
        <v>3596</v>
      </c>
    </row>
    <row r="1810" spans="1:5" x14ac:dyDescent="0.35">
      <c r="A1810" s="40">
        <v>45167</v>
      </c>
      <c r="B1810" s="38">
        <v>-62.93</v>
      </c>
      <c r="C1810" s="13" t="s">
        <v>3474</v>
      </c>
      <c r="D1810" s="36">
        <v>2132.59</v>
      </c>
      <c r="E1810" s="43" t="s">
        <v>3596</v>
      </c>
    </row>
    <row r="1811" spans="1:5" x14ac:dyDescent="0.35">
      <c r="A1811" s="40">
        <v>45167</v>
      </c>
      <c r="B1811" s="38">
        <v>-40</v>
      </c>
      <c r="C1811" s="13" t="s">
        <v>3475</v>
      </c>
      <c r="D1811" s="36">
        <v>2195.52</v>
      </c>
      <c r="E1811" s="43" t="s">
        <v>3596</v>
      </c>
    </row>
    <row r="1812" spans="1:5" x14ac:dyDescent="0.35">
      <c r="A1812" s="40">
        <v>45167</v>
      </c>
      <c r="B1812" s="38">
        <v>-48</v>
      </c>
      <c r="C1812" s="13" t="s">
        <v>3471</v>
      </c>
      <c r="D1812" s="36">
        <v>2066.9499999999998</v>
      </c>
      <c r="E1812" s="43" t="s">
        <v>3596</v>
      </c>
    </row>
    <row r="1813" spans="1:5" x14ac:dyDescent="0.35">
      <c r="A1813" s="40">
        <v>45167</v>
      </c>
      <c r="B1813" s="38">
        <v>-17.13</v>
      </c>
      <c r="C1813" s="13" t="s">
        <v>3473</v>
      </c>
      <c r="D1813" s="36">
        <v>2115.46</v>
      </c>
      <c r="E1813" s="43" t="s">
        <v>3596</v>
      </c>
    </row>
    <row r="1814" spans="1:5" x14ac:dyDescent="0.35">
      <c r="A1814" s="40">
        <v>45167</v>
      </c>
      <c r="B1814" s="38">
        <v>-0.51</v>
      </c>
      <c r="C1814" s="13" t="s">
        <v>3472</v>
      </c>
      <c r="D1814" s="36">
        <v>2114.9499999999998</v>
      </c>
      <c r="E1814" s="43" t="s">
        <v>3596</v>
      </c>
    </row>
    <row r="1815" spans="1:5" x14ac:dyDescent="0.35">
      <c r="A1815" s="40">
        <v>45167</v>
      </c>
      <c r="B1815" s="38">
        <v>-14.5</v>
      </c>
      <c r="C1815" s="13" t="s">
        <v>3334</v>
      </c>
      <c r="D1815" s="36">
        <v>2052.4499999999998</v>
      </c>
      <c r="E1815" s="43" t="s">
        <v>3596</v>
      </c>
    </row>
    <row r="1816" spans="1:5" x14ac:dyDescent="0.35">
      <c r="A1816" s="40">
        <v>45165</v>
      </c>
      <c r="B1816" s="38">
        <v>16</v>
      </c>
      <c r="C1816" s="13" t="s">
        <v>3476</v>
      </c>
      <c r="D1816" s="36">
        <v>2235.52</v>
      </c>
      <c r="E1816" s="43" t="s">
        <v>3596</v>
      </c>
    </row>
    <row r="1817" spans="1:5" x14ac:dyDescent="0.35">
      <c r="A1817" s="40">
        <v>45164</v>
      </c>
      <c r="B1817" s="38">
        <v>-3.93</v>
      </c>
      <c r="C1817" s="13" t="s">
        <v>3477</v>
      </c>
      <c r="D1817" s="36">
        <v>2251.89</v>
      </c>
      <c r="E1817" s="43" t="s">
        <v>3596</v>
      </c>
    </row>
    <row r="1818" spans="1:5" x14ac:dyDescent="0.35">
      <c r="A1818" s="40">
        <v>45164</v>
      </c>
      <c r="B1818" s="38">
        <v>-32.369999999999997</v>
      </c>
      <c r="C1818" s="13" t="s">
        <v>3414</v>
      </c>
      <c r="D1818" s="36">
        <v>2219.52</v>
      </c>
      <c r="E1818" s="43" t="s">
        <v>3596</v>
      </c>
    </row>
    <row r="1819" spans="1:5" x14ac:dyDescent="0.35">
      <c r="A1819" s="40">
        <v>45163</v>
      </c>
      <c r="B1819" s="38">
        <v>-8.99</v>
      </c>
      <c r="C1819" s="13" t="s">
        <v>3479</v>
      </c>
      <c r="D1819" s="36">
        <v>2268.8000000000002</v>
      </c>
      <c r="E1819" s="43" t="s">
        <v>3596</v>
      </c>
    </row>
    <row r="1820" spans="1:5" x14ac:dyDescent="0.35">
      <c r="A1820" s="40">
        <v>45163</v>
      </c>
      <c r="B1820" s="38">
        <v>-12.98</v>
      </c>
      <c r="C1820" s="13" t="s">
        <v>3478</v>
      </c>
      <c r="D1820" s="36">
        <v>2255.8200000000002</v>
      </c>
      <c r="E1820" s="43" t="s">
        <v>3596</v>
      </c>
    </row>
    <row r="1821" spans="1:5" x14ac:dyDescent="0.35">
      <c r="A1821" s="40">
        <v>45162</v>
      </c>
      <c r="B1821" s="38">
        <v>35</v>
      </c>
      <c r="C1821" s="13" t="s">
        <v>3480</v>
      </c>
      <c r="D1821" s="36">
        <v>2277.79</v>
      </c>
      <c r="E1821" s="43" t="s">
        <v>3596</v>
      </c>
    </row>
    <row r="1822" spans="1:5" x14ac:dyDescent="0.35">
      <c r="A1822" s="40">
        <v>45161</v>
      </c>
      <c r="B1822" s="38">
        <v>-15</v>
      </c>
      <c r="C1822" s="13" t="s">
        <v>3111</v>
      </c>
      <c r="D1822" s="36">
        <v>2242.79</v>
      </c>
      <c r="E1822" s="43" t="s">
        <v>3596</v>
      </c>
    </row>
    <row r="1823" spans="1:5" x14ac:dyDescent="0.35">
      <c r="A1823" s="40">
        <v>45161</v>
      </c>
      <c r="B1823" s="38">
        <v>-11.13</v>
      </c>
      <c r="C1823" s="13" t="s">
        <v>3481</v>
      </c>
      <c r="D1823" s="36">
        <v>2257.79</v>
      </c>
      <c r="E1823" s="43" t="s">
        <v>3596</v>
      </c>
    </row>
    <row r="1824" spans="1:5" x14ac:dyDescent="0.35">
      <c r="A1824" s="40">
        <v>45160</v>
      </c>
      <c r="B1824" s="38">
        <v>-49.28</v>
      </c>
      <c r="C1824" s="13" t="s">
        <v>3484</v>
      </c>
      <c r="D1824" s="36">
        <v>2410.5100000000002</v>
      </c>
      <c r="E1824" s="43" t="s">
        <v>3596</v>
      </c>
    </row>
    <row r="1825" spans="1:5" x14ac:dyDescent="0.35">
      <c r="A1825" s="40">
        <v>45160</v>
      </c>
      <c r="B1825" s="38">
        <v>-107.05</v>
      </c>
      <c r="C1825" s="13" t="s">
        <v>3482</v>
      </c>
      <c r="D1825" s="36">
        <v>2283.42</v>
      </c>
      <c r="E1825" s="43" t="s">
        <v>3596</v>
      </c>
    </row>
    <row r="1826" spans="1:5" x14ac:dyDescent="0.35">
      <c r="A1826" s="40">
        <v>45160</v>
      </c>
      <c r="B1826" s="38">
        <v>-7.8</v>
      </c>
      <c r="C1826" s="13" t="s">
        <v>3485</v>
      </c>
      <c r="D1826" s="36">
        <v>2459.79</v>
      </c>
      <c r="E1826" s="43" t="s">
        <v>3596</v>
      </c>
    </row>
    <row r="1827" spans="1:5" x14ac:dyDescent="0.35">
      <c r="A1827" s="40">
        <v>45160</v>
      </c>
      <c r="B1827" s="38">
        <v>-14.5</v>
      </c>
      <c r="C1827" s="13" t="s">
        <v>3334</v>
      </c>
      <c r="D1827" s="36">
        <v>2268.92</v>
      </c>
      <c r="E1827" s="43" t="s">
        <v>3596</v>
      </c>
    </row>
    <row r="1828" spans="1:5" x14ac:dyDescent="0.35">
      <c r="A1828" s="40">
        <v>45160</v>
      </c>
      <c r="B1828" s="38">
        <v>-20.04</v>
      </c>
      <c r="C1828" s="13" t="s">
        <v>3483</v>
      </c>
      <c r="D1828" s="36">
        <v>2390.4699999999998</v>
      </c>
      <c r="E1828" s="43" t="s">
        <v>3596</v>
      </c>
    </row>
    <row r="1829" spans="1:5" x14ac:dyDescent="0.35">
      <c r="A1829" s="40">
        <v>45159</v>
      </c>
      <c r="B1829" s="38">
        <v>-93.08</v>
      </c>
      <c r="C1829" s="13" t="s">
        <v>3419</v>
      </c>
      <c r="D1829" s="36">
        <v>2467.59</v>
      </c>
      <c r="E1829" s="43" t="s">
        <v>3596</v>
      </c>
    </row>
    <row r="1830" spans="1:5" x14ac:dyDescent="0.35">
      <c r="A1830" s="40">
        <v>45157</v>
      </c>
      <c r="B1830" s="38">
        <v>-17.600000000000001</v>
      </c>
      <c r="C1830" s="13" t="s">
        <v>3487</v>
      </c>
      <c r="D1830" s="36">
        <v>2525.67</v>
      </c>
      <c r="E1830" s="43" t="s">
        <v>3596</v>
      </c>
    </row>
    <row r="1831" spans="1:5" x14ac:dyDescent="0.35">
      <c r="A1831" s="40">
        <v>45157</v>
      </c>
      <c r="B1831" s="38">
        <v>35</v>
      </c>
      <c r="C1831" s="13" t="s">
        <v>3486</v>
      </c>
      <c r="D1831" s="36">
        <v>2560.67</v>
      </c>
      <c r="E1831" s="43" t="s">
        <v>3596</v>
      </c>
    </row>
    <row r="1832" spans="1:5" x14ac:dyDescent="0.35">
      <c r="A1832" s="40">
        <v>45156</v>
      </c>
      <c r="B1832" s="38">
        <v>-342.5</v>
      </c>
      <c r="C1832" s="13" t="s">
        <v>3488</v>
      </c>
      <c r="D1832" s="36">
        <v>2543.27</v>
      </c>
      <c r="E1832" s="43" t="s">
        <v>3596</v>
      </c>
    </row>
    <row r="1833" spans="1:5" x14ac:dyDescent="0.35">
      <c r="A1833" s="40">
        <v>45155</v>
      </c>
      <c r="B1833" s="38">
        <v>-500</v>
      </c>
      <c r="C1833" s="13" t="s">
        <v>1395</v>
      </c>
      <c r="D1833" s="36">
        <v>2863.83</v>
      </c>
      <c r="E1833" s="43" t="s">
        <v>3596</v>
      </c>
    </row>
    <row r="1834" spans="1:5" x14ac:dyDescent="0.35">
      <c r="A1834" s="40">
        <v>45155</v>
      </c>
      <c r="B1834" s="38">
        <v>-28.39</v>
      </c>
      <c r="C1834" s="13" t="s">
        <v>3492</v>
      </c>
      <c r="D1834" s="36">
        <v>2835.44</v>
      </c>
      <c r="E1834" s="43" t="s">
        <v>3596</v>
      </c>
    </row>
    <row r="1835" spans="1:5" x14ac:dyDescent="0.35">
      <c r="A1835" s="40">
        <v>45155</v>
      </c>
      <c r="B1835" s="38">
        <v>2348.83</v>
      </c>
      <c r="C1835" s="13" t="s">
        <v>3493</v>
      </c>
      <c r="D1835" s="36">
        <v>3363.83</v>
      </c>
      <c r="E1835" s="43" t="s">
        <v>3596</v>
      </c>
    </row>
    <row r="1836" spans="1:5" x14ac:dyDescent="0.35">
      <c r="A1836" s="40">
        <v>45155</v>
      </c>
      <c r="B1836" s="38">
        <v>-37.200000000000003</v>
      </c>
      <c r="C1836" s="13" t="s">
        <v>3491</v>
      </c>
      <c r="D1836" s="36">
        <v>2798.24</v>
      </c>
      <c r="E1836" s="43" t="s">
        <v>3596</v>
      </c>
    </row>
    <row r="1837" spans="1:5" x14ac:dyDescent="0.35">
      <c r="A1837" s="40">
        <v>45155</v>
      </c>
      <c r="B1837" s="38">
        <v>-1.1200000000000001</v>
      </c>
      <c r="C1837" s="13" t="s">
        <v>3490</v>
      </c>
      <c r="D1837" s="36">
        <v>2797.12</v>
      </c>
      <c r="E1837" s="43" t="s">
        <v>3596</v>
      </c>
    </row>
    <row r="1838" spans="1:5" x14ac:dyDescent="0.35">
      <c r="A1838" s="40">
        <v>45155</v>
      </c>
      <c r="B1838" s="38">
        <v>100</v>
      </c>
      <c r="C1838" s="13" t="s">
        <v>3489</v>
      </c>
      <c r="D1838" s="36">
        <v>2897.12</v>
      </c>
      <c r="E1838" s="43" t="s">
        <v>3596</v>
      </c>
    </row>
    <row r="1839" spans="1:5" x14ac:dyDescent="0.35">
      <c r="A1839" s="40">
        <v>45155</v>
      </c>
      <c r="B1839" s="38">
        <v>-11.35</v>
      </c>
      <c r="C1839" s="13" t="s">
        <v>3406</v>
      </c>
      <c r="D1839" s="36">
        <v>2885.77</v>
      </c>
      <c r="E1839" s="43" t="s">
        <v>3596</v>
      </c>
    </row>
    <row r="1840" spans="1:5" x14ac:dyDescent="0.35">
      <c r="A1840" s="40">
        <v>45154</v>
      </c>
      <c r="B1840" s="38">
        <v>-100</v>
      </c>
      <c r="C1840" s="13" t="s">
        <v>3494</v>
      </c>
      <c r="D1840" s="36">
        <v>1106.73</v>
      </c>
      <c r="E1840" s="43" t="s">
        <v>3596</v>
      </c>
    </row>
    <row r="1841" spans="1:5" x14ac:dyDescent="0.35">
      <c r="A1841" s="40">
        <v>45154</v>
      </c>
      <c r="B1841" s="38">
        <v>-735.73</v>
      </c>
      <c r="C1841" s="13" t="s">
        <v>3496</v>
      </c>
      <c r="D1841" s="36">
        <v>1251.42</v>
      </c>
      <c r="E1841" s="43" t="s">
        <v>3596</v>
      </c>
    </row>
    <row r="1842" spans="1:5" x14ac:dyDescent="0.35">
      <c r="A1842" s="40">
        <v>45154</v>
      </c>
      <c r="B1842" s="38">
        <v>-18.45</v>
      </c>
      <c r="C1842" s="13" t="s">
        <v>3414</v>
      </c>
      <c r="D1842" s="36">
        <v>1073.29</v>
      </c>
      <c r="E1842" s="43" t="s">
        <v>3596</v>
      </c>
    </row>
    <row r="1843" spans="1:5" x14ac:dyDescent="0.35">
      <c r="A1843" s="40">
        <v>45154</v>
      </c>
      <c r="B1843" s="38">
        <v>-58.29</v>
      </c>
      <c r="C1843" s="13" t="s">
        <v>2281</v>
      </c>
      <c r="D1843" s="36">
        <v>1015</v>
      </c>
      <c r="E1843" s="43" t="s">
        <v>3596</v>
      </c>
    </row>
    <row r="1844" spans="1:5" x14ac:dyDescent="0.35">
      <c r="A1844" s="40">
        <v>45154</v>
      </c>
      <c r="B1844" s="38">
        <v>-14.99</v>
      </c>
      <c r="C1844" s="13" t="s">
        <v>3361</v>
      </c>
      <c r="D1844" s="36">
        <v>1091.74</v>
      </c>
      <c r="E1844" s="43" t="s">
        <v>3596</v>
      </c>
    </row>
    <row r="1845" spans="1:5" x14ac:dyDescent="0.35">
      <c r="A1845" s="40">
        <v>45154</v>
      </c>
      <c r="B1845" s="38">
        <v>-44.69</v>
      </c>
      <c r="C1845" s="13" t="s">
        <v>3495</v>
      </c>
      <c r="D1845" s="36">
        <v>1206.73</v>
      </c>
      <c r="E1845" s="43" t="s">
        <v>3596</v>
      </c>
    </row>
    <row r="1846" spans="1:5" x14ac:dyDescent="0.35">
      <c r="A1846" s="40">
        <v>45153</v>
      </c>
      <c r="B1846" s="38">
        <v>-1000</v>
      </c>
      <c r="C1846" s="13" t="s">
        <v>3597</v>
      </c>
      <c r="D1846" s="36">
        <v>35169.43</v>
      </c>
      <c r="E1846" s="43" t="s">
        <v>3604</v>
      </c>
    </row>
    <row r="1847" spans="1:5" x14ac:dyDescent="0.35">
      <c r="A1847" s="40">
        <v>45153</v>
      </c>
      <c r="B1847" s="38">
        <v>1000</v>
      </c>
      <c r="C1847" s="13" t="s">
        <v>1521</v>
      </c>
      <c r="D1847" s="36">
        <v>1987.15</v>
      </c>
      <c r="E1847" s="43" t="s">
        <v>3596</v>
      </c>
    </row>
    <row r="1848" spans="1:5" x14ac:dyDescent="0.35">
      <c r="A1848" s="40">
        <v>45153</v>
      </c>
      <c r="B1848" s="38">
        <v>-16.989999999999998</v>
      </c>
      <c r="C1848" s="13" t="s">
        <v>2281</v>
      </c>
      <c r="D1848" s="36">
        <v>987.15</v>
      </c>
      <c r="E1848" s="43" t="s">
        <v>3596</v>
      </c>
    </row>
    <row r="1849" spans="1:5" x14ac:dyDescent="0.35">
      <c r="A1849" s="40">
        <v>45152</v>
      </c>
      <c r="B1849" s="38">
        <v>-68</v>
      </c>
      <c r="C1849" s="13" t="s">
        <v>3497</v>
      </c>
      <c r="D1849" s="36">
        <v>1004.14</v>
      </c>
      <c r="E1849" s="43" t="s">
        <v>3596</v>
      </c>
    </row>
    <row r="1850" spans="1:5" x14ac:dyDescent="0.35">
      <c r="A1850" s="40">
        <v>45152</v>
      </c>
      <c r="B1850" s="38">
        <v>-22.53</v>
      </c>
      <c r="C1850" s="13" t="s">
        <v>3184</v>
      </c>
      <c r="D1850" s="36">
        <v>1072.1400000000001</v>
      </c>
      <c r="E1850" s="43" t="s">
        <v>3596</v>
      </c>
    </row>
    <row r="1851" spans="1:5" x14ac:dyDescent="0.35">
      <c r="A1851" s="40">
        <v>45150</v>
      </c>
      <c r="B1851" s="38">
        <v>-32</v>
      </c>
      <c r="C1851" s="13" t="s">
        <v>3498</v>
      </c>
      <c r="D1851" s="36">
        <v>1094.67</v>
      </c>
      <c r="E1851" s="43" t="s">
        <v>3596</v>
      </c>
    </row>
    <row r="1852" spans="1:5" x14ac:dyDescent="0.35">
      <c r="A1852" s="40">
        <v>45150</v>
      </c>
      <c r="B1852" s="38">
        <v>-1439.2</v>
      </c>
      <c r="C1852" s="13" t="s">
        <v>3500</v>
      </c>
      <c r="D1852" s="36">
        <v>1164.97</v>
      </c>
      <c r="E1852" s="43" t="s">
        <v>3596</v>
      </c>
    </row>
    <row r="1853" spans="1:5" x14ac:dyDescent="0.35">
      <c r="A1853" s="40">
        <v>45150</v>
      </c>
      <c r="B1853" s="38">
        <v>-38.299999999999997</v>
      </c>
      <c r="C1853" s="13" t="s">
        <v>3499</v>
      </c>
      <c r="D1853" s="36">
        <v>1126.67</v>
      </c>
      <c r="E1853" s="43" t="s">
        <v>3596</v>
      </c>
    </row>
    <row r="1854" spans="1:5" x14ac:dyDescent="0.35">
      <c r="A1854" s="40">
        <v>45148</v>
      </c>
      <c r="B1854" s="38">
        <v>-1500</v>
      </c>
      <c r="C1854" s="13" t="s">
        <v>3600</v>
      </c>
      <c r="D1854" s="36">
        <v>36169.43</v>
      </c>
      <c r="E1854" s="43" t="s">
        <v>3604</v>
      </c>
    </row>
    <row r="1855" spans="1:5" x14ac:dyDescent="0.35">
      <c r="A1855" s="40">
        <v>45148</v>
      </c>
      <c r="B1855" s="38">
        <v>1500</v>
      </c>
      <c r="C1855" s="13" t="s">
        <v>3501</v>
      </c>
      <c r="D1855" s="36">
        <v>2604.17</v>
      </c>
      <c r="E1855" s="43" t="s">
        <v>3596</v>
      </c>
    </row>
    <row r="1856" spans="1:5" x14ac:dyDescent="0.35">
      <c r="A1856" s="40">
        <v>45147</v>
      </c>
      <c r="B1856" s="38">
        <v>-1101.8900000000001</v>
      </c>
      <c r="C1856" s="13" t="s">
        <v>3502</v>
      </c>
      <c r="D1856" s="36">
        <v>1174.6600000000001</v>
      </c>
      <c r="E1856" s="43" t="s">
        <v>3596</v>
      </c>
    </row>
    <row r="1857" spans="1:5" x14ac:dyDescent="0.35">
      <c r="A1857" s="40">
        <v>45147</v>
      </c>
      <c r="B1857" s="38">
        <v>-33.24</v>
      </c>
      <c r="C1857" s="13" t="s">
        <v>3198</v>
      </c>
      <c r="D1857" s="36">
        <v>1104.17</v>
      </c>
      <c r="E1857" s="43" t="s">
        <v>3596</v>
      </c>
    </row>
    <row r="1858" spans="1:5" x14ac:dyDescent="0.35">
      <c r="A1858" s="40">
        <v>45147</v>
      </c>
      <c r="B1858" s="38">
        <v>-37.25</v>
      </c>
      <c r="C1858" s="13" t="s">
        <v>2281</v>
      </c>
      <c r="D1858" s="36">
        <v>1137.4100000000001</v>
      </c>
      <c r="E1858" s="43" t="s">
        <v>3596</v>
      </c>
    </row>
    <row r="1859" spans="1:5" x14ac:dyDescent="0.35">
      <c r="A1859" s="40">
        <v>45146</v>
      </c>
      <c r="B1859" s="38">
        <v>1.49</v>
      </c>
      <c r="C1859" s="13" t="s">
        <v>3508</v>
      </c>
      <c r="D1859" s="36">
        <v>1947.19</v>
      </c>
      <c r="E1859" s="43" t="s">
        <v>3596</v>
      </c>
    </row>
    <row r="1860" spans="1:5" x14ac:dyDescent="0.35">
      <c r="A1860" s="40">
        <v>45146</v>
      </c>
      <c r="B1860" s="38">
        <v>1.36</v>
      </c>
      <c r="C1860" s="13" t="s">
        <v>3508</v>
      </c>
      <c r="D1860" s="36">
        <v>1945.7</v>
      </c>
      <c r="E1860" s="43" t="s">
        <v>3596</v>
      </c>
    </row>
    <row r="1861" spans="1:5" x14ac:dyDescent="0.35">
      <c r="A1861" s="40">
        <v>45146</v>
      </c>
      <c r="B1861" s="38">
        <v>0.36</v>
      </c>
      <c r="C1861" s="13" t="s">
        <v>3508</v>
      </c>
      <c r="D1861" s="36">
        <v>1944.34</v>
      </c>
      <c r="E1861" s="43" t="s">
        <v>3596</v>
      </c>
    </row>
    <row r="1862" spans="1:5" x14ac:dyDescent="0.35">
      <c r="A1862" s="40">
        <v>45146</v>
      </c>
      <c r="B1862" s="38">
        <v>1.08</v>
      </c>
      <c r="C1862" s="13" t="s">
        <v>3508</v>
      </c>
      <c r="D1862" s="36">
        <v>1943.98</v>
      </c>
      <c r="E1862" s="43" t="s">
        <v>3596</v>
      </c>
    </row>
    <row r="1863" spans="1:5" x14ac:dyDescent="0.35">
      <c r="A1863" s="40">
        <v>45146</v>
      </c>
      <c r="B1863" s="38">
        <v>5.6</v>
      </c>
      <c r="C1863" s="13" t="s">
        <v>3508</v>
      </c>
      <c r="D1863" s="36">
        <v>1942.9</v>
      </c>
      <c r="E1863" s="43" t="s">
        <v>3596</v>
      </c>
    </row>
    <row r="1864" spans="1:5" x14ac:dyDescent="0.35">
      <c r="A1864" s="40">
        <v>45146</v>
      </c>
      <c r="B1864" s="38">
        <v>49.56</v>
      </c>
      <c r="C1864" s="13" t="s">
        <v>3503</v>
      </c>
      <c r="D1864" s="36">
        <v>2276.5500000000002</v>
      </c>
      <c r="E1864" s="43" t="s">
        <v>3596</v>
      </c>
    </row>
    <row r="1865" spans="1:5" x14ac:dyDescent="0.35">
      <c r="A1865" s="40">
        <v>45146</v>
      </c>
      <c r="B1865" s="38">
        <v>45.39</v>
      </c>
      <c r="C1865" s="13" t="s">
        <v>3504</v>
      </c>
      <c r="D1865" s="36">
        <v>2226.9899999999998</v>
      </c>
      <c r="E1865" s="43" t="s">
        <v>3596</v>
      </c>
    </row>
    <row r="1866" spans="1:5" x14ac:dyDescent="0.35">
      <c r="A1866" s="40">
        <v>45146</v>
      </c>
      <c r="B1866" s="38">
        <v>35.909999999999997</v>
      </c>
      <c r="C1866" s="13" t="s">
        <v>3506</v>
      </c>
      <c r="D1866" s="36">
        <v>2169.69</v>
      </c>
      <c r="E1866" s="43" t="s">
        <v>3596</v>
      </c>
    </row>
    <row r="1867" spans="1:5" x14ac:dyDescent="0.35">
      <c r="A1867" s="40">
        <v>45146</v>
      </c>
      <c r="B1867" s="38">
        <v>186.59</v>
      </c>
      <c r="C1867" s="13" t="s">
        <v>3507</v>
      </c>
      <c r="D1867" s="36">
        <v>2133.7800000000002</v>
      </c>
      <c r="E1867" s="43" t="s">
        <v>3596</v>
      </c>
    </row>
    <row r="1868" spans="1:5" x14ac:dyDescent="0.35">
      <c r="A1868" s="40">
        <v>45146</v>
      </c>
      <c r="B1868" s="38">
        <v>11.91</v>
      </c>
      <c r="C1868" s="13" t="s">
        <v>3505</v>
      </c>
      <c r="D1868" s="36">
        <v>2181.6</v>
      </c>
      <c r="E1868" s="43" t="s">
        <v>3596</v>
      </c>
    </row>
    <row r="1869" spans="1:5" x14ac:dyDescent="0.35">
      <c r="A1869" s="40">
        <v>45145</v>
      </c>
      <c r="B1869" s="38">
        <v>100</v>
      </c>
      <c r="C1869" s="13" t="s">
        <v>3510</v>
      </c>
      <c r="D1869" s="36">
        <v>2037.3</v>
      </c>
      <c r="E1869" s="43" t="s">
        <v>3596</v>
      </c>
    </row>
    <row r="1870" spans="1:5" x14ac:dyDescent="0.35">
      <c r="A1870" s="40">
        <v>45145</v>
      </c>
      <c r="B1870" s="38">
        <v>-100</v>
      </c>
      <c r="C1870" s="13" t="s">
        <v>3509</v>
      </c>
      <c r="D1870" s="36">
        <v>1937.3</v>
      </c>
      <c r="E1870" s="43" t="s">
        <v>3596</v>
      </c>
    </row>
    <row r="1871" spans="1:5" x14ac:dyDescent="0.35">
      <c r="A1871" s="40">
        <v>45145</v>
      </c>
      <c r="B1871" s="38">
        <v>-100</v>
      </c>
      <c r="C1871" s="13" t="s">
        <v>3509</v>
      </c>
      <c r="D1871" s="36">
        <v>1937.3</v>
      </c>
      <c r="E1871" s="43" t="s">
        <v>3596</v>
      </c>
    </row>
    <row r="1872" spans="1:5" x14ac:dyDescent="0.35">
      <c r="A1872" s="40">
        <v>45142</v>
      </c>
      <c r="B1872" s="38">
        <v>-40</v>
      </c>
      <c r="C1872" s="13" t="s">
        <v>3509</v>
      </c>
      <c r="D1872" s="36">
        <v>2037.3</v>
      </c>
      <c r="E1872" s="43" t="s">
        <v>3596</v>
      </c>
    </row>
    <row r="1873" spans="1:5" x14ac:dyDescent="0.35">
      <c r="A1873" s="40">
        <v>45141</v>
      </c>
      <c r="B1873" s="38">
        <v>-35000</v>
      </c>
      <c r="C1873" s="13" t="s">
        <v>3511</v>
      </c>
      <c r="D1873" s="36">
        <v>1088.6500000000001</v>
      </c>
      <c r="E1873" s="43" t="s">
        <v>3596</v>
      </c>
    </row>
    <row r="1874" spans="1:5" x14ac:dyDescent="0.35">
      <c r="A1874" s="40">
        <v>45141</v>
      </c>
      <c r="B1874" s="38">
        <v>-500</v>
      </c>
      <c r="C1874" s="13" t="s">
        <v>1395</v>
      </c>
      <c r="D1874" s="36">
        <v>36038.65</v>
      </c>
      <c r="E1874" s="43" t="s">
        <v>3596</v>
      </c>
    </row>
    <row r="1875" spans="1:5" x14ac:dyDescent="0.35">
      <c r="A1875" s="40">
        <v>45141</v>
      </c>
      <c r="B1875" s="38">
        <v>2348.84</v>
      </c>
      <c r="C1875" s="13" t="s">
        <v>3513</v>
      </c>
      <c r="D1875" s="36">
        <v>36538.65</v>
      </c>
      <c r="E1875" s="43" t="s">
        <v>3596</v>
      </c>
    </row>
    <row r="1876" spans="1:5" x14ac:dyDescent="0.35">
      <c r="A1876" s="40">
        <v>45141</v>
      </c>
      <c r="B1876" s="38">
        <v>100</v>
      </c>
      <c r="C1876" s="13" t="s">
        <v>3512</v>
      </c>
      <c r="D1876" s="36">
        <v>36138.65</v>
      </c>
      <c r="E1876" s="43" t="s">
        <v>3596</v>
      </c>
    </row>
    <row r="1877" spans="1:5" x14ac:dyDescent="0.35">
      <c r="A1877" s="40">
        <v>45141</v>
      </c>
      <c r="B1877" s="38">
        <v>1000</v>
      </c>
      <c r="C1877" s="13" t="s">
        <v>3279</v>
      </c>
      <c r="D1877" s="36">
        <v>2088.65</v>
      </c>
      <c r="E1877" s="43" t="s">
        <v>3596</v>
      </c>
    </row>
    <row r="1878" spans="1:5" x14ac:dyDescent="0.35">
      <c r="A1878" s="40">
        <v>45141</v>
      </c>
      <c r="B1878" s="38">
        <v>-11.35</v>
      </c>
      <c r="C1878" s="13" t="s">
        <v>3406</v>
      </c>
      <c r="D1878" s="36">
        <v>2077.3000000000002</v>
      </c>
      <c r="E1878" s="43" t="s">
        <v>3596</v>
      </c>
    </row>
    <row r="1879" spans="1:5" x14ac:dyDescent="0.35">
      <c r="A1879" s="40">
        <v>45141</v>
      </c>
      <c r="B1879" s="38">
        <v>-50</v>
      </c>
      <c r="C1879" s="13" t="s">
        <v>3509</v>
      </c>
      <c r="D1879" s="36">
        <v>36088.65</v>
      </c>
      <c r="E1879" s="43" t="s">
        <v>3596</v>
      </c>
    </row>
    <row r="1880" spans="1:5" x14ac:dyDescent="0.35">
      <c r="A1880" s="40">
        <v>45141</v>
      </c>
      <c r="B1880" s="38">
        <v>35000</v>
      </c>
      <c r="C1880" s="13" t="s">
        <v>3601</v>
      </c>
      <c r="D1880" s="36">
        <v>37669.43</v>
      </c>
      <c r="E1880" s="43" t="s">
        <v>3604</v>
      </c>
    </row>
    <row r="1881" spans="1:5" x14ac:dyDescent="0.35">
      <c r="A1881" s="40">
        <v>45140</v>
      </c>
      <c r="B1881" s="38">
        <v>40</v>
      </c>
      <c r="C1881" s="13" t="s">
        <v>3510</v>
      </c>
      <c r="D1881" s="36">
        <v>34239.81</v>
      </c>
      <c r="E1881" s="43" t="s">
        <v>3596</v>
      </c>
    </row>
    <row r="1882" spans="1:5" x14ac:dyDescent="0.35">
      <c r="A1882" s="40">
        <v>45140</v>
      </c>
      <c r="B1882" s="38">
        <v>-50</v>
      </c>
      <c r="C1882" s="13" t="s">
        <v>3509</v>
      </c>
      <c r="D1882" s="36">
        <v>34189.81</v>
      </c>
      <c r="E1882" s="43" t="s">
        <v>3596</v>
      </c>
    </row>
    <row r="1883" spans="1:5" x14ac:dyDescent="0.35">
      <c r="A1883" s="40">
        <v>45140</v>
      </c>
      <c r="B1883" s="38">
        <v>-40</v>
      </c>
      <c r="C1883" s="13" t="s">
        <v>3509</v>
      </c>
      <c r="D1883" s="36">
        <v>34199.81</v>
      </c>
      <c r="E1883" s="43" t="s">
        <v>3596</v>
      </c>
    </row>
    <row r="1884" spans="1:5" x14ac:dyDescent="0.35">
      <c r="A1884" s="40">
        <v>45139</v>
      </c>
      <c r="B1884" s="38">
        <v>-186.7</v>
      </c>
      <c r="C1884" s="13" t="s">
        <v>3514</v>
      </c>
      <c r="D1884" s="36">
        <v>34239.81</v>
      </c>
      <c r="E1884" s="43" t="s">
        <v>3596</v>
      </c>
    </row>
    <row r="1885" spans="1:5" x14ac:dyDescent="0.35">
      <c r="A1885" s="40">
        <v>45139</v>
      </c>
      <c r="B1885" s="38">
        <v>-20</v>
      </c>
      <c r="C1885" s="13" t="s">
        <v>3509</v>
      </c>
      <c r="D1885" s="36">
        <v>34426.51</v>
      </c>
      <c r="E1885" s="43" t="s">
        <v>3596</v>
      </c>
    </row>
    <row r="1886" spans="1:5" x14ac:dyDescent="0.35">
      <c r="A1886" s="40">
        <v>45139</v>
      </c>
      <c r="B1886" s="38">
        <v>4.9800000000000004</v>
      </c>
      <c r="C1886" s="13" t="s">
        <v>3598</v>
      </c>
      <c r="D1886" s="36">
        <v>2669.43</v>
      </c>
      <c r="E1886" s="43" t="s">
        <v>3604</v>
      </c>
    </row>
    <row r="1887" spans="1:5" x14ac:dyDescent="0.35">
      <c r="A1887" s="40">
        <v>45137</v>
      </c>
      <c r="B1887" s="38">
        <v>-60</v>
      </c>
      <c r="C1887" s="13" t="s">
        <v>3390</v>
      </c>
      <c r="D1887" s="36">
        <v>34446.51</v>
      </c>
      <c r="E1887" s="43" t="s">
        <v>3596</v>
      </c>
    </row>
    <row r="1888" spans="1:5" x14ac:dyDescent="0.35">
      <c r="A1888" s="40">
        <v>45137</v>
      </c>
      <c r="B1888" s="38">
        <v>-60</v>
      </c>
      <c r="C1888" s="13" t="s">
        <v>3390</v>
      </c>
      <c r="D1888" s="36">
        <v>34446.51</v>
      </c>
      <c r="E1888" s="43" t="s">
        <v>3596</v>
      </c>
    </row>
    <row r="1889" spans="1:5" x14ac:dyDescent="0.35">
      <c r="A1889" s="40">
        <v>45136</v>
      </c>
      <c r="B1889" s="38">
        <v>150</v>
      </c>
      <c r="C1889" s="13" t="s">
        <v>3392</v>
      </c>
      <c r="D1889" s="36">
        <v>34656.51</v>
      </c>
      <c r="E1889" s="43" t="s">
        <v>3596</v>
      </c>
    </row>
    <row r="1890" spans="1:5" x14ac:dyDescent="0.35">
      <c r="A1890" s="40">
        <v>45136</v>
      </c>
      <c r="B1890" s="38">
        <v>-150</v>
      </c>
      <c r="C1890" s="13" t="s">
        <v>3391</v>
      </c>
      <c r="D1890" s="36">
        <v>34506.51</v>
      </c>
      <c r="E1890" s="43" t="s">
        <v>3596</v>
      </c>
    </row>
    <row r="1891" spans="1:5" x14ac:dyDescent="0.35">
      <c r="A1891" s="40">
        <v>45136</v>
      </c>
      <c r="B1891" s="38">
        <v>-150</v>
      </c>
      <c r="C1891" s="13" t="s">
        <v>3391</v>
      </c>
      <c r="D1891" s="36">
        <v>34506.51</v>
      </c>
      <c r="E1891" s="43" t="s">
        <v>3596</v>
      </c>
    </row>
    <row r="1892" spans="1:5" x14ac:dyDescent="0.35">
      <c r="A1892" s="40">
        <v>45136</v>
      </c>
      <c r="B1892" s="38">
        <v>-150</v>
      </c>
      <c r="C1892" s="13" t="s">
        <v>3393</v>
      </c>
      <c r="D1892" s="36">
        <v>34506.51</v>
      </c>
      <c r="E1892" s="43" t="s">
        <v>3596</v>
      </c>
    </row>
    <row r="1893" spans="1:5" x14ac:dyDescent="0.35">
      <c r="A1893" s="40">
        <v>45134</v>
      </c>
      <c r="B1893" s="38">
        <v>-11.91</v>
      </c>
      <c r="C1893" s="13" t="s">
        <v>3402</v>
      </c>
      <c r="D1893" s="36">
        <v>34951.949999999997</v>
      </c>
      <c r="E1893" s="43" t="s">
        <v>3596</v>
      </c>
    </row>
    <row r="1894" spans="1:5" x14ac:dyDescent="0.35">
      <c r="A1894" s="40">
        <v>45134</v>
      </c>
      <c r="B1894" s="38">
        <v>-49.56</v>
      </c>
      <c r="C1894" s="13" t="s">
        <v>3399</v>
      </c>
      <c r="D1894" s="36">
        <v>34818.29</v>
      </c>
      <c r="E1894" s="43" t="s">
        <v>3596</v>
      </c>
    </row>
    <row r="1895" spans="1:5" x14ac:dyDescent="0.35">
      <c r="A1895" s="40">
        <v>45134</v>
      </c>
      <c r="B1895" s="38">
        <v>-45.39</v>
      </c>
      <c r="C1895" s="13" t="s">
        <v>3400</v>
      </c>
      <c r="D1895" s="36">
        <v>34869.21</v>
      </c>
      <c r="E1895" s="43" t="s">
        <v>3596</v>
      </c>
    </row>
    <row r="1896" spans="1:5" x14ac:dyDescent="0.35">
      <c r="A1896" s="40">
        <v>45134</v>
      </c>
      <c r="B1896" s="38">
        <v>-35.909999999999997</v>
      </c>
      <c r="C1896" s="13" t="s">
        <v>3401</v>
      </c>
      <c r="D1896" s="36">
        <v>34915.68</v>
      </c>
      <c r="E1896" s="43" t="s">
        <v>3596</v>
      </c>
    </row>
    <row r="1897" spans="1:5" x14ac:dyDescent="0.35">
      <c r="A1897" s="40">
        <v>45134</v>
      </c>
      <c r="B1897" s="38">
        <v>-16.39</v>
      </c>
      <c r="C1897" s="13" t="s">
        <v>3395</v>
      </c>
      <c r="D1897" s="36">
        <v>34657</v>
      </c>
      <c r="E1897" s="43" t="s">
        <v>3596</v>
      </c>
    </row>
    <row r="1898" spans="1:5" x14ac:dyDescent="0.35">
      <c r="A1898" s="40">
        <v>45134</v>
      </c>
      <c r="B1898" s="38">
        <v>-0.49</v>
      </c>
      <c r="C1898" s="13" t="s">
        <v>3394</v>
      </c>
      <c r="D1898" s="36">
        <v>34656.51</v>
      </c>
      <c r="E1898" s="43" t="s">
        <v>3596</v>
      </c>
    </row>
    <row r="1899" spans="1:5" x14ac:dyDescent="0.35">
      <c r="A1899" s="40">
        <v>45134</v>
      </c>
      <c r="B1899" s="38">
        <v>-3.3</v>
      </c>
      <c r="C1899" s="13" t="s">
        <v>3397</v>
      </c>
      <c r="D1899" s="36">
        <v>34703.39</v>
      </c>
      <c r="E1899" s="43" t="s">
        <v>3596</v>
      </c>
    </row>
    <row r="1900" spans="1:5" x14ac:dyDescent="0.35">
      <c r="A1900" s="40">
        <v>45134</v>
      </c>
      <c r="B1900" s="38">
        <v>-1.49</v>
      </c>
      <c r="C1900" s="13" t="s">
        <v>3397</v>
      </c>
      <c r="D1900" s="36">
        <v>34816.800000000003</v>
      </c>
      <c r="E1900" s="43" t="s">
        <v>3596</v>
      </c>
    </row>
    <row r="1901" spans="1:5" x14ac:dyDescent="0.35">
      <c r="A1901" s="40">
        <v>45134</v>
      </c>
      <c r="B1901" s="38">
        <v>-1.36</v>
      </c>
      <c r="C1901" s="13" t="s">
        <v>3397</v>
      </c>
      <c r="D1901" s="36">
        <v>34867.85</v>
      </c>
      <c r="E1901" s="43" t="s">
        <v>3596</v>
      </c>
    </row>
    <row r="1902" spans="1:5" x14ac:dyDescent="0.35">
      <c r="A1902" s="40">
        <v>45134</v>
      </c>
      <c r="B1902" s="38">
        <v>-1.08</v>
      </c>
      <c r="C1902" s="13" t="s">
        <v>3397</v>
      </c>
      <c r="D1902" s="36">
        <v>34914.6</v>
      </c>
      <c r="E1902" s="43" t="s">
        <v>3596</v>
      </c>
    </row>
    <row r="1903" spans="1:5" x14ac:dyDescent="0.35">
      <c r="A1903" s="40">
        <v>45134</v>
      </c>
      <c r="B1903" s="38">
        <v>-0.36</v>
      </c>
      <c r="C1903" s="13" t="s">
        <v>3397</v>
      </c>
      <c r="D1903" s="36">
        <v>34951.589999999997</v>
      </c>
      <c r="E1903" s="43" t="s">
        <v>3596</v>
      </c>
    </row>
    <row r="1904" spans="1:5" x14ac:dyDescent="0.35">
      <c r="A1904" s="40">
        <v>45134</v>
      </c>
      <c r="B1904" s="38">
        <v>-15</v>
      </c>
      <c r="C1904" s="13" t="s">
        <v>3396</v>
      </c>
      <c r="D1904" s="36">
        <v>34673.39</v>
      </c>
      <c r="E1904" s="43" t="s">
        <v>3596</v>
      </c>
    </row>
    <row r="1905" spans="1:5" x14ac:dyDescent="0.35">
      <c r="A1905" s="40">
        <v>45134</v>
      </c>
      <c r="B1905" s="38">
        <v>-15</v>
      </c>
      <c r="C1905" s="13" t="s">
        <v>3396</v>
      </c>
      <c r="D1905" s="36">
        <v>34688.39</v>
      </c>
      <c r="E1905" s="43" t="s">
        <v>3596</v>
      </c>
    </row>
    <row r="1906" spans="1:5" x14ac:dyDescent="0.35">
      <c r="A1906" s="40">
        <v>45134</v>
      </c>
      <c r="B1906" s="38">
        <v>-110.11</v>
      </c>
      <c r="C1906" s="13" t="s">
        <v>3398</v>
      </c>
      <c r="D1906" s="36">
        <v>34706.69</v>
      </c>
      <c r="E1906" s="43" t="s">
        <v>3596</v>
      </c>
    </row>
    <row r="1907" spans="1:5" x14ac:dyDescent="0.35">
      <c r="A1907" s="40">
        <v>45133</v>
      </c>
      <c r="B1907" s="38">
        <v>-186.59</v>
      </c>
      <c r="C1907" s="13" t="s">
        <v>3403</v>
      </c>
      <c r="D1907" s="36">
        <v>34969.46</v>
      </c>
      <c r="E1907" s="43" t="s">
        <v>3596</v>
      </c>
    </row>
    <row r="1908" spans="1:5" x14ac:dyDescent="0.35">
      <c r="A1908" s="40">
        <v>45133</v>
      </c>
      <c r="B1908" s="38">
        <v>-5.6</v>
      </c>
      <c r="C1908" s="13" t="s">
        <v>3397</v>
      </c>
      <c r="D1908" s="36">
        <v>34963.86</v>
      </c>
      <c r="E1908" s="43" t="s">
        <v>3596</v>
      </c>
    </row>
    <row r="1909" spans="1:5" x14ac:dyDescent="0.35">
      <c r="A1909" s="40">
        <v>45129</v>
      </c>
      <c r="B1909" s="38">
        <v>-28.49</v>
      </c>
      <c r="C1909" s="13" t="s">
        <v>3404</v>
      </c>
      <c r="D1909" s="36">
        <v>35201.32</v>
      </c>
      <c r="E1909" s="43" t="s">
        <v>3596</v>
      </c>
    </row>
    <row r="1910" spans="1:5" x14ac:dyDescent="0.35">
      <c r="A1910" s="40">
        <v>45129</v>
      </c>
      <c r="B1910" s="38">
        <v>-13.99</v>
      </c>
      <c r="C1910" s="13" t="s">
        <v>3198</v>
      </c>
      <c r="D1910" s="36">
        <v>35156.050000000003</v>
      </c>
      <c r="E1910" s="43" t="s">
        <v>3596</v>
      </c>
    </row>
    <row r="1911" spans="1:5" x14ac:dyDescent="0.35">
      <c r="A1911" s="40">
        <v>45129</v>
      </c>
      <c r="B1911" s="38">
        <v>-31.28</v>
      </c>
      <c r="C1911" s="13" t="s">
        <v>2281</v>
      </c>
      <c r="D1911" s="36">
        <v>35170.04</v>
      </c>
      <c r="E1911" s="43" t="s">
        <v>3596</v>
      </c>
    </row>
    <row r="1912" spans="1:5" x14ac:dyDescent="0.35">
      <c r="A1912" s="40">
        <v>45128</v>
      </c>
      <c r="B1912" s="38">
        <v>-8.76</v>
      </c>
      <c r="C1912" s="13" t="s">
        <v>3405</v>
      </c>
      <c r="D1912" s="36">
        <v>35229.81</v>
      </c>
      <c r="E1912" s="43" t="s">
        <v>3596</v>
      </c>
    </row>
    <row r="1913" spans="1:5" x14ac:dyDescent="0.35">
      <c r="A1913" s="40">
        <v>45128</v>
      </c>
      <c r="B1913" s="38">
        <v>-14</v>
      </c>
      <c r="C1913" s="13" t="s">
        <v>3405</v>
      </c>
      <c r="D1913" s="36">
        <v>35238.57</v>
      </c>
      <c r="E1913" s="43" t="s">
        <v>3596</v>
      </c>
    </row>
    <row r="1914" spans="1:5" x14ac:dyDescent="0.35">
      <c r="A1914" s="40">
        <v>45127</v>
      </c>
      <c r="B1914" s="38">
        <v>-500</v>
      </c>
      <c r="C1914" s="13" t="s">
        <v>1395</v>
      </c>
      <c r="D1914" s="36">
        <v>35170.42</v>
      </c>
      <c r="E1914" s="43" t="s">
        <v>3596</v>
      </c>
    </row>
    <row r="1915" spans="1:5" x14ac:dyDescent="0.35">
      <c r="A1915" s="40">
        <v>45127</v>
      </c>
      <c r="B1915" s="38">
        <v>2348.83</v>
      </c>
      <c r="C1915" s="13" t="s">
        <v>3408</v>
      </c>
      <c r="D1915" s="36">
        <v>35670.42</v>
      </c>
      <c r="E1915" s="43" t="s">
        <v>3596</v>
      </c>
    </row>
    <row r="1916" spans="1:5" x14ac:dyDescent="0.35">
      <c r="A1916" s="40">
        <v>45127</v>
      </c>
      <c r="B1916" s="38">
        <v>-6.5</v>
      </c>
      <c r="C1916" s="13" t="s">
        <v>2360</v>
      </c>
      <c r="D1916" s="36">
        <v>35263.919999999998</v>
      </c>
      <c r="E1916" s="43" t="s">
        <v>3596</v>
      </c>
    </row>
    <row r="1917" spans="1:5" x14ac:dyDescent="0.35">
      <c r="A1917" s="40">
        <v>45127</v>
      </c>
      <c r="B1917" s="38">
        <v>100</v>
      </c>
      <c r="C1917" s="13" t="s">
        <v>3407</v>
      </c>
      <c r="D1917" s="36">
        <v>35270.42</v>
      </c>
      <c r="E1917" s="43" t="s">
        <v>3596</v>
      </c>
    </row>
    <row r="1918" spans="1:5" x14ac:dyDescent="0.35">
      <c r="A1918" s="40">
        <v>45127</v>
      </c>
      <c r="B1918" s="38">
        <v>-11.35</v>
      </c>
      <c r="C1918" s="13" t="s">
        <v>3406</v>
      </c>
      <c r="D1918" s="36">
        <v>35252.57</v>
      </c>
      <c r="E1918" s="43" t="s">
        <v>3596</v>
      </c>
    </row>
    <row r="1919" spans="1:5" x14ac:dyDescent="0.35">
      <c r="A1919" s="40">
        <v>45126</v>
      </c>
      <c r="B1919" s="38">
        <v>-69</v>
      </c>
      <c r="C1919" s="13" t="s">
        <v>3409</v>
      </c>
      <c r="D1919" s="36">
        <v>33321.589999999997</v>
      </c>
      <c r="E1919" s="43" t="s">
        <v>3596</v>
      </c>
    </row>
    <row r="1920" spans="1:5" x14ac:dyDescent="0.35">
      <c r="A1920" s="40">
        <v>45125</v>
      </c>
      <c r="B1920" s="38">
        <v>-13.99</v>
      </c>
      <c r="C1920" s="13" t="s">
        <v>2281</v>
      </c>
      <c r="D1920" s="36">
        <v>33390.589999999997</v>
      </c>
      <c r="E1920" s="43" t="s">
        <v>3596</v>
      </c>
    </row>
    <row r="1921" spans="1:5" x14ac:dyDescent="0.35">
      <c r="A1921" s="40">
        <v>45124</v>
      </c>
      <c r="B1921" s="38">
        <v>-69.81</v>
      </c>
      <c r="C1921" s="13" t="s">
        <v>2281</v>
      </c>
      <c r="D1921" s="36">
        <v>33404.58</v>
      </c>
      <c r="E1921" s="43" t="s">
        <v>3596</v>
      </c>
    </row>
    <row r="1922" spans="1:5" x14ac:dyDescent="0.35">
      <c r="A1922" s="40">
        <v>45124</v>
      </c>
      <c r="B1922" s="38">
        <v>-27.4</v>
      </c>
      <c r="C1922" s="13" t="s">
        <v>3184</v>
      </c>
      <c r="D1922" s="36">
        <v>33474.39</v>
      </c>
      <c r="E1922" s="43" t="s">
        <v>3596</v>
      </c>
    </row>
    <row r="1923" spans="1:5" x14ac:dyDescent="0.35">
      <c r="A1923" s="40">
        <v>45122</v>
      </c>
      <c r="B1923" s="38">
        <v>-16.13</v>
      </c>
      <c r="C1923" s="13" t="s">
        <v>2269</v>
      </c>
      <c r="D1923" s="36">
        <v>33507.29</v>
      </c>
      <c r="E1923" s="43" t="s">
        <v>3596</v>
      </c>
    </row>
    <row r="1924" spans="1:5" x14ac:dyDescent="0.35">
      <c r="A1924" s="40">
        <v>45122</v>
      </c>
      <c r="B1924" s="38">
        <v>-5.5</v>
      </c>
      <c r="C1924" s="13" t="s">
        <v>3184</v>
      </c>
      <c r="D1924" s="36">
        <v>33501.79</v>
      </c>
      <c r="E1924" s="43" t="s">
        <v>3596</v>
      </c>
    </row>
    <row r="1925" spans="1:5" x14ac:dyDescent="0.35">
      <c r="A1925" s="40">
        <v>45119</v>
      </c>
      <c r="B1925" s="38">
        <v>-20</v>
      </c>
      <c r="C1925" s="13" t="s">
        <v>3410</v>
      </c>
      <c r="D1925" s="36">
        <v>33537.919999999998</v>
      </c>
      <c r="E1925" s="43" t="s">
        <v>3596</v>
      </c>
    </row>
    <row r="1926" spans="1:5" x14ac:dyDescent="0.35">
      <c r="A1926" s="40">
        <v>45119</v>
      </c>
      <c r="B1926" s="38">
        <v>-14.5</v>
      </c>
      <c r="C1926" s="13" t="s">
        <v>3334</v>
      </c>
      <c r="D1926" s="36">
        <v>33523.42</v>
      </c>
      <c r="E1926" s="43" t="s">
        <v>3596</v>
      </c>
    </row>
    <row r="1927" spans="1:5" x14ac:dyDescent="0.35">
      <c r="A1927" s="40">
        <v>45118</v>
      </c>
      <c r="B1927" s="38">
        <v>-28.25</v>
      </c>
      <c r="C1927" s="13" t="s">
        <v>2269</v>
      </c>
      <c r="D1927" s="36">
        <v>33557.919999999998</v>
      </c>
      <c r="E1927" s="43" t="s">
        <v>3596</v>
      </c>
    </row>
    <row r="1928" spans="1:5" x14ac:dyDescent="0.35">
      <c r="A1928" s="40">
        <v>45118</v>
      </c>
      <c r="B1928" s="38">
        <v>-14.5</v>
      </c>
      <c r="C1928" s="13" t="s">
        <v>3334</v>
      </c>
      <c r="D1928" s="36">
        <v>33586.17</v>
      </c>
      <c r="E1928" s="43" t="s">
        <v>3596</v>
      </c>
    </row>
    <row r="1929" spans="1:5" x14ac:dyDescent="0.35">
      <c r="A1929" s="40">
        <v>45118</v>
      </c>
      <c r="B1929" s="38">
        <v>396</v>
      </c>
      <c r="C1929" s="13" t="s">
        <v>3411</v>
      </c>
      <c r="D1929" s="36">
        <v>33600.67</v>
      </c>
      <c r="E1929" s="43" t="s">
        <v>3596</v>
      </c>
    </row>
    <row r="1930" spans="1:5" x14ac:dyDescent="0.35">
      <c r="A1930" s="40">
        <v>45117</v>
      </c>
      <c r="B1930" s="38">
        <v>1949.33</v>
      </c>
      <c r="C1930" s="13" t="s">
        <v>3412</v>
      </c>
      <c r="D1930" s="36">
        <v>33204.67</v>
      </c>
      <c r="E1930" s="43" t="s">
        <v>3596</v>
      </c>
    </row>
    <row r="1931" spans="1:5" x14ac:dyDescent="0.35">
      <c r="A1931" s="40">
        <v>45115</v>
      </c>
      <c r="B1931" s="38">
        <v>-39.590000000000003</v>
      </c>
      <c r="C1931" s="13" t="s">
        <v>2281</v>
      </c>
      <c r="D1931" s="36">
        <v>31255.34</v>
      </c>
      <c r="E1931" s="43" t="s">
        <v>3596</v>
      </c>
    </row>
    <row r="1932" spans="1:5" x14ac:dyDescent="0.35">
      <c r="A1932" s="40">
        <v>45113</v>
      </c>
      <c r="B1932" s="38">
        <v>-500</v>
      </c>
      <c r="C1932" s="13" t="s">
        <v>1395</v>
      </c>
      <c r="D1932" s="36">
        <v>31194.93</v>
      </c>
      <c r="E1932" s="43" t="s">
        <v>3596</v>
      </c>
    </row>
    <row r="1933" spans="1:5" x14ac:dyDescent="0.35">
      <c r="A1933" s="40">
        <v>45113</v>
      </c>
      <c r="B1933" s="38">
        <v>-20</v>
      </c>
      <c r="C1933" s="13" t="s">
        <v>3381</v>
      </c>
      <c r="D1933" s="36">
        <v>31694.93</v>
      </c>
      <c r="E1933" s="43" t="s">
        <v>3596</v>
      </c>
    </row>
    <row r="1934" spans="1:5" x14ac:dyDescent="0.35">
      <c r="A1934" s="40">
        <v>45113</v>
      </c>
      <c r="B1934" s="38">
        <v>2348.84</v>
      </c>
      <c r="C1934" s="13" t="s">
        <v>3382</v>
      </c>
      <c r="D1934" s="36">
        <v>31714.93</v>
      </c>
      <c r="E1934" s="43" t="s">
        <v>3596</v>
      </c>
    </row>
    <row r="1935" spans="1:5" x14ac:dyDescent="0.35">
      <c r="A1935" s="40">
        <v>45113</v>
      </c>
      <c r="B1935" s="38">
        <v>100</v>
      </c>
      <c r="C1935" s="13" t="s">
        <v>3380</v>
      </c>
      <c r="D1935" s="36">
        <v>31294.93</v>
      </c>
      <c r="E1935" s="43" t="s">
        <v>3596</v>
      </c>
    </row>
    <row r="1936" spans="1:5" x14ac:dyDescent="0.35">
      <c r="A1936" s="40">
        <v>45111</v>
      </c>
      <c r="B1936" s="38">
        <v>-21.78</v>
      </c>
      <c r="C1936" s="13" t="s">
        <v>3377</v>
      </c>
      <c r="D1936" s="36">
        <v>29406.93</v>
      </c>
      <c r="E1936" s="43" t="s">
        <v>3596</v>
      </c>
    </row>
    <row r="1937" spans="1:5" x14ac:dyDescent="0.35">
      <c r="A1937" s="40">
        <v>45111</v>
      </c>
      <c r="B1937" s="38">
        <v>-20</v>
      </c>
      <c r="C1937" s="13" t="s">
        <v>3379</v>
      </c>
      <c r="D1937" s="36">
        <v>29448.51</v>
      </c>
      <c r="E1937" s="43" t="s">
        <v>3596</v>
      </c>
    </row>
    <row r="1938" spans="1:5" x14ac:dyDescent="0.35">
      <c r="A1938" s="40">
        <v>45111</v>
      </c>
      <c r="B1938" s="38">
        <v>-25.34</v>
      </c>
      <c r="C1938" s="13" t="s">
        <v>2360</v>
      </c>
      <c r="D1938" s="36">
        <v>29366.09</v>
      </c>
      <c r="E1938" s="43" t="s">
        <v>3596</v>
      </c>
    </row>
    <row r="1939" spans="1:5" x14ac:dyDescent="0.35">
      <c r="A1939" s="40">
        <v>45111</v>
      </c>
      <c r="B1939" s="38">
        <v>-15.5</v>
      </c>
      <c r="C1939" s="13" t="s">
        <v>3334</v>
      </c>
      <c r="D1939" s="36">
        <v>29391.43</v>
      </c>
      <c r="E1939" s="43" t="s">
        <v>3596</v>
      </c>
    </row>
    <row r="1940" spans="1:5" x14ac:dyDescent="0.35">
      <c r="A1940" s="40">
        <v>45111</v>
      </c>
      <c r="B1940" s="38">
        <v>-19.8</v>
      </c>
      <c r="C1940" s="13" t="s">
        <v>3378</v>
      </c>
      <c r="D1940" s="36">
        <v>29428.71</v>
      </c>
      <c r="E1940" s="43" t="s">
        <v>3596</v>
      </c>
    </row>
    <row r="1941" spans="1:5" x14ac:dyDescent="0.35">
      <c r="A1941" s="40">
        <v>45110</v>
      </c>
      <c r="B1941" s="38">
        <v>-28.6</v>
      </c>
      <c r="C1941" s="13" t="s">
        <v>2269</v>
      </c>
      <c r="D1941" s="36">
        <v>29655.21</v>
      </c>
      <c r="E1941" s="43" t="s">
        <v>3596</v>
      </c>
    </row>
    <row r="1942" spans="1:5" x14ac:dyDescent="0.35">
      <c r="A1942" s="40">
        <v>45110</v>
      </c>
      <c r="B1942" s="38">
        <v>-14.5</v>
      </c>
      <c r="C1942" s="13" t="s">
        <v>3334</v>
      </c>
      <c r="D1942" s="36">
        <v>29690.54</v>
      </c>
      <c r="E1942" s="43" t="s">
        <v>3596</v>
      </c>
    </row>
    <row r="1943" spans="1:5" x14ac:dyDescent="0.35">
      <c r="A1943" s="40">
        <v>45110</v>
      </c>
      <c r="B1943" s="38">
        <v>-186.7</v>
      </c>
      <c r="C1943" s="13" t="s">
        <v>3376</v>
      </c>
      <c r="D1943" s="36">
        <v>29468.51</v>
      </c>
      <c r="E1943" s="43" t="s">
        <v>3596</v>
      </c>
    </row>
    <row r="1944" spans="1:5" x14ac:dyDescent="0.35">
      <c r="A1944" s="40">
        <v>45110</v>
      </c>
      <c r="B1944" s="38">
        <v>-6.73</v>
      </c>
      <c r="C1944" s="13" t="s">
        <v>3184</v>
      </c>
      <c r="D1944" s="36">
        <v>29683.81</v>
      </c>
      <c r="E1944" s="43" t="s">
        <v>3596</v>
      </c>
    </row>
    <row r="1945" spans="1:5" x14ac:dyDescent="0.35">
      <c r="A1945" s="40">
        <v>45108</v>
      </c>
      <c r="B1945" s="38">
        <v>-38.74</v>
      </c>
      <c r="C1945" s="13" t="s">
        <v>3184</v>
      </c>
      <c r="D1945" s="36">
        <v>29705.040000000001</v>
      </c>
      <c r="E1945" s="43" t="s">
        <v>3596</v>
      </c>
    </row>
    <row r="1946" spans="1:5" x14ac:dyDescent="0.35">
      <c r="A1946" s="40">
        <v>45108</v>
      </c>
      <c r="B1946" s="38">
        <v>4.54</v>
      </c>
      <c r="C1946" s="13" t="s">
        <v>3598</v>
      </c>
      <c r="D1946" s="36">
        <v>2664.45</v>
      </c>
      <c r="E1946" s="43" t="s">
        <v>3604</v>
      </c>
    </row>
    <row r="1947" spans="1:5" x14ac:dyDescent="0.35">
      <c r="A1947" s="40">
        <v>45106</v>
      </c>
      <c r="B1947" s="38">
        <v>-362.91</v>
      </c>
      <c r="C1947" s="13" t="s">
        <v>3375</v>
      </c>
      <c r="D1947" s="36">
        <v>29743.78</v>
      </c>
      <c r="E1947" s="43" t="s">
        <v>3596</v>
      </c>
    </row>
    <row r="1948" spans="1:5" x14ac:dyDescent="0.35">
      <c r="A1948" s="40">
        <v>45105</v>
      </c>
      <c r="B1948" s="38">
        <v>-25</v>
      </c>
      <c r="C1948" s="13" t="s">
        <v>3374</v>
      </c>
      <c r="D1948" s="36">
        <v>30106.69</v>
      </c>
      <c r="E1948" s="43" t="s">
        <v>3596</v>
      </c>
    </row>
    <row r="1949" spans="1:5" x14ac:dyDescent="0.35">
      <c r="A1949" s="40">
        <v>45105</v>
      </c>
      <c r="B1949" s="38">
        <v>-16</v>
      </c>
      <c r="C1949" s="13" t="s">
        <v>3374</v>
      </c>
      <c r="D1949" s="36">
        <v>30131.69</v>
      </c>
      <c r="E1949" s="43" t="s">
        <v>3596</v>
      </c>
    </row>
    <row r="1950" spans="1:5" x14ac:dyDescent="0.35">
      <c r="A1950" s="40">
        <v>45104</v>
      </c>
      <c r="B1950" s="38">
        <v>-28.94</v>
      </c>
      <c r="C1950" s="13" t="s">
        <v>3371</v>
      </c>
      <c r="D1950" s="36">
        <v>30163.69</v>
      </c>
      <c r="E1950" s="43" t="s">
        <v>3596</v>
      </c>
    </row>
    <row r="1951" spans="1:5" x14ac:dyDescent="0.35">
      <c r="A1951" s="40">
        <v>45104</v>
      </c>
      <c r="B1951" s="38">
        <v>-16.510000000000002</v>
      </c>
      <c r="C1951" s="13" t="s">
        <v>3373</v>
      </c>
      <c r="D1951" s="36">
        <v>30193.13</v>
      </c>
      <c r="E1951" s="43" t="s">
        <v>3596</v>
      </c>
    </row>
    <row r="1952" spans="1:5" x14ac:dyDescent="0.35">
      <c r="A1952" s="40">
        <v>45104</v>
      </c>
      <c r="B1952" s="38">
        <v>-0.5</v>
      </c>
      <c r="C1952" s="13" t="s">
        <v>3372</v>
      </c>
      <c r="D1952" s="36">
        <v>30192.63</v>
      </c>
      <c r="E1952" s="43" t="s">
        <v>3596</v>
      </c>
    </row>
    <row r="1953" spans="1:5" x14ac:dyDescent="0.35">
      <c r="A1953" s="40">
        <v>45104</v>
      </c>
      <c r="B1953" s="38">
        <v>-16</v>
      </c>
      <c r="C1953" s="13" t="s">
        <v>2360</v>
      </c>
      <c r="D1953" s="36">
        <v>30147.69</v>
      </c>
      <c r="E1953" s="43" t="s">
        <v>3596</v>
      </c>
    </row>
    <row r="1954" spans="1:5" x14ac:dyDescent="0.35">
      <c r="A1954" s="40">
        <v>45102</v>
      </c>
      <c r="B1954" s="38">
        <v>-19.940000000000001</v>
      </c>
      <c r="C1954" s="13" t="s">
        <v>2269</v>
      </c>
      <c r="D1954" s="36">
        <v>30209.64</v>
      </c>
      <c r="E1954" s="43" t="s">
        <v>3596</v>
      </c>
    </row>
    <row r="1955" spans="1:5" x14ac:dyDescent="0.35">
      <c r="A1955" s="40">
        <v>45101</v>
      </c>
      <c r="B1955" s="38">
        <v>-38.39</v>
      </c>
      <c r="C1955" s="13" t="s">
        <v>2281</v>
      </c>
      <c r="D1955" s="36">
        <v>30229.58</v>
      </c>
      <c r="E1955" s="43" t="s">
        <v>3596</v>
      </c>
    </row>
    <row r="1956" spans="1:5" x14ac:dyDescent="0.35">
      <c r="A1956" s="40">
        <v>45100</v>
      </c>
      <c r="B1956" s="38">
        <v>-60.39</v>
      </c>
      <c r="C1956" s="13" t="s">
        <v>3370</v>
      </c>
      <c r="D1956" s="36">
        <v>30267.97</v>
      </c>
      <c r="E1956" s="43" t="s">
        <v>3596</v>
      </c>
    </row>
    <row r="1957" spans="1:5" x14ac:dyDescent="0.35">
      <c r="A1957" s="40">
        <v>45099</v>
      </c>
      <c r="B1957" s="38">
        <v>-500</v>
      </c>
      <c r="C1957" s="13" t="s">
        <v>1395</v>
      </c>
      <c r="D1957" s="36">
        <v>30228.36</v>
      </c>
      <c r="E1957" s="43" t="s">
        <v>3596</v>
      </c>
    </row>
    <row r="1958" spans="1:5" x14ac:dyDescent="0.35">
      <c r="A1958" s="40">
        <v>45099</v>
      </c>
      <c r="B1958" s="38">
        <v>2332.84</v>
      </c>
      <c r="C1958" s="13" t="s">
        <v>1869</v>
      </c>
      <c r="D1958" s="36">
        <v>30728.36</v>
      </c>
      <c r="E1958" s="43" t="s">
        <v>3596</v>
      </c>
    </row>
    <row r="1959" spans="1:5" x14ac:dyDescent="0.35">
      <c r="A1959" s="40">
        <v>45099</v>
      </c>
      <c r="B1959" s="38">
        <v>100</v>
      </c>
      <c r="C1959" s="13" t="s">
        <v>3369</v>
      </c>
      <c r="D1959" s="36">
        <v>30328.36</v>
      </c>
      <c r="E1959" s="43" t="s">
        <v>3596</v>
      </c>
    </row>
    <row r="1960" spans="1:5" x14ac:dyDescent="0.35">
      <c r="A1960" s="40">
        <v>45098</v>
      </c>
      <c r="B1960" s="38">
        <v>-30.27</v>
      </c>
      <c r="C1960" s="13" t="s">
        <v>3368</v>
      </c>
      <c r="D1960" s="36">
        <v>28480.32</v>
      </c>
      <c r="E1960" s="43" t="s">
        <v>3596</v>
      </c>
    </row>
    <row r="1961" spans="1:5" x14ac:dyDescent="0.35">
      <c r="A1961" s="40">
        <v>45098</v>
      </c>
      <c r="B1961" s="38">
        <v>-11</v>
      </c>
      <c r="C1961" s="13" t="s">
        <v>2985</v>
      </c>
      <c r="D1961" s="36">
        <v>28469.32</v>
      </c>
      <c r="E1961" s="43" t="s">
        <v>3596</v>
      </c>
    </row>
    <row r="1962" spans="1:5" x14ac:dyDescent="0.35">
      <c r="A1962" s="40">
        <v>45098</v>
      </c>
      <c r="B1962" s="38">
        <v>-73.8</v>
      </c>
      <c r="C1962" s="13" t="s">
        <v>2404</v>
      </c>
      <c r="D1962" s="36">
        <v>28395.52</v>
      </c>
      <c r="E1962" s="43" t="s">
        <v>3596</v>
      </c>
    </row>
    <row r="1963" spans="1:5" x14ac:dyDescent="0.35">
      <c r="A1963" s="40">
        <v>45097</v>
      </c>
      <c r="B1963" s="38">
        <v>-29.59</v>
      </c>
      <c r="C1963" s="13" t="s">
        <v>3367</v>
      </c>
      <c r="D1963" s="36">
        <v>28541.56</v>
      </c>
      <c r="E1963" s="43" t="s">
        <v>3596</v>
      </c>
    </row>
    <row r="1964" spans="1:5" x14ac:dyDescent="0.35">
      <c r="A1964" s="40">
        <v>45097</v>
      </c>
      <c r="B1964" s="38">
        <v>-30.97</v>
      </c>
      <c r="C1964" s="13" t="s">
        <v>2269</v>
      </c>
      <c r="D1964" s="36">
        <v>28510.59</v>
      </c>
      <c r="E1964" s="43" t="s">
        <v>3596</v>
      </c>
    </row>
    <row r="1965" spans="1:5" x14ac:dyDescent="0.35">
      <c r="A1965" s="40">
        <v>45094</v>
      </c>
      <c r="B1965" s="38">
        <v>-69</v>
      </c>
      <c r="C1965" s="13" t="s">
        <v>3366</v>
      </c>
      <c r="D1965" s="36">
        <v>28625.03</v>
      </c>
      <c r="E1965" s="43" t="s">
        <v>3596</v>
      </c>
    </row>
    <row r="1966" spans="1:5" x14ac:dyDescent="0.35">
      <c r="A1966" s="40">
        <v>45094</v>
      </c>
      <c r="B1966" s="38">
        <v>-16.18</v>
      </c>
      <c r="C1966" s="13" t="s">
        <v>3365</v>
      </c>
      <c r="D1966" s="36">
        <v>28608.85</v>
      </c>
      <c r="E1966" s="43" t="s">
        <v>3596</v>
      </c>
    </row>
    <row r="1967" spans="1:5" x14ac:dyDescent="0.35">
      <c r="A1967" s="40">
        <v>45094</v>
      </c>
      <c r="B1967" s="38">
        <v>-37.700000000000003</v>
      </c>
      <c r="C1967" s="13" t="s">
        <v>2281</v>
      </c>
      <c r="D1967" s="36">
        <v>28571.15</v>
      </c>
      <c r="E1967" s="43" t="s">
        <v>3596</v>
      </c>
    </row>
    <row r="1968" spans="1:5" x14ac:dyDescent="0.35">
      <c r="A1968" s="40">
        <v>45092</v>
      </c>
      <c r="B1968" s="38">
        <v>-4.5</v>
      </c>
      <c r="C1968" s="13" t="s">
        <v>3364</v>
      </c>
      <c r="D1968" s="36">
        <v>28694.03</v>
      </c>
      <c r="E1968" s="43" t="s">
        <v>3596</v>
      </c>
    </row>
    <row r="1969" spans="1:5" x14ac:dyDescent="0.35">
      <c r="A1969" s="40">
        <v>45091</v>
      </c>
      <c r="B1969" s="38">
        <v>-20</v>
      </c>
      <c r="C1969" s="13" t="s">
        <v>3363</v>
      </c>
      <c r="D1969" s="36">
        <v>28698.53</v>
      </c>
      <c r="E1969" s="43" t="s">
        <v>3596</v>
      </c>
    </row>
    <row r="1970" spans="1:5" x14ac:dyDescent="0.35">
      <c r="A1970" s="40">
        <v>45090</v>
      </c>
      <c r="B1970" s="38">
        <v>-27.19</v>
      </c>
      <c r="C1970" s="13" t="s">
        <v>3362</v>
      </c>
      <c r="D1970" s="36">
        <v>28753.24</v>
      </c>
      <c r="E1970" s="43" t="s">
        <v>3596</v>
      </c>
    </row>
    <row r="1971" spans="1:5" x14ac:dyDescent="0.35">
      <c r="A1971" s="40">
        <v>45090</v>
      </c>
      <c r="B1971" s="38">
        <v>-19.72</v>
      </c>
      <c r="C1971" s="13" t="s">
        <v>2360</v>
      </c>
      <c r="D1971" s="36">
        <v>28718.53</v>
      </c>
      <c r="E1971" s="43" t="s">
        <v>3596</v>
      </c>
    </row>
    <row r="1972" spans="1:5" x14ac:dyDescent="0.35">
      <c r="A1972" s="40">
        <v>45090</v>
      </c>
      <c r="B1972" s="38">
        <v>-14.99</v>
      </c>
      <c r="C1972" s="13" t="s">
        <v>3361</v>
      </c>
      <c r="D1972" s="36">
        <v>28738.25</v>
      </c>
      <c r="E1972" s="43" t="s">
        <v>3596</v>
      </c>
    </row>
    <row r="1973" spans="1:5" x14ac:dyDescent="0.35">
      <c r="A1973" s="40">
        <v>45089</v>
      </c>
      <c r="B1973" s="38">
        <v>800</v>
      </c>
      <c r="C1973" s="13" t="s">
        <v>3279</v>
      </c>
      <c r="D1973" s="36">
        <v>28780.43</v>
      </c>
      <c r="E1973" s="43" t="s">
        <v>3596</v>
      </c>
    </row>
    <row r="1974" spans="1:5" x14ac:dyDescent="0.35">
      <c r="A1974" s="40">
        <v>45088</v>
      </c>
      <c r="B1974" s="38">
        <v>-19.34</v>
      </c>
      <c r="C1974" s="13" t="s">
        <v>3184</v>
      </c>
      <c r="D1974" s="36">
        <v>27980.43</v>
      </c>
      <c r="E1974" s="43" t="s">
        <v>3596</v>
      </c>
    </row>
    <row r="1975" spans="1:5" x14ac:dyDescent="0.35">
      <c r="A1975" s="40">
        <v>45087</v>
      </c>
      <c r="B1975" s="38">
        <v>-25.19</v>
      </c>
      <c r="C1975" s="13" t="s">
        <v>3360</v>
      </c>
      <c r="D1975" s="36">
        <v>28074.32</v>
      </c>
      <c r="E1975" s="43" t="s">
        <v>3596</v>
      </c>
    </row>
    <row r="1976" spans="1:5" x14ac:dyDescent="0.35">
      <c r="A1976" s="40">
        <v>45087</v>
      </c>
      <c r="B1976" s="38">
        <v>-74.55</v>
      </c>
      <c r="C1976" s="13" t="s">
        <v>2281</v>
      </c>
      <c r="D1976" s="36">
        <v>27999.77</v>
      </c>
      <c r="E1976" s="43" t="s">
        <v>3596</v>
      </c>
    </row>
    <row r="1977" spans="1:5" x14ac:dyDescent="0.35">
      <c r="A1977" s="40">
        <v>45086</v>
      </c>
      <c r="B1977" s="38">
        <v>-24.09</v>
      </c>
      <c r="C1977" s="13" t="s">
        <v>3359</v>
      </c>
      <c r="D1977" s="36">
        <v>28099.51</v>
      </c>
      <c r="E1977" s="43" t="s">
        <v>3596</v>
      </c>
    </row>
    <row r="1978" spans="1:5" x14ac:dyDescent="0.35">
      <c r="A1978" s="40">
        <v>45085</v>
      </c>
      <c r="B1978" s="38">
        <v>-500</v>
      </c>
      <c r="C1978" s="13" t="s">
        <v>1395</v>
      </c>
      <c r="D1978" s="36">
        <v>28057.58</v>
      </c>
      <c r="E1978" s="43" t="s">
        <v>3596</v>
      </c>
    </row>
    <row r="1979" spans="1:5" x14ac:dyDescent="0.35">
      <c r="A1979" s="40">
        <v>45085</v>
      </c>
      <c r="B1979" s="38">
        <v>2332.84</v>
      </c>
      <c r="C1979" s="13" t="s">
        <v>3358</v>
      </c>
      <c r="D1979" s="36">
        <v>28557.58</v>
      </c>
      <c r="E1979" s="43" t="s">
        <v>3596</v>
      </c>
    </row>
    <row r="1980" spans="1:5" x14ac:dyDescent="0.35">
      <c r="A1980" s="40">
        <v>45085</v>
      </c>
      <c r="B1980" s="38">
        <v>66.02</v>
      </c>
      <c r="C1980" s="13" t="s">
        <v>3357</v>
      </c>
      <c r="D1980" s="36">
        <v>28123.599999999999</v>
      </c>
      <c r="E1980" s="43" t="s">
        <v>3596</v>
      </c>
    </row>
    <row r="1981" spans="1:5" x14ac:dyDescent="0.35">
      <c r="A1981" s="40">
        <v>45084</v>
      </c>
      <c r="B1981" s="38">
        <v>-2.75</v>
      </c>
      <c r="C1981" s="13" t="s">
        <v>3355</v>
      </c>
      <c r="D1981" s="36">
        <v>26240.74</v>
      </c>
      <c r="E1981" s="43" t="s">
        <v>3596</v>
      </c>
    </row>
    <row r="1982" spans="1:5" x14ac:dyDescent="0.35">
      <c r="A1982" s="40">
        <v>45084</v>
      </c>
      <c r="B1982" s="38">
        <v>-3.93</v>
      </c>
      <c r="C1982" s="13" t="s">
        <v>3356</v>
      </c>
      <c r="D1982" s="36">
        <v>26243.49</v>
      </c>
      <c r="E1982" s="43" t="s">
        <v>3596</v>
      </c>
    </row>
    <row r="1983" spans="1:5" x14ac:dyDescent="0.35">
      <c r="A1983" s="40">
        <v>45084</v>
      </c>
      <c r="B1983" s="38">
        <v>-16</v>
      </c>
      <c r="C1983" s="13" t="s">
        <v>3354</v>
      </c>
      <c r="D1983" s="36">
        <v>26224.74</v>
      </c>
      <c r="E1983" s="43" t="s">
        <v>3596</v>
      </c>
    </row>
    <row r="1984" spans="1:5" x14ac:dyDescent="0.35">
      <c r="A1984" s="40">
        <v>45083</v>
      </c>
      <c r="B1984" s="38">
        <v>-31.98</v>
      </c>
      <c r="C1984" s="13" t="s">
        <v>3353</v>
      </c>
      <c r="D1984" s="36">
        <v>26274.62</v>
      </c>
      <c r="E1984" s="43" t="s">
        <v>3596</v>
      </c>
    </row>
    <row r="1985" spans="1:5" x14ac:dyDescent="0.35">
      <c r="A1985" s="40">
        <v>45083</v>
      </c>
      <c r="B1985" s="38">
        <v>-27.2</v>
      </c>
      <c r="C1985" s="13" t="s">
        <v>3352</v>
      </c>
      <c r="D1985" s="36">
        <v>26247.42</v>
      </c>
      <c r="E1985" s="43" t="s">
        <v>3596</v>
      </c>
    </row>
    <row r="1986" spans="1:5" x14ac:dyDescent="0.35">
      <c r="A1986" s="40">
        <v>45080</v>
      </c>
      <c r="B1986" s="38">
        <v>-16.18</v>
      </c>
      <c r="C1986" s="13" t="s">
        <v>3351</v>
      </c>
      <c r="D1986" s="36">
        <v>26625.3</v>
      </c>
      <c r="E1986" s="43" t="s">
        <v>3596</v>
      </c>
    </row>
    <row r="1987" spans="1:5" x14ac:dyDescent="0.35">
      <c r="A1987" s="40">
        <v>45080</v>
      </c>
      <c r="B1987" s="38">
        <v>-18.7</v>
      </c>
      <c r="C1987" s="13" t="s">
        <v>3350</v>
      </c>
      <c r="D1987" s="36">
        <v>26606.6</v>
      </c>
      <c r="E1987" s="43" t="s">
        <v>3596</v>
      </c>
    </row>
    <row r="1988" spans="1:5" x14ac:dyDescent="0.35">
      <c r="A1988" s="40">
        <v>45080</v>
      </c>
      <c r="B1988" s="38">
        <v>-300</v>
      </c>
      <c r="C1988" s="13" t="s">
        <v>3218</v>
      </c>
      <c r="D1988" s="36">
        <v>26306.6</v>
      </c>
      <c r="E1988" s="43" t="s">
        <v>3596</v>
      </c>
    </row>
    <row r="1989" spans="1:5" x14ac:dyDescent="0.35">
      <c r="A1989" s="40">
        <v>45079</v>
      </c>
      <c r="B1989" s="38">
        <v>-2.75</v>
      </c>
      <c r="C1989" s="13" t="s">
        <v>3349</v>
      </c>
      <c r="D1989" s="36">
        <v>26641.48</v>
      </c>
      <c r="E1989" s="43" t="s">
        <v>3596</v>
      </c>
    </row>
    <row r="1990" spans="1:5" x14ac:dyDescent="0.35">
      <c r="A1990" s="40">
        <v>45078</v>
      </c>
      <c r="B1990" s="38">
        <v>-20</v>
      </c>
      <c r="C1990" s="13" t="s">
        <v>3348</v>
      </c>
      <c r="D1990" s="36">
        <v>26924.85</v>
      </c>
      <c r="E1990" s="43" t="s">
        <v>3596</v>
      </c>
    </row>
    <row r="1991" spans="1:5" x14ac:dyDescent="0.35">
      <c r="A1991" s="40">
        <v>45078</v>
      </c>
      <c r="B1991" s="38">
        <v>-50.19</v>
      </c>
      <c r="C1991" s="13" t="s">
        <v>3347</v>
      </c>
      <c r="D1991" s="36">
        <v>26874.66</v>
      </c>
      <c r="E1991" s="43" t="s">
        <v>3596</v>
      </c>
    </row>
    <row r="1992" spans="1:5" x14ac:dyDescent="0.35">
      <c r="A1992" s="40">
        <v>45078</v>
      </c>
      <c r="B1992" s="38">
        <v>-50.03</v>
      </c>
      <c r="C1992" s="13" t="s">
        <v>2281</v>
      </c>
      <c r="D1992" s="36">
        <v>26815.43</v>
      </c>
      <c r="E1992" s="43" t="s">
        <v>3596</v>
      </c>
    </row>
    <row r="1993" spans="1:5" x14ac:dyDescent="0.35">
      <c r="A1993" s="40">
        <v>45078</v>
      </c>
      <c r="B1993" s="38">
        <v>15.5</v>
      </c>
      <c r="C1993" s="13" t="s">
        <v>3345</v>
      </c>
      <c r="D1993" s="36">
        <v>26830.93</v>
      </c>
      <c r="E1993" s="43" t="s">
        <v>3596</v>
      </c>
    </row>
    <row r="1994" spans="1:5" x14ac:dyDescent="0.35">
      <c r="A1994" s="40">
        <v>45078</v>
      </c>
      <c r="B1994" s="38">
        <v>-186.7</v>
      </c>
      <c r="C1994" s="13" t="s">
        <v>3344</v>
      </c>
      <c r="D1994" s="36">
        <v>26644.23</v>
      </c>
      <c r="E1994" s="43" t="s">
        <v>3596</v>
      </c>
    </row>
    <row r="1995" spans="1:5" x14ac:dyDescent="0.35">
      <c r="A1995" s="40">
        <v>45078</v>
      </c>
      <c r="B1995" s="38">
        <v>-9.1999999999999993</v>
      </c>
      <c r="C1995" s="13" t="s">
        <v>3346</v>
      </c>
      <c r="D1995" s="36">
        <v>26865.46</v>
      </c>
      <c r="E1995" s="43" t="s">
        <v>3596</v>
      </c>
    </row>
    <row r="1996" spans="1:5" x14ac:dyDescent="0.35">
      <c r="A1996" s="40">
        <v>45078</v>
      </c>
      <c r="B1996" s="38">
        <v>4.32</v>
      </c>
      <c r="C1996" s="13" t="s">
        <v>3598</v>
      </c>
      <c r="D1996" s="36">
        <v>2659.91</v>
      </c>
      <c r="E1996" s="43" t="s">
        <v>3604</v>
      </c>
    </row>
    <row r="1997" spans="1:5" x14ac:dyDescent="0.35">
      <c r="A1997" s="40">
        <v>45077</v>
      </c>
      <c r="B1997" s="38">
        <v>-16</v>
      </c>
      <c r="C1997" s="13" t="s">
        <v>3343</v>
      </c>
      <c r="D1997" s="36">
        <v>26944.85</v>
      </c>
      <c r="E1997" s="43" t="s">
        <v>3596</v>
      </c>
    </row>
    <row r="1998" spans="1:5" x14ac:dyDescent="0.35">
      <c r="A1998" s="40">
        <v>45076</v>
      </c>
      <c r="B1998" s="38">
        <v>-37.090000000000003</v>
      </c>
      <c r="C1998" s="13" t="s">
        <v>3341</v>
      </c>
      <c r="D1998" s="36">
        <v>26960.85</v>
      </c>
      <c r="E1998" s="43" t="s">
        <v>3596</v>
      </c>
    </row>
    <row r="1999" spans="1:5" x14ac:dyDescent="0.35">
      <c r="A1999" s="40">
        <v>45076</v>
      </c>
      <c r="B1999" s="38">
        <v>-20</v>
      </c>
      <c r="C1999" s="13" t="s">
        <v>3342</v>
      </c>
      <c r="D1999" s="36">
        <v>26997.94</v>
      </c>
      <c r="E1999" s="43" t="s">
        <v>3596</v>
      </c>
    </row>
    <row r="2000" spans="1:5" x14ac:dyDescent="0.35">
      <c r="A2000" s="40">
        <v>45074</v>
      </c>
      <c r="B2000" s="38">
        <v>600</v>
      </c>
      <c r="C2000" s="13" t="s">
        <v>3279</v>
      </c>
      <c r="D2000" s="36">
        <v>27017.94</v>
      </c>
      <c r="E2000" s="43" t="s">
        <v>3596</v>
      </c>
    </row>
    <row r="2001" spans="1:5" x14ac:dyDescent="0.35">
      <c r="A2001" s="40">
        <v>45073</v>
      </c>
      <c r="B2001" s="38">
        <v>-16.850000000000001</v>
      </c>
      <c r="C2001" s="13" t="s">
        <v>3340</v>
      </c>
      <c r="D2001" s="36">
        <v>26476.880000000001</v>
      </c>
      <c r="E2001" s="43" t="s">
        <v>3596</v>
      </c>
    </row>
    <row r="2002" spans="1:5" x14ac:dyDescent="0.35">
      <c r="A2002" s="40">
        <v>45073</v>
      </c>
      <c r="B2002" s="38">
        <v>-0.51</v>
      </c>
      <c r="C2002" s="13" t="s">
        <v>3339</v>
      </c>
      <c r="D2002" s="36">
        <v>26476.37</v>
      </c>
      <c r="E2002" s="43" t="s">
        <v>3596</v>
      </c>
    </row>
    <row r="2003" spans="1:5" x14ac:dyDescent="0.35">
      <c r="A2003" s="40">
        <v>45073</v>
      </c>
      <c r="B2003" s="38">
        <v>-44.43</v>
      </c>
      <c r="C2003" s="13" t="s">
        <v>2281</v>
      </c>
      <c r="D2003" s="36">
        <v>26431.94</v>
      </c>
      <c r="E2003" s="43" t="s">
        <v>3596</v>
      </c>
    </row>
    <row r="2004" spans="1:5" x14ac:dyDescent="0.35">
      <c r="A2004" s="40">
        <v>45073</v>
      </c>
      <c r="B2004" s="38">
        <v>-14</v>
      </c>
      <c r="C2004" s="13" t="s">
        <v>1875</v>
      </c>
      <c r="D2004" s="36">
        <v>26417.94</v>
      </c>
      <c r="E2004" s="43" t="s">
        <v>3596</v>
      </c>
    </row>
    <row r="2005" spans="1:5" x14ac:dyDescent="0.35">
      <c r="A2005" s="40">
        <v>45071</v>
      </c>
      <c r="B2005" s="38">
        <v>-500</v>
      </c>
      <c r="C2005" s="13" t="s">
        <v>1395</v>
      </c>
      <c r="D2005" s="36">
        <v>26496.48</v>
      </c>
      <c r="E2005" s="43" t="s">
        <v>3596</v>
      </c>
    </row>
    <row r="2006" spans="1:5" x14ac:dyDescent="0.35">
      <c r="A2006" s="40">
        <v>45071</v>
      </c>
      <c r="B2006" s="38">
        <v>-2.75</v>
      </c>
      <c r="C2006" s="13" t="s">
        <v>3337</v>
      </c>
      <c r="D2006" s="36">
        <v>26493.73</v>
      </c>
      <c r="E2006" s="43" t="s">
        <v>3596</v>
      </c>
    </row>
    <row r="2007" spans="1:5" x14ac:dyDescent="0.35">
      <c r="A2007" s="40">
        <v>45071</v>
      </c>
      <c r="B2007" s="38">
        <v>2332.84</v>
      </c>
      <c r="C2007" s="13" t="s">
        <v>3338</v>
      </c>
      <c r="D2007" s="36">
        <v>26996.48</v>
      </c>
      <c r="E2007" s="43" t="s">
        <v>3596</v>
      </c>
    </row>
    <row r="2008" spans="1:5" x14ac:dyDescent="0.35">
      <c r="A2008" s="40">
        <v>45070</v>
      </c>
      <c r="B2008" s="38">
        <v>-4.6500000000000004</v>
      </c>
      <c r="C2008" s="13" t="s">
        <v>3335</v>
      </c>
      <c r="D2008" s="36">
        <v>24708.12</v>
      </c>
      <c r="E2008" s="43" t="s">
        <v>3596</v>
      </c>
    </row>
    <row r="2009" spans="1:5" x14ac:dyDescent="0.35">
      <c r="A2009" s="40">
        <v>45070</v>
      </c>
      <c r="B2009" s="38">
        <v>-20</v>
      </c>
      <c r="C2009" s="13" t="s">
        <v>3336</v>
      </c>
      <c r="D2009" s="36">
        <v>24712.77</v>
      </c>
      <c r="E2009" s="43" t="s">
        <v>3596</v>
      </c>
    </row>
    <row r="2010" spans="1:5" x14ac:dyDescent="0.35">
      <c r="A2010" s="40">
        <v>45070</v>
      </c>
      <c r="B2010" s="38">
        <v>-29.98</v>
      </c>
      <c r="C2010" s="13" t="s">
        <v>2281</v>
      </c>
      <c r="D2010" s="36">
        <v>24663.64</v>
      </c>
      <c r="E2010" s="43" t="s">
        <v>3596</v>
      </c>
    </row>
    <row r="2011" spans="1:5" x14ac:dyDescent="0.35">
      <c r="A2011" s="40">
        <v>45070</v>
      </c>
      <c r="B2011" s="38">
        <v>-14.5</v>
      </c>
      <c r="C2011" s="13" t="s">
        <v>3334</v>
      </c>
      <c r="D2011" s="36">
        <v>24693.62</v>
      </c>
      <c r="E2011" s="43" t="s">
        <v>3596</v>
      </c>
    </row>
    <row r="2012" spans="1:5" x14ac:dyDescent="0.35">
      <c r="A2012" s="40">
        <v>45069</v>
      </c>
      <c r="B2012" s="38">
        <v>-27.19</v>
      </c>
      <c r="C2012" s="13" t="s">
        <v>3331</v>
      </c>
      <c r="D2012" s="36">
        <v>24753.84</v>
      </c>
      <c r="E2012" s="43" t="s">
        <v>3596</v>
      </c>
    </row>
    <row r="2013" spans="1:5" x14ac:dyDescent="0.35">
      <c r="A2013" s="40">
        <v>45069</v>
      </c>
      <c r="B2013" s="38">
        <v>-44.69</v>
      </c>
      <c r="C2013" s="13" t="s">
        <v>3331</v>
      </c>
      <c r="D2013" s="36">
        <v>25030.03</v>
      </c>
      <c r="E2013" s="43" t="s">
        <v>3596</v>
      </c>
    </row>
    <row r="2014" spans="1:5" x14ac:dyDescent="0.35">
      <c r="A2014" s="40">
        <v>45069</v>
      </c>
      <c r="B2014" s="38">
        <v>-15</v>
      </c>
      <c r="C2014" s="13" t="s">
        <v>3330</v>
      </c>
      <c r="D2014" s="36">
        <v>24738.84</v>
      </c>
      <c r="E2014" s="43" t="s">
        <v>3596</v>
      </c>
    </row>
    <row r="2015" spans="1:5" x14ac:dyDescent="0.35">
      <c r="A2015" s="40">
        <v>45069</v>
      </c>
      <c r="B2015" s="38">
        <v>-6.07</v>
      </c>
      <c r="C2015" s="13" t="s">
        <v>2360</v>
      </c>
      <c r="D2015" s="36">
        <v>24732.77</v>
      </c>
      <c r="E2015" s="43" t="s">
        <v>3596</v>
      </c>
    </row>
    <row r="2016" spans="1:5" x14ac:dyDescent="0.35">
      <c r="A2016" s="40">
        <v>45069</v>
      </c>
      <c r="B2016" s="38">
        <v>-13</v>
      </c>
      <c r="C2016" s="13" t="s">
        <v>3332</v>
      </c>
      <c r="D2016" s="36">
        <v>24781.03</v>
      </c>
      <c r="E2016" s="43" t="s">
        <v>3596</v>
      </c>
    </row>
    <row r="2017" spans="1:5" x14ac:dyDescent="0.35">
      <c r="A2017" s="40">
        <v>45069</v>
      </c>
      <c r="B2017" s="38">
        <v>-236</v>
      </c>
      <c r="C2017" s="13" t="s">
        <v>3333</v>
      </c>
      <c r="D2017" s="36">
        <v>24794.03</v>
      </c>
      <c r="E2017" s="43" t="s">
        <v>3596</v>
      </c>
    </row>
    <row r="2018" spans="1:5" x14ac:dyDescent="0.35">
      <c r="A2018" s="40">
        <v>45066</v>
      </c>
      <c r="B2018" s="38">
        <v>-25</v>
      </c>
      <c r="C2018" s="13" t="s">
        <v>3329</v>
      </c>
      <c r="D2018" s="36">
        <v>25074.720000000001</v>
      </c>
      <c r="E2018" s="43" t="s">
        <v>3596</v>
      </c>
    </row>
    <row r="2019" spans="1:5" x14ac:dyDescent="0.35">
      <c r="A2019" s="40">
        <v>45066</v>
      </c>
      <c r="B2019" s="38">
        <v>-37</v>
      </c>
      <c r="C2019" s="13" t="s">
        <v>3024</v>
      </c>
      <c r="D2019" s="36">
        <v>25099.72</v>
      </c>
      <c r="E2019" s="43" t="s">
        <v>3596</v>
      </c>
    </row>
    <row r="2020" spans="1:5" x14ac:dyDescent="0.35">
      <c r="A2020" s="40">
        <v>45064</v>
      </c>
      <c r="B2020" s="38">
        <v>-2.75</v>
      </c>
      <c r="C2020" s="13" t="s">
        <v>3327</v>
      </c>
      <c r="D2020" s="36">
        <v>25216.44</v>
      </c>
      <c r="E2020" s="43" t="s">
        <v>3596</v>
      </c>
    </row>
    <row r="2021" spans="1:5" x14ac:dyDescent="0.35">
      <c r="A2021" s="40">
        <v>45064</v>
      </c>
      <c r="B2021" s="38">
        <v>-69</v>
      </c>
      <c r="C2021" s="13" t="s">
        <v>3328</v>
      </c>
      <c r="D2021" s="36">
        <v>25219.19</v>
      </c>
      <c r="E2021" s="43" t="s">
        <v>3596</v>
      </c>
    </row>
    <row r="2022" spans="1:5" x14ac:dyDescent="0.35">
      <c r="A2022" s="40">
        <v>45064</v>
      </c>
      <c r="B2022" s="38">
        <v>-79.72</v>
      </c>
      <c r="C2022" s="13" t="s">
        <v>3184</v>
      </c>
      <c r="D2022" s="36">
        <v>25136.720000000001</v>
      </c>
      <c r="E2022" s="43" t="s">
        <v>3596</v>
      </c>
    </row>
    <row r="2023" spans="1:5" x14ac:dyDescent="0.35">
      <c r="A2023" s="40">
        <v>45063</v>
      </c>
      <c r="B2023" s="38">
        <v>-2.75</v>
      </c>
      <c r="C2023" s="13" t="s">
        <v>3325</v>
      </c>
      <c r="D2023" s="36">
        <v>25288.19</v>
      </c>
      <c r="E2023" s="43" t="s">
        <v>3596</v>
      </c>
    </row>
    <row r="2024" spans="1:5" x14ac:dyDescent="0.35">
      <c r="A2024" s="40">
        <v>45063</v>
      </c>
      <c r="B2024" s="38">
        <v>-20</v>
      </c>
      <c r="C2024" s="13" t="s">
        <v>3326</v>
      </c>
      <c r="D2024" s="36">
        <v>25290.94</v>
      </c>
      <c r="E2024" s="43" t="s">
        <v>3596</v>
      </c>
    </row>
    <row r="2025" spans="1:5" x14ac:dyDescent="0.35">
      <c r="A2025" s="40">
        <v>45062</v>
      </c>
      <c r="B2025" s="38">
        <v>-27.19</v>
      </c>
      <c r="C2025" s="13" t="s">
        <v>3324</v>
      </c>
      <c r="D2025" s="36">
        <v>25356.7</v>
      </c>
      <c r="E2025" s="43" t="s">
        <v>3596</v>
      </c>
    </row>
    <row r="2026" spans="1:5" x14ac:dyDescent="0.35">
      <c r="A2026" s="40">
        <v>45062</v>
      </c>
      <c r="B2026" s="38">
        <v>-15</v>
      </c>
      <c r="C2026" s="13" t="s">
        <v>3111</v>
      </c>
      <c r="D2026" s="36">
        <v>25364.7</v>
      </c>
      <c r="E2026" s="43" t="s">
        <v>3596</v>
      </c>
    </row>
    <row r="2027" spans="1:5" x14ac:dyDescent="0.35">
      <c r="A2027" s="40">
        <v>45062</v>
      </c>
      <c r="B2027" s="38">
        <v>-53.76</v>
      </c>
      <c r="C2027" s="13" t="s">
        <v>2281</v>
      </c>
      <c r="D2027" s="36">
        <v>25310.94</v>
      </c>
      <c r="E2027" s="43" t="s">
        <v>3596</v>
      </c>
    </row>
    <row r="2028" spans="1:5" x14ac:dyDescent="0.35">
      <c r="A2028" s="40">
        <v>45062</v>
      </c>
      <c r="B2028" s="38">
        <v>23</v>
      </c>
      <c r="C2028" s="13" t="s">
        <v>3323</v>
      </c>
      <c r="D2028" s="36">
        <v>25379.7</v>
      </c>
      <c r="E2028" s="43" t="s">
        <v>3596</v>
      </c>
    </row>
    <row r="2029" spans="1:5" x14ac:dyDescent="0.35">
      <c r="A2029" s="40">
        <v>45061</v>
      </c>
      <c r="B2029" s="38">
        <v>-14.99</v>
      </c>
      <c r="C2029" s="13" t="s">
        <v>3322</v>
      </c>
      <c r="D2029" s="36">
        <v>24983.89</v>
      </c>
      <c r="E2029" s="43" t="s">
        <v>3596</v>
      </c>
    </row>
    <row r="2030" spans="1:5" x14ac:dyDescent="0.35">
      <c r="A2030" s="40">
        <v>45061</v>
      </c>
      <c r="B2030" s="38">
        <v>400</v>
      </c>
      <c r="C2030" s="13" t="s">
        <v>3321</v>
      </c>
      <c r="D2030" s="36">
        <v>25383.89</v>
      </c>
      <c r="E2030" s="43" t="s">
        <v>3596</v>
      </c>
    </row>
    <row r="2031" spans="1:5" x14ac:dyDescent="0.35">
      <c r="A2031" s="40">
        <v>45059</v>
      </c>
      <c r="B2031" s="38">
        <v>-23.33</v>
      </c>
      <c r="C2031" s="13" t="s">
        <v>2281</v>
      </c>
      <c r="D2031" s="36">
        <v>25065.68</v>
      </c>
      <c r="E2031" s="43" t="s">
        <v>3596</v>
      </c>
    </row>
    <row r="2032" spans="1:5" x14ac:dyDescent="0.35">
      <c r="A2032" s="40">
        <v>45059</v>
      </c>
      <c r="B2032" s="38">
        <v>-16.899999999999999</v>
      </c>
      <c r="C2032" s="13" t="s">
        <v>3320</v>
      </c>
      <c r="D2032" s="36">
        <v>24998.880000000001</v>
      </c>
      <c r="E2032" s="43" t="s">
        <v>3596</v>
      </c>
    </row>
    <row r="2033" spans="1:5" x14ac:dyDescent="0.35">
      <c r="A2033" s="40">
        <v>45059</v>
      </c>
      <c r="B2033" s="38">
        <v>-11.7</v>
      </c>
      <c r="C2033" s="13" t="s">
        <v>3320</v>
      </c>
      <c r="D2033" s="36">
        <v>25015.78</v>
      </c>
      <c r="E2033" s="43" t="s">
        <v>3596</v>
      </c>
    </row>
    <row r="2034" spans="1:5" x14ac:dyDescent="0.35">
      <c r="A2034" s="40">
        <v>45059</v>
      </c>
      <c r="B2034" s="38">
        <v>-28</v>
      </c>
      <c r="C2034" s="13" t="s">
        <v>3320</v>
      </c>
      <c r="D2034" s="36">
        <v>25027.48</v>
      </c>
      <c r="E2034" s="43" t="s">
        <v>3596</v>
      </c>
    </row>
    <row r="2035" spans="1:5" x14ac:dyDescent="0.35">
      <c r="A2035" s="40">
        <v>45059</v>
      </c>
      <c r="B2035" s="38">
        <v>-10.199999999999999</v>
      </c>
      <c r="C2035" s="13" t="s">
        <v>3320</v>
      </c>
      <c r="D2035" s="36">
        <v>25055.48</v>
      </c>
      <c r="E2035" s="43" t="s">
        <v>3596</v>
      </c>
    </row>
    <row r="2036" spans="1:5" x14ac:dyDescent="0.35">
      <c r="A2036" s="40">
        <v>45058</v>
      </c>
      <c r="B2036" s="38">
        <v>-25.5</v>
      </c>
      <c r="C2036" s="13" t="s">
        <v>3319</v>
      </c>
      <c r="D2036" s="36">
        <v>25089.01</v>
      </c>
      <c r="E2036" s="43" t="s">
        <v>3596</v>
      </c>
    </row>
    <row r="2037" spans="1:5" x14ac:dyDescent="0.35">
      <c r="A2037" s="40">
        <v>45057</v>
      </c>
      <c r="B2037" s="38">
        <v>-500</v>
      </c>
      <c r="C2037" s="13" t="s">
        <v>1395</v>
      </c>
      <c r="D2037" s="36">
        <v>25114.51</v>
      </c>
      <c r="E2037" s="43" t="s">
        <v>3596</v>
      </c>
    </row>
    <row r="2038" spans="1:5" x14ac:dyDescent="0.35">
      <c r="A2038" s="40">
        <v>45057</v>
      </c>
      <c r="B2038" s="38">
        <v>2332.84</v>
      </c>
      <c r="C2038" s="13" t="s">
        <v>3318</v>
      </c>
      <c r="D2038" s="36">
        <v>25614.51</v>
      </c>
      <c r="E2038" s="43" t="s">
        <v>3596</v>
      </c>
    </row>
    <row r="2039" spans="1:5" x14ac:dyDescent="0.35">
      <c r="A2039" s="40">
        <v>45056</v>
      </c>
      <c r="B2039" s="38">
        <v>-20</v>
      </c>
      <c r="C2039" s="13" t="s">
        <v>3317</v>
      </c>
      <c r="D2039" s="36">
        <v>23281.67</v>
      </c>
      <c r="E2039" s="43" t="s">
        <v>3596</v>
      </c>
    </row>
    <row r="2040" spans="1:5" x14ac:dyDescent="0.35">
      <c r="A2040" s="40">
        <v>45055</v>
      </c>
      <c r="B2040" s="38">
        <v>-15</v>
      </c>
      <c r="C2040" s="13" t="s">
        <v>3111</v>
      </c>
      <c r="D2040" s="36">
        <v>23301.67</v>
      </c>
      <c r="E2040" s="43" t="s">
        <v>3596</v>
      </c>
    </row>
    <row r="2041" spans="1:5" x14ac:dyDescent="0.35">
      <c r="A2041" s="40">
        <v>45055</v>
      </c>
      <c r="B2041" s="38">
        <v>-5</v>
      </c>
      <c r="C2041" s="13" t="s">
        <v>3315</v>
      </c>
      <c r="D2041" s="36">
        <v>23316.67</v>
      </c>
      <c r="E2041" s="43" t="s">
        <v>3596</v>
      </c>
    </row>
    <row r="2042" spans="1:5" x14ac:dyDescent="0.35">
      <c r="A2042" s="40">
        <v>45055</v>
      </c>
      <c r="B2042" s="38">
        <v>-51.62</v>
      </c>
      <c r="C2042" s="13" t="s">
        <v>3316</v>
      </c>
      <c r="D2042" s="36">
        <v>23321.67</v>
      </c>
      <c r="E2042" s="43" t="s">
        <v>3596</v>
      </c>
    </row>
    <row r="2043" spans="1:5" x14ac:dyDescent="0.35">
      <c r="A2043" s="40">
        <v>45053</v>
      </c>
      <c r="B2043" s="38">
        <v>-317</v>
      </c>
      <c r="C2043" s="13" t="s">
        <v>3314</v>
      </c>
      <c r="D2043" s="36">
        <v>23056.29</v>
      </c>
      <c r="E2043" s="43" t="s">
        <v>3596</v>
      </c>
    </row>
    <row r="2044" spans="1:5" x14ac:dyDescent="0.35">
      <c r="A2044" s="40">
        <v>45053</v>
      </c>
      <c r="B2044" s="38">
        <v>-0.9</v>
      </c>
      <c r="C2044" s="13" t="s">
        <v>3654</v>
      </c>
      <c r="D2044" s="36">
        <v>23373.29</v>
      </c>
      <c r="E2044" s="43" t="s">
        <v>3596</v>
      </c>
    </row>
    <row r="2045" spans="1:5" x14ac:dyDescent="0.35">
      <c r="A2045" s="40">
        <v>45053</v>
      </c>
      <c r="B2045" s="38">
        <v>-12.25</v>
      </c>
      <c r="C2045" s="13" t="s">
        <v>3655</v>
      </c>
      <c r="D2045" s="36">
        <v>23374.19</v>
      </c>
      <c r="E2045" s="43" t="s">
        <v>3596</v>
      </c>
    </row>
    <row r="2046" spans="1:5" x14ac:dyDescent="0.35">
      <c r="A2046" s="40">
        <v>45053</v>
      </c>
      <c r="B2046" s="38">
        <v>-10.5</v>
      </c>
      <c r="C2046" s="13" t="s">
        <v>3655</v>
      </c>
      <c r="D2046" s="36">
        <v>23386.44</v>
      </c>
      <c r="E2046" s="43" t="s">
        <v>3596</v>
      </c>
    </row>
    <row r="2047" spans="1:5" x14ac:dyDescent="0.35">
      <c r="A2047" s="40">
        <v>45053</v>
      </c>
      <c r="B2047" s="38">
        <v>317</v>
      </c>
      <c r="C2047" s="13" t="s">
        <v>3313</v>
      </c>
      <c r="D2047" s="36">
        <v>23373.29</v>
      </c>
      <c r="E2047" s="43" t="s">
        <v>3596</v>
      </c>
    </row>
    <row r="2048" spans="1:5" x14ac:dyDescent="0.35">
      <c r="A2048" s="40">
        <v>45052</v>
      </c>
      <c r="B2048" s="38">
        <v>-1600</v>
      </c>
      <c r="C2048" s="13" t="s">
        <v>3656</v>
      </c>
      <c r="D2048" s="36">
        <v>23557.439999999999</v>
      </c>
      <c r="E2048" s="43" t="s">
        <v>3596</v>
      </c>
    </row>
    <row r="2049" spans="1:5" x14ac:dyDescent="0.35">
      <c r="A2049" s="40">
        <v>45052</v>
      </c>
      <c r="B2049" s="38">
        <v>-15.15</v>
      </c>
      <c r="C2049" s="13" t="s">
        <v>1584</v>
      </c>
      <c r="D2049" s="36">
        <v>23396.94</v>
      </c>
      <c r="E2049" s="43" t="s">
        <v>3596</v>
      </c>
    </row>
    <row r="2050" spans="1:5" x14ac:dyDescent="0.35">
      <c r="A2050" s="40">
        <v>45052</v>
      </c>
      <c r="B2050" s="38">
        <v>-118</v>
      </c>
      <c r="C2050" s="13" t="s">
        <v>2857</v>
      </c>
      <c r="D2050" s="36">
        <v>23439.439999999999</v>
      </c>
      <c r="E2050" s="43" t="s">
        <v>3596</v>
      </c>
    </row>
    <row r="2051" spans="1:5" x14ac:dyDescent="0.35">
      <c r="A2051" s="40">
        <v>45052</v>
      </c>
      <c r="B2051" s="38">
        <v>-27.35</v>
      </c>
      <c r="C2051" s="13" t="s">
        <v>2360</v>
      </c>
      <c r="D2051" s="36">
        <v>23412.09</v>
      </c>
      <c r="E2051" s="43" t="s">
        <v>3596</v>
      </c>
    </row>
    <row r="2052" spans="1:5" x14ac:dyDescent="0.35">
      <c r="A2052" s="40">
        <v>45051</v>
      </c>
      <c r="B2052" s="38">
        <v>-2.75</v>
      </c>
      <c r="C2052" s="13" t="s">
        <v>3312</v>
      </c>
      <c r="D2052" s="36">
        <v>25157.439999999999</v>
      </c>
      <c r="E2052" s="43" t="s">
        <v>3596</v>
      </c>
    </row>
    <row r="2053" spans="1:5" x14ac:dyDescent="0.35">
      <c r="A2053" s="40">
        <v>45050</v>
      </c>
      <c r="B2053" s="38">
        <v>-2.75</v>
      </c>
      <c r="C2053" s="13" t="s">
        <v>3311</v>
      </c>
      <c r="D2053" s="36">
        <v>25198.23</v>
      </c>
      <c r="E2053" s="43" t="s">
        <v>3596</v>
      </c>
    </row>
    <row r="2054" spans="1:5" x14ac:dyDescent="0.35">
      <c r="A2054" s="40">
        <v>45050</v>
      </c>
      <c r="B2054" s="38">
        <v>-38.04</v>
      </c>
      <c r="C2054" s="13" t="s">
        <v>2360</v>
      </c>
      <c r="D2054" s="36">
        <v>25160.19</v>
      </c>
      <c r="E2054" s="43" t="s">
        <v>3596</v>
      </c>
    </row>
    <row r="2055" spans="1:5" x14ac:dyDescent="0.35">
      <c r="A2055" s="40">
        <v>45049</v>
      </c>
      <c r="B2055" s="38">
        <v>-2.75</v>
      </c>
      <c r="C2055" s="13" t="s">
        <v>3307</v>
      </c>
      <c r="D2055" s="36">
        <v>25259.200000000001</v>
      </c>
      <c r="E2055" s="43" t="s">
        <v>3596</v>
      </c>
    </row>
    <row r="2056" spans="1:5" x14ac:dyDescent="0.35">
      <c r="A2056" s="40">
        <v>45049</v>
      </c>
      <c r="B2056" s="38">
        <v>-4</v>
      </c>
      <c r="C2056" s="13" t="s">
        <v>3307</v>
      </c>
      <c r="D2056" s="36">
        <v>25261.95</v>
      </c>
      <c r="E2056" s="43" t="s">
        <v>3596</v>
      </c>
    </row>
    <row r="2057" spans="1:5" x14ac:dyDescent="0.35">
      <c r="A2057" s="40">
        <v>45049</v>
      </c>
      <c r="B2057" s="38">
        <v>-20</v>
      </c>
      <c r="C2057" s="13" t="s">
        <v>3310</v>
      </c>
      <c r="D2057" s="36">
        <v>25394.13</v>
      </c>
      <c r="E2057" s="43" t="s">
        <v>3596</v>
      </c>
    </row>
    <row r="2058" spans="1:5" x14ac:dyDescent="0.35">
      <c r="A2058" s="40">
        <v>45049</v>
      </c>
      <c r="B2058" s="38">
        <v>-106.29</v>
      </c>
      <c r="C2058" s="13" t="s">
        <v>3658</v>
      </c>
      <c r="D2058" s="36">
        <v>25269.14</v>
      </c>
      <c r="E2058" s="43" t="s">
        <v>3596</v>
      </c>
    </row>
    <row r="2059" spans="1:5" x14ac:dyDescent="0.35">
      <c r="A2059" s="40">
        <v>45049</v>
      </c>
      <c r="B2059" s="38">
        <v>-18.7</v>
      </c>
      <c r="C2059" s="13" t="s">
        <v>3309</v>
      </c>
      <c r="D2059" s="36">
        <v>25375.43</v>
      </c>
      <c r="E2059" s="43" t="s">
        <v>3596</v>
      </c>
    </row>
    <row r="2060" spans="1:5" x14ac:dyDescent="0.35">
      <c r="A2060" s="40">
        <v>45049</v>
      </c>
      <c r="B2060" s="38">
        <v>-3.19</v>
      </c>
      <c r="C2060" s="13" t="s">
        <v>3308</v>
      </c>
      <c r="D2060" s="36">
        <v>25265.95</v>
      </c>
      <c r="E2060" s="43" t="s">
        <v>3596</v>
      </c>
    </row>
    <row r="2061" spans="1:5" x14ac:dyDescent="0.35">
      <c r="A2061" s="40">
        <v>45049</v>
      </c>
      <c r="B2061" s="38">
        <v>-58.22</v>
      </c>
      <c r="C2061" s="13" t="s">
        <v>2281</v>
      </c>
      <c r="D2061" s="36">
        <v>25200.98</v>
      </c>
      <c r="E2061" s="43" t="s">
        <v>3596</v>
      </c>
    </row>
    <row r="2062" spans="1:5" x14ac:dyDescent="0.35">
      <c r="A2062" s="40">
        <v>45048</v>
      </c>
      <c r="B2062" s="38">
        <v>-27.19</v>
      </c>
      <c r="C2062" s="13" t="s">
        <v>3306</v>
      </c>
      <c r="D2062" s="36">
        <v>25646.83</v>
      </c>
      <c r="E2062" s="43" t="s">
        <v>3596</v>
      </c>
    </row>
    <row r="2063" spans="1:5" x14ac:dyDescent="0.35">
      <c r="A2063" s="40">
        <v>45048</v>
      </c>
      <c r="B2063" s="38">
        <v>-46</v>
      </c>
      <c r="C2063" s="13" t="s">
        <v>3305</v>
      </c>
      <c r="D2063" s="36">
        <v>25600.83</v>
      </c>
      <c r="E2063" s="43" t="s">
        <v>3596</v>
      </c>
    </row>
    <row r="2064" spans="1:5" x14ac:dyDescent="0.35">
      <c r="A2064" s="40">
        <v>45048</v>
      </c>
      <c r="B2064" s="38">
        <v>-186.7</v>
      </c>
      <c r="C2064" s="13" t="s">
        <v>3304</v>
      </c>
      <c r="D2064" s="36">
        <v>25414.13</v>
      </c>
      <c r="E2064" s="43" t="s">
        <v>3596</v>
      </c>
    </row>
    <row r="2065" spans="1:5" x14ac:dyDescent="0.35">
      <c r="A2065" s="40">
        <v>45048</v>
      </c>
      <c r="B2065" s="38">
        <v>-181.3</v>
      </c>
      <c r="C2065" s="13" t="s">
        <v>3303</v>
      </c>
      <c r="D2065" s="36">
        <v>25232.83</v>
      </c>
      <c r="E2065" s="43" t="s">
        <v>3596</v>
      </c>
    </row>
    <row r="2066" spans="1:5" x14ac:dyDescent="0.35">
      <c r="A2066" s="40">
        <v>45048</v>
      </c>
      <c r="B2066" s="38">
        <v>181.3</v>
      </c>
      <c r="C2066" s="13" t="s">
        <v>3302</v>
      </c>
      <c r="D2066" s="36">
        <v>25414.13</v>
      </c>
      <c r="E2066" s="43" t="s">
        <v>3596</v>
      </c>
    </row>
    <row r="2067" spans="1:5" x14ac:dyDescent="0.35">
      <c r="A2067" s="40">
        <v>45047</v>
      </c>
      <c r="B2067" s="38">
        <v>-15</v>
      </c>
      <c r="C2067" s="13" t="s">
        <v>3111</v>
      </c>
      <c r="D2067" s="36">
        <v>25674.02</v>
      </c>
      <c r="E2067" s="43" t="s">
        <v>3596</v>
      </c>
    </row>
    <row r="2068" spans="1:5" x14ac:dyDescent="0.35">
      <c r="A2068" s="40">
        <v>45047</v>
      </c>
      <c r="B2068" s="38">
        <v>4.03</v>
      </c>
      <c r="C2068" s="13" t="s">
        <v>3598</v>
      </c>
      <c r="D2068" s="36">
        <v>2655.59</v>
      </c>
      <c r="E2068" s="43" t="s">
        <v>3604</v>
      </c>
    </row>
    <row r="2069" spans="1:5" x14ac:dyDescent="0.35">
      <c r="A2069" s="40">
        <v>45045</v>
      </c>
      <c r="B2069" s="38">
        <v>-283.70999999999998</v>
      </c>
      <c r="C2069" s="13" t="s">
        <v>3301</v>
      </c>
      <c r="D2069" s="36">
        <v>25689.02</v>
      </c>
      <c r="E2069" s="43" t="s">
        <v>3596</v>
      </c>
    </row>
    <row r="2070" spans="1:5" x14ac:dyDescent="0.35">
      <c r="A2070" s="40">
        <v>45045</v>
      </c>
      <c r="B2070" s="38">
        <v>-283.70999999999998</v>
      </c>
      <c r="C2070" s="13" t="s">
        <v>3301</v>
      </c>
      <c r="D2070" s="36">
        <v>25972.73</v>
      </c>
      <c r="E2070" s="43" t="s">
        <v>3596</v>
      </c>
    </row>
    <row r="2071" spans="1:5" x14ac:dyDescent="0.35">
      <c r="A2071" s="40">
        <v>45044</v>
      </c>
      <c r="B2071" s="38">
        <v>-2.75</v>
      </c>
      <c r="C2071" s="13" t="s">
        <v>3299</v>
      </c>
      <c r="D2071" s="36">
        <v>26310.54</v>
      </c>
      <c r="E2071" s="43" t="s">
        <v>3596</v>
      </c>
    </row>
    <row r="2072" spans="1:5" x14ac:dyDescent="0.35">
      <c r="A2072" s="40">
        <v>45044</v>
      </c>
      <c r="B2072" s="38">
        <v>-54.1</v>
      </c>
      <c r="C2072" s="13" t="s">
        <v>2281</v>
      </c>
      <c r="D2072" s="36">
        <v>26256.44</v>
      </c>
      <c r="E2072" s="43" t="s">
        <v>3596</v>
      </c>
    </row>
    <row r="2073" spans="1:5" x14ac:dyDescent="0.35">
      <c r="A2073" s="40">
        <v>45044</v>
      </c>
      <c r="B2073" s="38">
        <v>-51.15</v>
      </c>
      <c r="C2073" s="13" t="s">
        <v>3300</v>
      </c>
      <c r="D2073" s="36">
        <v>26313.29</v>
      </c>
      <c r="E2073" s="43" t="s">
        <v>3596</v>
      </c>
    </row>
    <row r="2074" spans="1:5" x14ac:dyDescent="0.35">
      <c r="A2074" s="40">
        <v>45043</v>
      </c>
      <c r="B2074" s="38">
        <v>-500</v>
      </c>
      <c r="C2074" s="13" t="s">
        <v>1395</v>
      </c>
      <c r="D2074" s="36">
        <v>26438.54</v>
      </c>
      <c r="E2074" s="43" t="s">
        <v>3596</v>
      </c>
    </row>
    <row r="2075" spans="1:5" x14ac:dyDescent="0.35">
      <c r="A2075" s="40">
        <v>45043</v>
      </c>
      <c r="B2075" s="38">
        <v>-37.090000000000003</v>
      </c>
      <c r="C2075" s="13" t="s">
        <v>3294</v>
      </c>
      <c r="D2075" s="36">
        <v>26364.44</v>
      </c>
      <c r="E2075" s="43" t="s">
        <v>3596</v>
      </c>
    </row>
    <row r="2076" spans="1:5" x14ac:dyDescent="0.35">
      <c r="A2076" s="40">
        <v>45043</v>
      </c>
      <c r="B2076" s="38">
        <v>-20</v>
      </c>
      <c r="C2076" s="13" t="s">
        <v>3297</v>
      </c>
      <c r="D2076" s="36">
        <v>26418.54</v>
      </c>
      <c r="E2076" s="43" t="s">
        <v>3596</v>
      </c>
    </row>
    <row r="2077" spans="1:5" x14ac:dyDescent="0.35">
      <c r="A2077" s="40">
        <v>45043</v>
      </c>
      <c r="B2077" s="38">
        <v>2332.84</v>
      </c>
      <c r="C2077" s="13" t="s">
        <v>3298</v>
      </c>
      <c r="D2077" s="36">
        <v>26938.54</v>
      </c>
      <c r="E2077" s="43" t="s">
        <v>3596</v>
      </c>
    </row>
    <row r="2078" spans="1:5" x14ac:dyDescent="0.35">
      <c r="A2078" s="40">
        <v>45043</v>
      </c>
      <c r="B2078" s="38">
        <v>-16.510000000000002</v>
      </c>
      <c r="C2078" s="13" t="s">
        <v>3296</v>
      </c>
      <c r="D2078" s="36">
        <v>26402.03</v>
      </c>
      <c r="E2078" s="43" t="s">
        <v>3596</v>
      </c>
    </row>
    <row r="2079" spans="1:5" x14ac:dyDescent="0.35">
      <c r="A2079" s="40">
        <v>45043</v>
      </c>
      <c r="B2079" s="38">
        <v>-0.5</v>
      </c>
      <c r="C2079" s="13" t="s">
        <v>3295</v>
      </c>
      <c r="D2079" s="36">
        <v>26401.53</v>
      </c>
      <c r="E2079" s="43" t="s">
        <v>3596</v>
      </c>
    </row>
    <row r="2080" spans="1:5" x14ac:dyDescent="0.35">
      <c r="A2080" s="40">
        <v>45042</v>
      </c>
      <c r="B2080" s="38">
        <v>-23.67</v>
      </c>
      <c r="C2080" s="13" t="s">
        <v>2269</v>
      </c>
      <c r="D2080" s="36">
        <v>24605.7</v>
      </c>
      <c r="E2080" s="43" t="s">
        <v>3596</v>
      </c>
    </row>
    <row r="2081" spans="1:5" x14ac:dyDescent="0.35">
      <c r="A2081" s="40">
        <v>45042</v>
      </c>
      <c r="B2081" s="38">
        <v>-400</v>
      </c>
      <c r="C2081" s="13" t="s">
        <v>3293</v>
      </c>
      <c r="D2081" s="36">
        <v>24629.37</v>
      </c>
      <c r="E2081" s="43" t="s">
        <v>3596</v>
      </c>
    </row>
    <row r="2082" spans="1:5" x14ac:dyDescent="0.35">
      <c r="A2082" s="40">
        <v>45041</v>
      </c>
      <c r="B2082" s="38">
        <v>-27.19</v>
      </c>
      <c r="C2082" s="13" t="s">
        <v>3292</v>
      </c>
      <c r="D2082" s="36">
        <v>24577.56</v>
      </c>
      <c r="E2082" s="43" t="s">
        <v>3596</v>
      </c>
    </row>
    <row r="2083" spans="1:5" x14ac:dyDescent="0.35">
      <c r="A2083" s="40">
        <v>45041</v>
      </c>
      <c r="B2083" s="38">
        <v>-48.19</v>
      </c>
      <c r="C2083" s="13" t="s">
        <v>3291</v>
      </c>
      <c r="D2083" s="36">
        <v>24529.37</v>
      </c>
      <c r="E2083" s="43" t="s">
        <v>3596</v>
      </c>
    </row>
    <row r="2084" spans="1:5" x14ac:dyDescent="0.35">
      <c r="A2084" s="40">
        <v>45041</v>
      </c>
      <c r="B2084" s="38">
        <v>500</v>
      </c>
      <c r="C2084" s="13" t="s">
        <v>3279</v>
      </c>
      <c r="D2084" s="36">
        <v>25029.37</v>
      </c>
      <c r="E2084" s="43" t="s">
        <v>3596</v>
      </c>
    </row>
    <row r="2085" spans="1:5" x14ac:dyDescent="0.35">
      <c r="A2085" s="40">
        <v>45040</v>
      </c>
      <c r="B2085" s="38">
        <v>-72.05</v>
      </c>
      <c r="C2085" s="13" t="s">
        <v>2281</v>
      </c>
      <c r="D2085" s="36">
        <v>24604.75</v>
      </c>
      <c r="E2085" s="43" t="s">
        <v>3596</v>
      </c>
    </row>
    <row r="2086" spans="1:5" x14ac:dyDescent="0.35">
      <c r="A2086" s="40">
        <v>45037</v>
      </c>
      <c r="B2086" s="38">
        <v>-2.75</v>
      </c>
      <c r="C2086" s="13" t="s">
        <v>3288</v>
      </c>
      <c r="D2086" s="36">
        <v>24676.799999999999</v>
      </c>
      <c r="E2086" s="43" t="s">
        <v>3596</v>
      </c>
    </row>
    <row r="2087" spans="1:5" x14ac:dyDescent="0.35">
      <c r="A2087" s="40">
        <v>45037</v>
      </c>
      <c r="B2087" s="38">
        <v>-69</v>
      </c>
      <c r="C2087" s="13" t="s">
        <v>3290</v>
      </c>
      <c r="D2087" s="36">
        <v>24695.73</v>
      </c>
      <c r="E2087" s="43" t="s">
        <v>3596</v>
      </c>
    </row>
    <row r="2088" spans="1:5" x14ac:dyDescent="0.35">
      <c r="A2088" s="40">
        <v>45037</v>
      </c>
      <c r="B2088" s="38">
        <v>-16.18</v>
      </c>
      <c r="C2088" s="13" t="s">
        <v>3289</v>
      </c>
      <c r="D2088" s="36">
        <v>24679.55</v>
      </c>
      <c r="E2088" s="43" t="s">
        <v>3596</v>
      </c>
    </row>
    <row r="2089" spans="1:5" x14ac:dyDescent="0.35">
      <c r="A2089" s="40">
        <v>45036</v>
      </c>
      <c r="B2089" s="38">
        <v>-28.93</v>
      </c>
      <c r="C2089" s="13" t="s">
        <v>3287</v>
      </c>
      <c r="D2089" s="36">
        <v>24764.73</v>
      </c>
      <c r="E2089" s="43" t="s">
        <v>3596</v>
      </c>
    </row>
    <row r="2090" spans="1:5" x14ac:dyDescent="0.35">
      <c r="A2090" s="40">
        <v>45035</v>
      </c>
      <c r="B2090" s="38">
        <v>-10.45</v>
      </c>
      <c r="C2090" s="13" t="s">
        <v>3285</v>
      </c>
      <c r="D2090" s="36">
        <v>24802.86</v>
      </c>
      <c r="E2090" s="43" t="s">
        <v>3596</v>
      </c>
    </row>
    <row r="2091" spans="1:5" x14ac:dyDescent="0.35">
      <c r="A2091" s="40">
        <v>45035</v>
      </c>
      <c r="B2091" s="38">
        <v>-33.79</v>
      </c>
      <c r="C2091" s="13" t="s">
        <v>3286</v>
      </c>
      <c r="D2091" s="36">
        <v>24813.31</v>
      </c>
      <c r="E2091" s="43" t="s">
        <v>3596</v>
      </c>
    </row>
    <row r="2092" spans="1:5" x14ac:dyDescent="0.35">
      <c r="A2092" s="40">
        <v>45035</v>
      </c>
      <c r="B2092" s="38">
        <v>-9.1999999999999993</v>
      </c>
      <c r="C2092" s="13" t="s">
        <v>3202</v>
      </c>
      <c r="D2092" s="36">
        <v>24793.66</v>
      </c>
      <c r="E2092" s="43" t="s">
        <v>3596</v>
      </c>
    </row>
    <row r="2093" spans="1:5" x14ac:dyDescent="0.35">
      <c r="A2093" s="40">
        <v>45034</v>
      </c>
      <c r="B2093" s="38">
        <v>-22.3</v>
      </c>
      <c r="C2093" s="13" t="s">
        <v>3283</v>
      </c>
      <c r="D2093" s="36">
        <v>25000.45</v>
      </c>
      <c r="E2093" s="43" t="s">
        <v>3596</v>
      </c>
    </row>
    <row r="2094" spans="1:5" x14ac:dyDescent="0.35">
      <c r="A2094" s="40">
        <v>45034</v>
      </c>
      <c r="B2094" s="38">
        <v>-18.559999999999999</v>
      </c>
      <c r="C2094" s="13" t="s">
        <v>3283</v>
      </c>
      <c r="D2094" s="36">
        <v>25022.75</v>
      </c>
      <c r="E2094" s="43" t="s">
        <v>3596</v>
      </c>
    </row>
    <row r="2095" spans="1:5" x14ac:dyDescent="0.35">
      <c r="A2095" s="40">
        <v>45034</v>
      </c>
      <c r="B2095" s="38">
        <v>-20</v>
      </c>
      <c r="C2095" s="13" t="s">
        <v>3284</v>
      </c>
      <c r="D2095" s="36">
        <v>25041.31</v>
      </c>
      <c r="E2095" s="43" t="s">
        <v>3596</v>
      </c>
    </row>
    <row r="2096" spans="1:5" x14ac:dyDescent="0.35">
      <c r="A2096" s="40">
        <v>45034</v>
      </c>
      <c r="B2096" s="38">
        <v>-35.89</v>
      </c>
      <c r="C2096" s="13" t="s">
        <v>3280</v>
      </c>
      <c r="D2096" s="36">
        <v>24887.63</v>
      </c>
      <c r="E2096" s="43" t="s">
        <v>3596</v>
      </c>
    </row>
    <row r="2097" spans="1:5" x14ac:dyDescent="0.35">
      <c r="A2097" s="40">
        <v>45034</v>
      </c>
      <c r="B2097" s="38">
        <v>-74.69</v>
      </c>
      <c r="C2097" s="13" t="s">
        <v>3282</v>
      </c>
      <c r="D2097" s="36">
        <v>24925.759999999998</v>
      </c>
      <c r="E2097" s="43" t="s">
        <v>3596</v>
      </c>
    </row>
    <row r="2098" spans="1:5" x14ac:dyDescent="0.35">
      <c r="A2098" s="40">
        <v>45034</v>
      </c>
      <c r="B2098" s="38">
        <v>-2.2400000000000002</v>
      </c>
      <c r="C2098" s="13" t="s">
        <v>3281</v>
      </c>
      <c r="D2098" s="36">
        <v>24923.52</v>
      </c>
      <c r="E2098" s="43" t="s">
        <v>3596</v>
      </c>
    </row>
    <row r="2099" spans="1:5" x14ac:dyDescent="0.35">
      <c r="A2099" s="40">
        <v>45034</v>
      </c>
      <c r="B2099" s="38">
        <v>-40.53</v>
      </c>
      <c r="C2099" s="13" t="s">
        <v>2281</v>
      </c>
      <c r="D2099" s="36">
        <v>24847.1</v>
      </c>
      <c r="E2099" s="43" t="s">
        <v>3596</v>
      </c>
    </row>
    <row r="2100" spans="1:5" x14ac:dyDescent="0.35">
      <c r="A2100" s="40">
        <v>45033</v>
      </c>
      <c r="B2100" s="38">
        <v>-14.5</v>
      </c>
      <c r="C2100" s="13" t="s">
        <v>3111</v>
      </c>
      <c r="D2100" s="36">
        <v>24461.31</v>
      </c>
      <c r="E2100" s="43" t="s">
        <v>3596</v>
      </c>
    </row>
    <row r="2101" spans="1:5" x14ac:dyDescent="0.35">
      <c r="A2101" s="40">
        <v>45033</v>
      </c>
      <c r="B2101" s="38">
        <v>600</v>
      </c>
      <c r="C2101" s="13" t="s">
        <v>3279</v>
      </c>
      <c r="D2101" s="36">
        <v>25061.31</v>
      </c>
      <c r="E2101" s="43" t="s">
        <v>3596</v>
      </c>
    </row>
    <row r="2102" spans="1:5" x14ac:dyDescent="0.35">
      <c r="A2102" s="40">
        <v>45032</v>
      </c>
      <c r="B2102" s="38">
        <v>-23.41</v>
      </c>
      <c r="C2102" s="13" t="s">
        <v>2281</v>
      </c>
      <c r="D2102" s="36">
        <v>24475.81</v>
      </c>
      <c r="E2102" s="43" t="s">
        <v>3596</v>
      </c>
    </row>
    <row r="2103" spans="1:5" x14ac:dyDescent="0.35">
      <c r="A2103" s="40">
        <v>45032</v>
      </c>
      <c r="B2103" s="38">
        <v>9</v>
      </c>
      <c r="C2103" s="13" t="s">
        <v>3278</v>
      </c>
      <c r="D2103" s="36">
        <v>24499.22</v>
      </c>
      <c r="E2103" s="43" t="s">
        <v>3596</v>
      </c>
    </row>
    <row r="2104" spans="1:5" x14ac:dyDescent="0.35">
      <c r="A2104" s="40">
        <v>45031</v>
      </c>
      <c r="B2104" s="38">
        <v>-25.28</v>
      </c>
      <c r="C2104" s="13" t="s">
        <v>3277</v>
      </c>
      <c r="D2104" s="36">
        <v>24490.22</v>
      </c>
      <c r="E2104" s="43" t="s">
        <v>3596</v>
      </c>
    </row>
    <row r="2105" spans="1:5" x14ac:dyDescent="0.35">
      <c r="A2105" s="40">
        <v>45029</v>
      </c>
      <c r="B2105" s="38">
        <v>-500</v>
      </c>
      <c r="C2105" s="13" t="s">
        <v>1395</v>
      </c>
      <c r="D2105" s="36">
        <v>24611.79</v>
      </c>
      <c r="E2105" s="43" t="s">
        <v>3596</v>
      </c>
    </row>
    <row r="2106" spans="1:5" x14ac:dyDescent="0.35">
      <c r="A2106" s="40">
        <v>45029</v>
      </c>
      <c r="B2106" s="38">
        <v>-13.2</v>
      </c>
      <c r="C2106" s="13" t="s">
        <v>3231</v>
      </c>
      <c r="D2106" s="36">
        <v>24515.5</v>
      </c>
      <c r="E2106" s="43" t="s">
        <v>3596</v>
      </c>
    </row>
    <row r="2107" spans="1:5" x14ac:dyDescent="0.35">
      <c r="A2107" s="40">
        <v>45029</v>
      </c>
      <c r="B2107" s="38">
        <v>2332.84</v>
      </c>
      <c r="C2107" s="13" t="s">
        <v>3276</v>
      </c>
      <c r="D2107" s="36">
        <v>25111.79</v>
      </c>
      <c r="E2107" s="43" t="s">
        <v>3596</v>
      </c>
    </row>
    <row r="2108" spans="1:5" x14ac:dyDescent="0.35">
      <c r="A2108" s="40">
        <v>45029</v>
      </c>
      <c r="B2108" s="38">
        <v>-73.89</v>
      </c>
      <c r="C2108" s="13" t="s">
        <v>3274</v>
      </c>
      <c r="D2108" s="36">
        <v>24528.7</v>
      </c>
      <c r="E2108" s="43" t="s">
        <v>3596</v>
      </c>
    </row>
    <row r="2109" spans="1:5" x14ac:dyDescent="0.35">
      <c r="A2109" s="40">
        <v>45029</v>
      </c>
      <c r="B2109" s="38">
        <v>-9.1999999999999993</v>
      </c>
      <c r="C2109" s="13" t="s">
        <v>3275</v>
      </c>
      <c r="D2109" s="36">
        <v>24602.59</v>
      </c>
      <c r="E2109" s="43" t="s">
        <v>3596</v>
      </c>
    </row>
    <row r="2110" spans="1:5" x14ac:dyDescent="0.35">
      <c r="A2110" s="40">
        <v>45028</v>
      </c>
      <c r="B2110" s="38">
        <v>-49.6</v>
      </c>
      <c r="C2110" s="13" t="s">
        <v>3271</v>
      </c>
      <c r="D2110" s="36">
        <v>22997.85</v>
      </c>
      <c r="E2110" s="43" t="s">
        <v>3596</v>
      </c>
    </row>
    <row r="2111" spans="1:5" x14ac:dyDescent="0.35">
      <c r="A2111" s="40">
        <v>45028</v>
      </c>
      <c r="B2111" s="38">
        <v>-34.33</v>
      </c>
      <c r="C2111" s="13" t="s">
        <v>3272</v>
      </c>
      <c r="D2111" s="36">
        <v>23047.45</v>
      </c>
      <c r="E2111" s="43" t="s">
        <v>3596</v>
      </c>
    </row>
    <row r="2112" spans="1:5" x14ac:dyDescent="0.35">
      <c r="A2112" s="40">
        <v>45028</v>
      </c>
      <c r="B2112" s="38">
        <v>-20</v>
      </c>
      <c r="C2112" s="13" t="s">
        <v>3273</v>
      </c>
      <c r="D2112" s="36">
        <v>23081.78</v>
      </c>
      <c r="E2112" s="43" t="s">
        <v>3596</v>
      </c>
    </row>
    <row r="2113" spans="1:5" x14ac:dyDescent="0.35">
      <c r="A2113" s="40">
        <v>45028</v>
      </c>
      <c r="B2113" s="38">
        <v>-139</v>
      </c>
      <c r="C2113" s="13" t="s">
        <v>3268</v>
      </c>
      <c r="D2113" s="36">
        <v>22815.8</v>
      </c>
      <c r="E2113" s="43" t="s">
        <v>3596</v>
      </c>
    </row>
    <row r="2114" spans="1:5" x14ac:dyDescent="0.35">
      <c r="A2114" s="40">
        <v>45028</v>
      </c>
      <c r="B2114" s="38">
        <v>-25</v>
      </c>
      <c r="C2114" s="13" t="s">
        <v>3145</v>
      </c>
      <c r="D2114" s="36">
        <v>22790.799999999999</v>
      </c>
      <c r="E2114" s="43" t="s">
        <v>3596</v>
      </c>
    </row>
    <row r="2115" spans="1:5" x14ac:dyDescent="0.35">
      <c r="A2115" s="40">
        <v>45028</v>
      </c>
      <c r="B2115" s="38">
        <v>-1.49</v>
      </c>
      <c r="C2115" s="13" t="s">
        <v>3270</v>
      </c>
      <c r="D2115" s="36">
        <v>22996.36</v>
      </c>
      <c r="E2115" s="43" t="s">
        <v>3596</v>
      </c>
    </row>
    <row r="2116" spans="1:5" x14ac:dyDescent="0.35">
      <c r="A2116" s="40">
        <v>45028</v>
      </c>
      <c r="B2116" s="38">
        <v>-11.85</v>
      </c>
      <c r="C2116" s="13" t="s">
        <v>2269</v>
      </c>
      <c r="D2116" s="36">
        <v>22778.95</v>
      </c>
      <c r="E2116" s="43" t="s">
        <v>3596</v>
      </c>
    </row>
    <row r="2117" spans="1:5" x14ac:dyDescent="0.35">
      <c r="A2117" s="40">
        <v>45028</v>
      </c>
      <c r="B2117" s="38">
        <v>-41.56</v>
      </c>
      <c r="C2117" s="13" t="s">
        <v>3269</v>
      </c>
      <c r="D2117" s="36">
        <v>22954.799999999999</v>
      </c>
      <c r="E2117" s="43" t="s">
        <v>3596</v>
      </c>
    </row>
    <row r="2118" spans="1:5" x14ac:dyDescent="0.35">
      <c r="A2118" s="40">
        <v>45027</v>
      </c>
      <c r="B2118" s="38">
        <v>-8.6999999999999993</v>
      </c>
      <c r="C2118" s="13" t="s">
        <v>3267</v>
      </c>
      <c r="D2118" s="36">
        <v>23101.78</v>
      </c>
      <c r="E2118" s="43" t="s">
        <v>3596</v>
      </c>
    </row>
    <row r="2119" spans="1:5" x14ac:dyDescent="0.35">
      <c r="A2119" s="40">
        <v>45024</v>
      </c>
      <c r="B2119" s="38">
        <v>800</v>
      </c>
      <c r="C2119" s="13" t="s">
        <v>3384</v>
      </c>
      <c r="D2119" s="36">
        <v>23110.48</v>
      </c>
      <c r="E2119" s="43" t="s">
        <v>3596</v>
      </c>
    </row>
    <row r="2120" spans="1:5" x14ac:dyDescent="0.35">
      <c r="A2120" s="40">
        <v>45023</v>
      </c>
      <c r="B2120" s="38">
        <v>-47.11</v>
      </c>
      <c r="C2120" s="13" t="s">
        <v>2281</v>
      </c>
      <c r="D2120" s="36">
        <v>22310.48</v>
      </c>
      <c r="E2120" s="43" t="s">
        <v>3596</v>
      </c>
    </row>
    <row r="2121" spans="1:5" x14ac:dyDescent="0.35">
      <c r="A2121" s="40">
        <v>45021</v>
      </c>
      <c r="B2121" s="38">
        <v>-20</v>
      </c>
      <c r="C2121" s="13" t="s">
        <v>3266</v>
      </c>
      <c r="D2121" s="36">
        <v>22386.89</v>
      </c>
      <c r="E2121" s="43" t="s">
        <v>3596</v>
      </c>
    </row>
    <row r="2122" spans="1:5" x14ac:dyDescent="0.35">
      <c r="A2122" s="40">
        <v>45021</v>
      </c>
      <c r="B2122" s="38">
        <v>-20.100000000000001</v>
      </c>
      <c r="C2122" s="13" t="s">
        <v>1584</v>
      </c>
      <c r="D2122" s="36">
        <v>22357.59</v>
      </c>
      <c r="E2122" s="43" t="s">
        <v>3596</v>
      </c>
    </row>
    <row r="2123" spans="1:5" x14ac:dyDescent="0.35">
      <c r="A2123" s="40">
        <v>45021</v>
      </c>
      <c r="B2123" s="38">
        <v>-9.1999999999999993</v>
      </c>
      <c r="C2123" s="13" t="s">
        <v>3265</v>
      </c>
      <c r="D2123" s="36">
        <v>22377.69</v>
      </c>
      <c r="E2123" s="43" t="s">
        <v>3596</v>
      </c>
    </row>
    <row r="2124" spans="1:5" x14ac:dyDescent="0.35">
      <c r="A2124" s="40">
        <v>45020</v>
      </c>
      <c r="B2124" s="38">
        <v>-14.5</v>
      </c>
      <c r="C2124" s="13" t="s">
        <v>3111</v>
      </c>
      <c r="D2124" s="36">
        <v>22406.89</v>
      </c>
      <c r="E2124" s="43" t="s">
        <v>3596</v>
      </c>
    </row>
    <row r="2125" spans="1:5" x14ac:dyDescent="0.35">
      <c r="A2125" s="40">
        <v>45020</v>
      </c>
      <c r="B2125" s="38">
        <v>-18.7</v>
      </c>
      <c r="C2125" s="13" t="s">
        <v>3264</v>
      </c>
      <c r="D2125" s="36">
        <v>22462.37</v>
      </c>
      <c r="E2125" s="43" t="s">
        <v>3596</v>
      </c>
    </row>
    <row r="2126" spans="1:5" x14ac:dyDescent="0.35">
      <c r="A2126" s="40">
        <v>45020</v>
      </c>
      <c r="B2126" s="38">
        <v>-40.98</v>
      </c>
      <c r="C2126" s="13" t="s">
        <v>3263</v>
      </c>
      <c r="D2126" s="36">
        <v>22421.39</v>
      </c>
      <c r="E2126" s="43" t="s">
        <v>3596</v>
      </c>
    </row>
    <row r="2127" spans="1:5" x14ac:dyDescent="0.35">
      <c r="A2127" s="40">
        <v>45019</v>
      </c>
      <c r="B2127" s="38">
        <v>-186.7</v>
      </c>
      <c r="C2127" s="13" t="s">
        <v>3262</v>
      </c>
      <c r="D2127" s="36">
        <v>22481.07</v>
      </c>
      <c r="E2127" s="43" t="s">
        <v>3596</v>
      </c>
    </row>
    <row r="2128" spans="1:5" x14ac:dyDescent="0.35">
      <c r="A2128" s="40">
        <v>45018</v>
      </c>
      <c r="B2128" s="38">
        <v>-120.58</v>
      </c>
      <c r="C2128" s="13" t="s">
        <v>2281</v>
      </c>
      <c r="D2128" s="36">
        <v>22667.77</v>
      </c>
      <c r="E2128" s="43" t="s">
        <v>3596</v>
      </c>
    </row>
    <row r="2129" spans="1:5" x14ac:dyDescent="0.35">
      <c r="A2129" s="40">
        <v>45017</v>
      </c>
      <c r="B2129" s="38">
        <v>-94</v>
      </c>
      <c r="C2129" s="13" t="s">
        <v>3261</v>
      </c>
      <c r="D2129" s="36">
        <v>22788.35</v>
      </c>
      <c r="E2129" s="43" t="s">
        <v>3596</v>
      </c>
    </row>
    <row r="2130" spans="1:5" x14ac:dyDescent="0.35">
      <c r="A2130" s="40">
        <v>45017</v>
      </c>
      <c r="B2130" s="38">
        <v>3.87</v>
      </c>
      <c r="C2130" s="13" t="s">
        <v>3598</v>
      </c>
      <c r="D2130" s="36">
        <v>2651.56</v>
      </c>
      <c r="E2130" s="43" t="s">
        <v>3604</v>
      </c>
    </row>
    <row r="2131" spans="1:5" x14ac:dyDescent="0.35">
      <c r="A2131" s="40">
        <v>45016</v>
      </c>
      <c r="B2131" s="38">
        <v>-11.5</v>
      </c>
      <c r="C2131" s="13" t="s">
        <v>3231</v>
      </c>
      <c r="D2131" s="36">
        <v>22950.46</v>
      </c>
      <c r="E2131" s="43" t="s">
        <v>3596</v>
      </c>
    </row>
    <row r="2132" spans="1:5" x14ac:dyDescent="0.35">
      <c r="A2132" s="40">
        <v>45016</v>
      </c>
      <c r="B2132" s="38">
        <v>-5.4</v>
      </c>
      <c r="C2132" s="13" t="s">
        <v>3198</v>
      </c>
      <c r="D2132" s="36">
        <v>22945.06</v>
      </c>
      <c r="E2132" s="43" t="s">
        <v>3596</v>
      </c>
    </row>
    <row r="2133" spans="1:5" x14ac:dyDescent="0.35">
      <c r="A2133" s="40">
        <v>45016</v>
      </c>
      <c r="B2133" s="38">
        <v>-62.71</v>
      </c>
      <c r="C2133" s="13" t="s">
        <v>2281</v>
      </c>
      <c r="D2133" s="36">
        <v>22882.35</v>
      </c>
      <c r="E2133" s="43" t="s">
        <v>3596</v>
      </c>
    </row>
    <row r="2134" spans="1:5" x14ac:dyDescent="0.35">
      <c r="A2134" s="40">
        <v>45016</v>
      </c>
      <c r="B2134" s="38">
        <v>-11.99</v>
      </c>
      <c r="C2134" s="13" t="s">
        <v>3260</v>
      </c>
      <c r="D2134" s="36">
        <v>22971.16</v>
      </c>
      <c r="E2134" s="43" t="s">
        <v>3596</v>
      </c>
    </row>
    <row r="2135" spans="1:5" x14ac:dyDescent="0.35">
      <c r="A2135" s="40">
        <v>45016</v>
      </c>
      <c r="B2135" s="38">
        <v>-9.1999999999999993</v>
      </c>
      <c r="C2135" s="13" t="s">
        <v>3259</v>
      </c>
      <c r="D2135" s="36">
        <v>22961.96</v>
      </c>
      <c r="E2135" s="43" t="s">
        <v>3596</v>
      </c>
    </row>
    <row r="2136" spans="1:5" x14ac:dyDescent="0.35">
      <c r="A2136" s="40">
        <v>45015</v>
      </c>
      <c r="B2136" s="38">
        <v>-500</v>
      </c>
      <c r="C2136" s="13" t="s">
        <v>1395</v>
      </c>
      <c r="D2136" s="36">
        <v>21839.72</v>
      </c>
      <c r="E2136" s="43" t="s">
        <v>3596</v>
      </c>
    </row>
    <row r="2137" spans="1:5" x14ac:dyDescent="0.35">
      <c r="A2137" s="40">
        <v>45015</v>
      </c>
      <c r="B2137" s="38">
        <v>-20</v>
      </c>
      <c r="C2137" s="13" t="s">
        <v>3257</v>
      </c>
      <c r="D2137" s="36">
        <v>21819.72</v>
      </c>
      <c r="E2137" s="43" t="s">
        <v>3596</v>
      </c>
    </row>
    <row r="2138" spans="1:5" x14ac:dyDescent="0.35">
      <c r="A2138" s="40">
        <v>45015</v>
      </c>
      <c r="B2138" s="38">
        <v>2332.84</v>
      </c>
      <c r="C2138" s="13" t="s">
        <v>3258</v>
      </c>
      <c r="D2138" s="36">
        <v>22339.72</v>
      </c>
      <c r="E2138" s="43" t="s">
        <v>3596</v>
      </c>
    </row>
    <row r="2139" spans="1:5" x14ac:dyDescent="0.35">
      <c r="A2139" s="40">
        <v>45015</v>
      </c>
      <c r="B2139" s="38">
        <v>-20.07</v>
      </c>
      <c r="C2139" s="13" t="s">
        <v>3256</v>
      </c>
      <c r="D2139" s="36">
        <v>21783.15</v>
      </c>
      <c r="E2139" s="43" t="s">
        <v>3596</v>
      </c>
    </row>
    <row r="2140" spans="1:5" x14ac:dyDescent="0.35">
      <c r="A2140" s="40">
        <v>45015</v>
      </c>
      <c r="B2140" s="38">
        <v>-16.5</v>
      </c>
      <c r="C2140" s="13" t="s">
        <v>3256</v>
      </c>
      <c r="D2140" s="36">
        <v>21803.22</v>
      </c>
      <c r="E2140" s="43" t="s">
        <v>3596</v>
      </c>
    </row>
    <row r="2141" spans="1:5" x14ac:dyDescent="0.35">
      <c r="A2141" s="40">
        <v>45015</v>
      </c>
      <c r="B2141" s="38">
        <v>1200</v>
      </c>
      <c r="C2141" s="13" t="s">
        <v>3255</v>
      </c>
      <c r="D2141" s="36">
        <v>22983.15</v>
      </c>
      <c r="E2141" s="43" t="s">
        <v>3596</v>
      </c>
    </row>
    <row r="2142" spans="1:5" x14ac:dyDescent="0.35">
      <c r="A2142" s="40">
        <v>45013</v>
      </c>
      <c r="B2142" s="38">
        <v>-20</v>
      </c>
      <c r="C2142" s="13" t="s">
        <v>3254</v>
      </c>
      <c r="D2142" s="36">
        <v>20055.919999999998</v>
      </c>
      <c r="E2142" s="43" t="s">
        <v>3596</v>
      </c>
    </row>
    <row r="2143" spans="1:5" x14ac:dyDescent="0.35">
      <c r="A2143" s="40">
        <v>45013</v>
      </c>
      <c r="B2143" s="38">
        <v>-16.61</v>
      </c>
      <c r="C2143" s="13" t="s">
        <v>3253</v>
      </c>
      <c r="D2143" s="36">
        <v>20039.310000000001</v>
      </c>
      <c r="E2143" s="43" t="s">
        <v>3596</v>
      </c>
    </row>
    <row r="2144" spans="1:5" x14ac:dyDescent="0.35">
      <c r="A2144" s="40">
        <v>45013</v>
      </c>
      <c r="B2144" s="38">
        <v>-0.5</v>
      </c>
      <c r="C2144" s="13" t="s">
        <v>3252</v>
      </c>
      <c r="D2144" s="36">
        <v>20038.810000000001</v>
      </c>
      <c r="E2144" s="43" t="s">
        <v>3596</v>
      </c>
    </row>
    <row r="2145" spans="1:5" x14ac:dyDescent="0.35">
      <c r="A2145" s="40">
        <v>45013</v>
      </c>
      <c r="B2145" s="38">
        <v>-17.89</v>
      </c>
      <c r="C2145" s="13" t="s">
        <v>2360</v>
      </c>
      <c r="D2145" s="36">
        <v>20006.88</v>
      </c>
      <c r="E2145" s="43" t="s">
        <v>3596</v>
      </c>
    </row>
    <row r="2146" spans="1:5" x14ac:dyDescent="0.35">
      <c r="A2146" s="40">
        <v>45013</v>
      </c>
      <c r="B2146" s="38">
        <v>-14.04</v>
      </c>
      <c r="C2146" s="13" t="s">
        <v>1481</v>
      </c>
      <c r="D2146" s="36">
        <v>20024.77</v>
      </c>
      <c r="E2146" s="43" t="s">
        <v>3596</v>
      </c>
    </row>
    <row r="2147" spans="1:5" x14ac:dyDescent="0.35">
      <c r="A2147" s="40">
        <v>45012</v>
      </c>
      <c r="B2147" s="38">
        <v>-16.18</v>
      </c>
      <c r="C2147" s="13" t="s">
        <v>2898</v>
      </c>
      <c r="D2147" s="36">
        <v>20075.919999999998</v>
      </c>
      <c r="E2147" s="43" t="s">
        <v>3596</v>
      </c>
    </row>
    <row r="2148" spans="1:5" x14ac:dyDescent="0.35">
      <c r="A2148" s="40">
        <v>45011</v>
      </c>
      <c r="B2148" s="38">
        <v>-25.6</v>
      </c>
      <c r="C2148" s="13" t="s">
        <v>2281</v>
      </c>
      <c r="D2148" s="36">
        <v>20092.099999999999</v>
      </c>
      <c r="E2148" s="43" t="s">
        <v>3596</v>
      </c>
    </row>
    <row r="2149" spans="1:5" x14ac:dyDescent="0.35">
      <c r="A2149" s="40">
        <v>45010</v>
      </c>
      <c r="B2149" s="38">
        <v>-73.680000000000007</v>
      </c>
      <c r="C2149" s="13" t="s">
        <v>2281</v>
      </c>
      <c r="D2149" s="36">
        <v>20119.2</v>
      </c>
      <c r="E2149" s="43" t="s">
        <v>3596</v>
      </c>
    </row>
    <row r="2150" spans="1:5" x14ac:dyDescent="0.35">
      <c r="A2150" s="40">
        <v>45010</v>
      </c>
      <c r="B2150" s="38">
        <v>-1.5</v>
      </c>
      <c r="C2150" s="13" t="s">
        <v>3251</v>
      </c>
      <c r="D2150" s="36">
        <v>20117.7</v>
      </c>
      <c r="E2150" s="43" t="s">
        <v>3596</v>
      </c>
    </row>
    <row r="2151" spans="1:5" x14ac:dyDescent="0.35">
      <c r="A2151" s="40">
        <v>45009</v>
      </c>
      <c r="B2151" s="38">
        <v>-20</v>
      </c>
      <c r="C2151" s="13" t="s">
        <v>3250</v>
      </c>
      <c r="D2151" s="36">
        <v>20202.080000000002</v>
      </c>
      <c r="E2151" s="43" t="s">
        <v>3596</v>
      </c>
    </row>
    <row r="2152" spans="1:5" x14ac:dyDescent="0.35">
      <c r="A2152" s="40">
        <v>45009</v>
      </c>
      <c r="B2152" s="38">
        <v>-9.1999999999999993</v>
      </c>
      <c r="C2152" s="13" t="s">
        <v>3249</v>
      </c>
      <c r="D2152" s="36">
        <v>20192.88</v>
      </c>
      <c r="E2152" s="43" t="s">
        <v>3596</v>
      </c>
    </row>
    <row r="2153" spans="1:5" x14ac:dyDescent="0.35">
      <c r="A2153" s="40">
        <v>45008</v>
      </c>
      <c r="B2153" s="38">
        <v>-69</v>
      </c>
      <c r="C2153" s="13" t="s">
        <v>3248</v>
      </c>
      <c r="D2153" s="36">
        <v>20304.05</v>
      </c>
      <c r="E2153" s="43" t="s">
        <v>3596</v>
      </c>
    </row>
    <row r="2154" spans="1:5" x14ac:dyDescent="0.35">
      <c r="A2154" s="40">
        <v>45008</v>
      </c>
      <c r="B2154" s="38">
        <v>-12.99</v>
      </c>
      <c r="C2154" s="13" t="s">
        <v>3246</v>
      </c>
      <c r="D2154" s="36">
        <v>20222.080000000002</v>
      </c>
      <c r="E2154" s="43" t="s">
        <v>3596</v>
      </c>
    </row>
    <row r="2155" spans="1:5" x14ac:dyDescent="0.35">
      <c r="A2155" s="40">
        <v>45008</v>
      </c>
      <c r="B2155" s="38">
        <v>-68.98</v>
      </c>
      <c r="C2155" s="13" t="s">
        <v>3247</v>
      </c>
      <c r="D2155" s="36">
        <v>20235.07</v>
      </c>
      <c r="E2155" s="43" t="s">
        <v>3596</v>
      </c>
    </row>
    <row r="2156" spans="1:5" x14ac:dyDescent="0.35">
      <c r="A2156" s="40">
        <v>45007</v>
      </c>
      <c r="B2156" s="38">
        <v>-14.99</v>
      </c>
      <c r="C2156" s="13" t="s">
        <v>3244</v>
      </c>
      <c r="D2156" s="36">
        <v>20373.05</v>
      </c>
      <c r="E2156" s="43" t="s">
        <v>3596</v>
      </c>
    </row>
    <row r="2157" spans="1:5" x14ac:dyDescent="0.35">
      <c r="A2157" s="40">
        <v>45007</v>
      </c>
      <c r="B2157" s="38">
        <v>-37.49</v>
      </c>
      <c r="C2157" s="13" t="s">
        <v>3245</v>
      </c>
      <c r="D2157" s="36">
        <v>20388.04</v>
      </c>
      <c r="E2157" s="43" t="s">
        <v>3596</v>
      </c>
    </row>
    <row r="2158" spans="1:5" x14ac:dyDescent="0.35">
      <c r="A2158" s="40">
        <v>45006</v>
      </c>
      <c r="B2158" s="38">
        <v>-24.08</v>
      </c>
      <c r="C2158" s="13" t="s">
        <v>3242</v>
      </c>
      <c r="D2158" s="36">
        <v>20440.52</v>
      </c>
      <c r="E2158" s="43" t="s">
        <v>3596</v>
      </c>
    </row>
    <row r="2159" spans="1:5" x14ac:dyDescent="0.35">
      <c r="A2159" s="40">
        <v>45006</v>
      </c>
      <c r="B2159" s="38">
        <v>-25.21</v>
      </c>
      <c r="C2159" s="13" t="s">
        <v>3243</v>
      </c>
      <c r="D2159" s="36">
        <v>20464.599999999999</v>
      </c>
      <c r="E2159" s="43" t="s">
        <v>3596</v>
      </c>
    </row>
    <row r="2160" spans="1:5" x14ac:dyDescent="0.35">
      <c r="A2160" s="40">
        <v>45006</v>
      </c>
      <c r="B2160" s="38">
        <v>-14.99</v>
      </c>
      <c r="C2160" s="13" t="s">
        <v>3241</v>
      </c>
      <c r="D2160" s="36">
        <v>20425.53</v>
      </c>
      <c r="E2160" s="43" t="s">
        <v>3596</v>
      </c>
    </row>
    <row r="2161" spans="1:5" x14ac:dyDescent="0.35">
      <c r="A2161" s="40">
        <v>45005</v>
      </c>
      <c r="B2161" s="38">
        <v>-14.04</v>
      </c>
      <c r="C2161" s="13" t="s">
        <v>1481</v>
      </c>
      <c r="D2161" s="36">
        <v>20489.810000000001</v>
      </c>
      <c r="E2161" s="43" t="s">
        <v>3596</v>
      </c>
    </row>
    <row r="2162" spans="1:5" x14ac:dyDescent="0.35">
      <c r="A2162" s="40">
        <v>45004</v>
      </c>
      <c r="B2162" s="38">
        <v>15</v>
      </c>
      <c r="C2162" s="13" t="s">
        <v>2793</v>
      </c>
      <c r="D2162" s="36">
        <v>20503.849999999999</v>
      </c>
      <c r="E2162" s="43" t="s">
        <v>3596</v>
      </c>
    </row>
    <row r="2163" spans="1:5" x14ac:dyDescent="0.35">
      <c r="A2163" s="40">
        <v>45003</v>
      </c>
      <c r="B2163" s="38">
        <v>-50</v>
      </c>
      <c r="C2163" s="13" t="s">
        <v>3236</v>
      </c>
      <c r="D2163" s="36">
        <v>20553.849999999999</v>
      </c>
      <c r="E2163" s="43" t="s">
        <v>3596</v>
      </c>
    </row>
    <row r="2164" spans="1:5" x14ac:dyDescent="0.35">
      <c r="A2164" s="40">
        <v>45003</v>
      </c>
      <c r="B2164" s="38">
        <v>-127.72</v>
      </c>
      <c r="C2164" s="13" t="s">
        <v>3240</v>
      </c>
      <c r="D2164" s="36">
        <v>19909.54</v>
      </c>
      <c r="E2164" s="43" t="s">
        <v>3596</v>
      </c>
    </row>
    <row r="2165" spans="1:5" x14ac:dyDescent="0.35">
      <c r="A2165" s="40">
        <v>45003</v>
      </c>
      <c r="B2165" s="38">
        <v>-30</v>
      </c>
      <c r="C2165" s="13" t="s">
        <v>3235</v>
      </c>
      <c r="D2165" s="36">
        <v>20523.849999999999</v>
      </c>
      <c r="E2165" s="43" t="s">
        <v>3596</v>
      </c>
    </row>
    <row r="2166" spans="1:5" x14ac:dyDescent="0.35">
      <c r="A2166" s="40">
        <v>45003</v>
      </c>
      <c r="B2166" s="38">
        <v>-15</v>
      </c>
      <c r="C2166" s="13" t="s">
        <v>3234</v>
      </c>
      <c r="D2166" s="36">
        <v>20488.849999999999</v>
      </c>
      <c r="E2166" s="43" t="s">
        <v>3596</v>
      </c>
    </row>
    <row r="2167" spans="1:5" x14ac:dyDescent="0.35">
      <c r="A2167" s="40">
        <v>45003</v>
      </c>
      <c r="B2167" s="38">
        <v>-20</v>
      </c>
      <c r="C2167" s="13" t="s">
        <v>3234</v>
      </c>
      <c r="D2167" s="36">
        <v>20503.849999999999</v>
      </c>
      <c r="E2167" s="43" t="s">
        <v>3596</v>
      </c>
    </row>
    <row r="2168" spans="1:5" x14ac:dyDescent="0.35">
      <c r="A2168" s="40">
        <v>45003</v>
      </c>
      <c r="B2168" s="38">
        <v>-3.83</v>
      </c>
      <c r="C2168" s="13" t="s">
        <v>3239</v>
      </c>
      <c r="D2168" s="36">
        <v>19905.71</v>
      </c>
      <c r="E2168" s="43" t="s">
        <v>3596</v>
      </c>
    </row>
    <row r="2169" spans="1:5" x14ac:dyDescent="0.35">
      <c r="A2169" s="40">
        <v>45003</v>
      </c>
      <c r="B2169" s="38">
        <v>700</v>
      </c>
      <c r="C2169" s="13" t="s">
        <v>3237</v>
      </c>
      <c r="D2169" s="36">
        <v>20603.849999999999</v>
      </c>
      <c r="E2169" s="43" t="s">
        <v>3596</v>
      </c>
    </row>
    <row r="2170" spans="1:5" x14ac:dyDescent="0.35">
      <c r="A2170" s="40">
        <v>45003</v>
      </c>
      <c r="B2170" s="38">
        <v>-1.86</v>
      </c>
      <c r="C2170" s="13" t="s">
        <v>3238</v>
      </c>
      <c r="D2170" s="36">
        <v>19903.849999999999</v>
      </c>
      <c r="E2170" s="43" t="s">
        <v>3596</v>
      </c>
    </row>
    <row r="2171" spans="1:5" x14ac:dyDescent="0.35">
      <c r="A2171" s="40">
        <v>45001</v>
      </c>
      <c r="B2171" s="38">
        <v>-500</v>
      </c>
      <c r="C2171" s="13" t="s">
        <v>1395</v>
      </c>
      <c r="D2171" s="36">
        <v>20028.919999999998</v>
      </c>
      <c r="E2171" s="43" t="s">
        <v>3596</v>
      </c>
    </row>
    <row r="2172" spans="1:5" x14ac:dyDescent="0.35">
      <c r="A2172" s="40">
        <v>45001</v>
      </c>
      <c r="B2172" s="38">
        <v>-20</v>
      </c>
      <c r="C2172" s="13" t="s">
        <v>3232</v>
      </c>
      <c r="D2172" s="36">
        <v>20008.919999999998</v>
      </c>
      <c r="E2172" s="43" t="s">
        <v>3596</v>
      </c>
    </row>
    <row r="2173" spans="1:5" x14ac:dyDescent="0.35">
      <c r="A2173" s="40">
        <v>45001</v>
      </c>
      <c r="B2173" s="38">
        <v>2332.84</v>
      </c>
      <c r="C2173" s="13" t="s">
        <v>3233</v>
      </c>
      <c r="D2173" s="36">
        <v>20528.919999999998</v>
      </c>
      <c r="E2173" s="43" t="s">
        <v>3596</v>
      </c>
    </row>
    <row r="2174" spans="1:5" x14ac:dyDescent="0.35">
      <c r="A2174" s="40">
        <v>45001</v>
      </c>
      <c r="B2174" s="38">
        <v>28.34</v>
      </c>
      <c r="C2174" s="13" t="s">
        <v>3212</v>
      </c>
      <c r="D2174" s="36">
        <v>20037.259999999998</v>
      </c>
      <c r="E2174" s="43" t="s">
        <v>3596</v>
      </c>
    </row>
    <row r="2175" spans="1:5" x14ac:dyDescent="0.35">
      <c r="A2175" s="40">
        <v>45000</v>
      </c>
      <c r="B2175" s="38">
        <v>-13.4</v>
      </c>
      <c r="C2175" s="13" t="s">
        <v>3231</v>
      </c>
      <c r="D2175" s="36">
        <v>18196.080000000002</v>
      </c>
      <c r="E2175" s="43" t="s">
        <v>3596</v>
      </c>
    </row>
    <row r="2176" spans="1:5" x14ac:dyDescent="0.35">
      <c r="A2176" s="40">
        <v>44999</v>
      </c>
      <c r="B2176" s="38">
        <v>-18.2</v>
      </c>
      <c r="C2176" s="13" t="s">
        <v>3230</v>
      </c>
      <c r="D2176" s="36">
        <v>18221.509999999998</v>
      </c>
      <c r="E2176" s="43" t="s">
        <v>3596</v>
      </c>
    </row>
    <row r="2177" spans="1:5" x14ac:dyDescent="0.35">
      <c r="A2177" s="40">
        <v>44999</v>
      </c>
      <c r="B2177" s="38">
        <v>-12.03</v>
      </c>
      <c r="C2177" s="13" t="s">
        <v>2898</v>
      </c>
      <c r="D2177" s="36">
        <v>18209.48</v>
      </c>
      <c r="E2177" s="43" t="s">
        <v>3596</v>
      </c>
    </row>
    <row r="2178" spans="1:5" x14ac:dyDescent="0.35">
      <c r="A2178" s="40">
        <v>44998</v>
      </c>
      <c r="B2178" s="38">
        <v>-8.49</v>
      </c>
      <c r="C2178" s="13" t="s">
        <v>2898</v>
      </c>
      <c r="D2178" s="36">
        <v>18304.32</v>
      </c>
      <c r="E2178" s="43" t="s">
        <v>3596</v>
      </c>
    </row>
    <row r="2179" spans="1:5" x14ac:dyDescent="0.35">
      <c r="A2179" s="40">
        <v>44998</v>
      </c>
      <c r="B2179" s="38">
        <v>-14.5</v>
      </c>
      <c r="C2179" s="13" t="s">
        <v>3111</v>
      </c>
      <c r="D2179" s="36">
        <v>18289.82</v>
      </c>
      <c r="E2179" s="43" t="s">
        <v>3596</v>
      </c>
    </row>
    <row r="2180" spans="1:5" x14ac:dyDescent="0.35">
      <c r="A2180" s="40">
        <v>44998</v>
      </c>
      <c r="B2180" s="38">
        <v>-50.11</v>
      </c>
      <c r="C2180" s="13" t="s">
        <v>2281</v>
      </c>
      <c r="D2180" s="36">
        <v>18239.71</v>
      </c>
      <c r="E2180" s="43" t="s">
        <v>3596</v>
      </c>
    </row>
    <row r="2181" spans="1:5" x14ac:dyDescent="0.35">
      <c r="A2181" s="40">
        <v>44997</v>
      </c>
      <c r="B2181" s="38">
        <v>-16.649999999999999</v>
      </c>
      <c r="C2181" s="13" t="s">
        <v>2465</v>
      </c>
      <c r="D2181" s="36">
        <v>18357.37</v>
      </c>
      <c r="E2181" s="43" t="s">
        <v>3596</v>
      </c>
    </row>
    <row r="2182" spans="1:5" x14ac:dyDescent="0.35">
      <c r="A2182" s="40">
        <v>44997</v>
      </c>
      <c r="B2182" s="38">
        <v>900</v>
      </c>
      <c r="C2182" s="13" t="s">
        <v>3229</v>
      </c>
      <c r="D2182" s="36">
        <v>18374.02</v>
      </c>
      <c r="E2182" s="43" t="s">
        <v>3596</v>
      </c>
    </row>
    <row r="2183" spans="1:5" x14ac:dyDescent="0.35">
      <c r="A2183" s="40">
        <v>44997</v>
      </c>
      <c r="B2183" s="38">
        <v>-44.56</v>
      </c>
      <c r="C2183" s="13" t="s">
        <v>3184</v>
      </c>
      <c r="D2183" s="36">
        <v>18312.810000000001</v>
      </c>
      <c r="E2183" s="43" t="s">
        <v>3596</v>
      </c>
    </row>
    <row r="2184" spans="1:5" x14ac:dyDescent="0.35">
      <c r="A2184" s="40">
        <v>44996</v>
      </c>
      <c r="B2184" s="38">
        <v>-55.14</v>
      </c>
      <c r="C2184" s="13" t="s">
        <v>2281</v>
      </c>
      <c r="D2184" s="36">
        <v>17474.02</v>
      </c>
      <c r="E2184" s="43" t="s">
        <v>3596</v>
      </c>
    </row>
    <row r="2185" spans="1:5" x14ac:dyDescent="0.35">
      <c r="A2185" s="40">
        <v>44995</v>
      </c>
      <c r="B2185" s="38">
        <v>-16.18</v>
      </c>
      <c r="C2185" s="13" t="s">
        <v>3228</v>
      </c>
      <c r="D2185" s="36">
        <v>17529.16</v>
      </c>
      <c r="E2185" s="43" t="s">
        <v>3596</v>
      </c>
    </row>
    <row r="2186" spans="1:5" x14ac:dyDescent="0.35">
      <c r="A2186" s="40">
        <v>44994</v>
      </c>
      <c r="B2186" s="38">
        <v>-32.590000000000003</v>
      </c>
      <c r="C2186" s="13" t="s">
        <v>3198</v>
      </c>
      <c r="D2186" s="36">
        <v>17545.34</v>
      </c>
      <c r="E2186" s="43" t="s">
        <v>3596</v>
      </c>
    </row>
    <row r="2187" spans="1:5" x14ac:dyDescent="0.35">
      <c r="A2187" s="40">
        <v>44991</v>
      </c>
      <c r="B2187" s="38">
        <v>-66.7</v>
      </c>
      <c r="C2187" s="13" t="s">
        <v>3184</v>
      </c>
      <c r="D2187" s="36">
        <v>17577.93</v>
      </c>
      <c r="E2187" s="43" t="s">
        <v>3596</v>
      </c>
    </row>
    <row r="2188" spans="1:5" x14ac:dyDescent="0.35">
      <c r="A2188" s="40">
        <v>44990</v>
      </c>
      <c r="B2188" s="38">
        <v>-17.47</v>
      </c>
      <c r="C2188" s="13" t="s">
        <v>3198</v>
      </c>
      <c r="D2188" s="36">
        <v>17644.63</v>
      </c>
      <c r="E2188" s="43" t="s">
        <v>3596</v>
      </c>
    </row>
    <row r="2189" spans="1:5" x14ac:dyDescent="0.35">
      <c r="A2189" s="40">
        <v>44990</v>
      </c>
      <c r="B2189" s="38">
        <v>-19.64</v>
      </c>
      <c r="C2189" s="13" t="s">
        <v>2281</v>
      </c>
      <c r="D2189" s="36">
        <v>17662.099999999999</v>
      </c>
      <c r="E2189" s="43" t="s">
        <v>3596</v>
      </c>
    </row>
    <row r="2190" spans="1:5" x14ac:dyDescent="0.35">
      <c r="A2190" s="40">
        <v>44989</v>
      </c>
      <c r="B2190" s="38">
        <v>-40.229999999999997</v>
      </c>
      <c r="C2190" s="13" t="s">
        <v>2281</v>
      </c>
      <c r="D2190" s="36">
        <v>17681.740000000002</v>
      </c>
      <c r="E2190" s="43" t="s">
        <v>3596</v>
      </c>
    </row>
    <row r="2191" spans="1:5" x14ac:dyDescent="0.35">
      <c r="A2191" s="40">
        <v>44988</v>
      </c>
      <c r="B2191" s="38">
        <v>-3.93</v>
      </c>
      <c r="C2191" s="13" t="s">
        <v>3227</v>
      </c>
      <c r="D2191" s="36">
        <v>17611.669999999998</v>
      </c>
      <c r="E2191" s="43" t="s">
        <v>3596</v>
      </c>
    </row>
    <row r="2192" spans="1:5" x14ac:dyDescent="0.35">
      <c r="A2192" s="40">
        <v>44988</v>
      </c>
      <c r="B2192" s="38">
        <v>-16</v>
      </c>
      <c r="C2192" s="13" t="s">
        <v>3224</v>
      </c>
      <c r="D2192" s="36">
        <v>17721.97</v>
      </c>
      <c r="E2192" s="43" t="s">
        <v>3596</v>
      </c>
    </row>
    <row r="2193" spans="1:5" x14ac:dyDescent="0.35">
      <c r="A2193" s="40">
        <v>44988</v>
      </c>
      <c r="B2193" s="38">
        <v>145</v>
      </c>
      <c r="C2193" s="13" t="s">
        <v>3226</v>
      </c>
      <c r="D2193" s="36">
        <v>17756.669999999998</v>
      </c>
      <c r="E2193" s="43" t="s">
        <v>3596</v>
      </c>
    </row>
    <row r="2194" spans="1:5" x14ac:dyDescent="0.35">
      <c r="A2194" s="40">
        <v>44988</v>
      </c>
      <c r="B2194" s="38">
        <v>-18.7</v>
      </c>
      <c r="C2194" s="13" t="s">
        <v>3225</v>
      </c>
      <c r="D2194" s="36">
        <v>17737.97</v>
      </c>
      <c r="E2194" s="43" t="s">
        <v>3596</v>
      </c>
    </row>
    <row r="2195" spans="1:5" x14ac:dyDescent="0.35">
      <c r="A2195" s="40">
        <v>44987</v>
      </c>
      <c r="B2195" s="38">
        <v>-500</v>
      </c>
      <c r="C2195" s="13" t="s">
        <v>1395</v>
      </c>
      <c r="D2195" s="36">
        <v>17470.23</v>
      </c>
      <c r="E2195" s="43" t="s">
        <v>3596</v>
      </c>
    </row>
    <row r="2196" spans="1:5" x14ac:dyDescent="0.35">
      <c r="A2196" s="40">
        <v>44987</v>
      </c>
      <c r="B2196" s="38">
        <v>-10.55</v>
      </c>
      <c r="C2196" s="13" t="s">
        <v>3221</v>
      </c>
      <c r="D2196" s="36">
        <v>17439.68</v>
      </c>
      <c r="E2196" s="43" t="s">
        <v>3596</v>
      </c>
    </row>
    <row r="2197" spans="1:5" x14ac:dyDescent="0.35">
      <c r="A2197" s="40">
        <v>44987</v>
      </c>
      <c r="B2197" s="38">
        <v>-20</v>
      </c>
      <c r="C2197" s="13" t="s">
        <v>3222</v>
      </c>
      <c r="D2197" s="36">
        <v>17450.23</v>
      </c>
      <c r="E2197" s="43" t="s">
        <v>3596</v>
      </c>
    </row>
    <row r="2198" spans="1:5" x14ac:dyDescent="0.35">
      <c r="A2198" s="40">
        <v>44987</v>
      </c>
      <c r="B2198" s="38">
        <v>-16.18</v>
      </c>
      <c r="C2198" s="13" t="s">
        <v>3220</v>
      </c>
      <c r="D2198" s="36">
        <v>17423.5</v>
      </c>
      <c r="E2198" s="43" t="s">
        <v>3596</v>
      </c>
    </row>
    <row r="2199" spans="1:5" x14ac:dyDescent="0.35">
      <c r="A2199" s="40">
        <v>44987</v>
      </c>
      <c r="B2199" s="38">
        <v>2332.84</v>
      </c>
      <c r="C2199" s="13" t="s">
        <v>3223</v>
      </c>
      <c r="D2199" s="36">
        <v>17970.23</v>
      </c>
      <c r="E2199" s="43" t="s">
        <v>3596</v>
      </c>
    </row>
    <row r="2200" spans="1:5" x14ac:dyDescent="0.35">
      <c r="A2200" s="40">
        <v>44987</v>
      </c>
      <c r="B2200" s="38">
        <v>-7.9</v>
      </c>
      <c r="C2200" s="13" t="s">
        <v>1584</v>
      </c>
      <c r="D2200" s="36">
        <v>17615.599999999999</v>
      </c>
      <c r="E2200" s="43" t="s">
        <v>3596</v>
      </c>
    </row>
    <row r="2201" spans="1:5" x14ac:dyDescent="0.35">
      <c r="A2201" s="40">
        <v>44987</v>
      </c>
      <c r="B2201" s="38">
        <v>200</v>
      </c>
      <c r="C2201" s="13" t="s">
        <v>3219</v>
      </c>
      <c r="D2201" s="36">
        <v>17623.5</v>
      </c>
      <c r="E2201" s="43" t="s">
        <v>3596</v>
      </c>
    </row>
    <row r="2202" spans="1:5" x14ac:dyDescent="0.35">
      <c r="A2202" s="40">
        <v>44986</v>
      </c>
      <c r="B2202" s="38">
        <v>-186.7</v>
      </c>
      <c r="C2202" s="13" t="s">
        <v>3217</v>
      </c>
      <c r="D2202" s="36">
        <v>15637.39</v>
      </c>
      <c r="E2202" s="43" t="s">
        <v>3596</v>
      </c>
    </row>
    <row r="2203" spans="1:5" x14ac:dyDescent="0.35">
      <c r="A2203" s="40">
        <v>44986</v>
      </c>
      <c r="B2203" s="38">
        <v>3.25</v>
      </c>
      <c r="C2203" s="13" t="s">
        <v>3598</v>
      </c>
      <c r="D2203" s="36">
        <v>2647.69</v>
      </c>
      <c r="E2203" s="43" t="s">
        <v>3604</v>
      </c>
    </row>
    <row r="2204" spans="1:5" x14ac:dyDescent="0.35">
      <c r="A2204" s="40">
        <v>44986</v>
      </c>
      <c r="B2204" s="38">
        <v>-200</v>
      </c>
      <c r="C2204" s="13" t="s">
        <v>3218</v>
      </c>
      <c r="D2204" s="36">
        <v>15824.09</v>
      </c>
      <c r="E2204" s="43" t="s">
        <v>3596</v>
      </c>
    </row>
    <row r="2205" spans="1:5" x14ac:dyDescent="0.35">
      <c r="A2205" s="40">
        <v>44985</v>
      </c>
      <c r="B2205" s="38">
        <v>-5.72</v>
      </c>
      <c r="C2205" s="13" t="s">
        <v>3215</v>
      </c>
      <c r="D2205" s="36">
        <v>16152.55</v>
      </c>
      <c r="E2205" s="43" t="s">
        <v>3596</v>
      </c>
    </row>
    <row r="2206" spans="1:5" x14ac:dyDescent="0.35">
      <c r="A2206" s="40">
        <v>44985</v>
      </c>
      <c r="B2206" s="38">
        <v>-20</v>
      </c>
      <c r="C2206" s="13" t="s">
        <v>3216</v>
      </c>
      <c r="D2206" s="36">
        <v>16158.27</v>
      </c>
      <c r="E2206" s="43" t="s">
        <v>3596</v>
      </c>
    </row>
    <row r="2207" spans="1:5" x14ac:dyDescent="0.35">
      <c r="A2207" s="40">
        <v>44985</v>
      </c>
      <c r="B2207" s="38">
        <v>-14.5</v>
      </c>
      <c r="C2207" s="13" t="s">
        <v>3111</v>
      </c>
      <c r="D2207" s="36">
        <v>16052.94</v>
      </c>
      <c r="E2207" s="43" t="s">
        <v>3596</v>
      </c>
    </row>
    <row r="2208" spans="1:5" x14ac:dyDescent="0.35">
      <c r="A2208" s="40">
        <v>44985</v>
      </c>
      <c r="B2208" s="38">
        <v>-3.5</v>
      </c>
      <c r="C2208" s="13" t="s">
        <v>2281</v>
      </c>
      <c r="D2208" s="36">
        <v>16049.44</v>
      </c>
      <c r="E2208" s="43" t="s">
        <v>3596</v>
      </c>
    </row>
    <row r="2209" spans="1:5" x14ac:dyDescent="0.35">
      <c r="A2209" s="40">
        <v>44985</v>
      </c>
      <c r="B2209" s="38">
        <v>-25.35</v>
      </c>
      <c r="C2209" s="13" t="s">
        <v>3184</v>
      </c>
      <c r="D2209" s="36">
        <v>16024.09</v>
      </c>
      <c r="E2209" s="43" t="s">
        <v>3596</v>
      </c>
    </row>
    <row r="2210" spans="1:5" x14ac:dyDescent="0.35">
      <c r="A2210" s="40">
        <v>44985</v>
      </c>
      <c r="B2210" s="38">
        <v>-40</v>
      </c>
      <c r="C2210" s="13" t="s">
        <v>3213</v>
      </c>
      <c r="D2210" s="36">
        <v>16067.44</v>
      </c>
      <c r="E2210" s="43" t="s">
        <v>3596</v>
      </c>
    </row>
    <row r="2211" spans="1:5" x14ac:dyDescent="0.35">
      <c r="A2211" s="40">
        <v>44985</v>
      </c>
      <c r="B2211" s="38">
        <v>-45.11</v>
      </c>
      <c r="C2211" s="13" t="s">
        <v>3214</v>
      </c>
      <c r="D2211" s="36">
        <v>16107.44</v>
      </c>
      <c r="E2211" s="43" t="s">
        <v>3596</v>
      </c>
    </row>
    <row r="2212" spans="1:5" x14ac:dyDescent="0.35">
      <c r="A2212" s="40">
        <v>44984</v>
      </c>
      <c r="B2212" s="38">
        <v>-3.76</v>
      </c>
      <c r="C2212" s="13" t="s">
        <v>2360</v>
      </c>
      <c r="D2212" s="36">
        <v>16169.78</v>
      </c>
      <c r="E2212" s="43" t="s">
        <v>3596</v>
      </c>
    </row>
    <row r="2213" spans="1:5" x14ac:dyDescent="0.35">
      <c r="A2213" s="40">
        <v>44984</v>
      </c>
      <c r="B2213" s="38">
        <v>8.49</v>
      </c>
      <c r="C2213" s="13" t="s">
        <v>3212</v>
      </c>
      <c r="D2213" s="36">
        <v>16178.27</v>
      </c>
      <c r="E2213" s="43" t="s">
        <v>3596</v>
      </c>
    </row>
    <row r="2214" spans="1:5" x14ac:dyDescent="0.35">
      <c r="A2214" s="40">
        <v>44983</v>
      </c>
      <c r="B2214" s="38">
        <v>-7.99</v>
      </c>
      <c r="C2214" s="13" t="s">
        <v>2360</v>
      </c>
      <c r="D2214" s="36">
        <v>16173.54</v>
      </c>
      <c r="E2214" s="43" t="s">
        <v>3596</v>
      </c>
    </row>
    <row r="2215" spans="1:5" x14ac:dyDescent="0.35">
      <c r="A2215" s="40">
        <v>44983</v>
      </c>
      <c r="B2215" s="38">
        <v>-63.52</v>
      </c>
      <c r="C2215" s="13" t="s">
        <v>2281</v>
      </c>
      <c r="D2215" s="36">
        <v>16181.53</v>
      </c>
      <c r="E2215" s="43" t="s">
        <v>3596</v>
      </c>
    </row>
    <row r="2216" spans="1:5" x14ac:dyDescent="0.35">
      <c r="A2216" s="40">
        <v>44982</v>
      </c>
      <c r="B2216" s="38">
        <v>-23.19</v>
      </c>
      <c r="C2216" s="13" t="s">
        <v>3211</v>
      </c>
      <c r="D2216" s="36">
        <v>16466.73</v>
      </c>
      <c r="E2216" s="43" t="s">
        <v>3596</v>
      </c>
    </row>
    <row r="2217" spans="1:5" x14ac:dyDescent="0.35">
      <c r="A2217" s="40">
        <v>44982</v>
      </c>
      <c r="B2217" s="38">
        <v>-12.7</v>
      </c>
      <c r="C2217" s="13" t="s">
        <v>2976</v>
      </c>
      <c r="D2217" s="36">
        <v>16245.05</v>
      </c>
      <c r="E2217" s="43" t="s">
        <v>3596</v>
      </c>
    </row>
    <row r="2218" spans="1:5" x14ac:dyDescent="0.35">
      <c r="A2218" s="40">
        <v>44982</v>
      </c>
      <c r="B2218" s="38">
        <v>-9.99</v>
      </c>
      <c r="C2218" s="13" t="s">
        <v>2360</v>
      </c>
      <c r="D2218" s="36">
        <v>16257.75</v>
      </c>
      <c r="E2218" s="43" t="s">
        <v>3596</v>
      </c>
    </row>
    <row r="2219" spans="1:5" x14ac:dyDescent="0.35">
      <c r="A2219" s="40">
        <v>44982</v>
      </c>
      <c r="B2219" s="38">
        <v>-8.4</v>
      </c>
      <c r="C2219" s="13" t="s">
        <v>2281</v>
      </c>
      <c r="D2219" s="36">
        <v>16267.74</v>
      </c>
      <c r="E2219" s="43" t="s">
        <v>3596</v>
      </c>
    </row>
    <row r="2220" spans="1:5" x14ac:dyDescent="0.35">
      <c r="A2220" s="40">
        <v>44982</v>
      </c>
      <c r="B2220" s="38">
        <v>-190.59</v>
      </c>
      <c r="C2220" s="13" t="s">
        <v>3210</v>
      </c>
      <c r="D2220" s="36">
        <v>16276.14</v>
      </c>
      <c r="E2220" s="43" t="s">
        <v>3596</v>
      </c>
    </row>
    <row r="2221" spans="1:5" x14ac:dyDescent="0.35">
      <c r="A2221" s="40">
        <v>44981</v>
      </c>
      <c r="B2221" s="38">
        <v>-33.68</v>
      </c>
      <c r="C2221" s="13" t="s">
        <v>2281</v>
      </c>
      <c r="D2221" s="36">
        <v>16489.919999999998</v>
      </c>
      <c r="E2221" s="43" t="s">
        <v>3596</v>
      </c>
    </row>
    <row r="2222" spans="1:5" x14ac:dyDescent="0.35">
      <c r="A2222" s="40">
        <v>44980</v>
      </c>
      <c r="B2222" s="38">
        <v>-9.65</v>
      </c>
      <c r="C2222" s="13" t="s">
        <v>3209</v>
      </c>
      <c r="D2222" s="36">
        <v>16523.599999999999</v>
      </c>
      <c r="E2222" s="43" t="s">
        <v>3596</v>
      </c>
    </row>
    <row r="2223" spans="1:5" x14ac:dyDescent="0.35">
      <c r="A2223" s="40">
        <v>44980</v>
      </c>
      <c r="B2223" s="38">
        <v>20</v>
      </c>
      <c r="C2223" s="13" t="s">
        <v>3207</v>
      </c>
      <c r="D2223" s="36">
        <v>16523.599999999999</v>
      </c>
      <c r="E2223" s="43" t="s">
        <v>3596</v>
      </c>
    </row>
    <row r="2224" spans="1:5" x14ac:dyDescent="0.35">
      <c r="A2224" s="40">
        <v>44980</v>
      </c>
      <c r="B2224" s="38">
        <v>-20</v>
      </c>
      <c r="C2224" s="13" t="s">
        <v>3208</v>
      </c>
      <c r="D2224" s="36">
        <v>16503.599999999999</v>
      </c>
      <c r="E2224" s="43" t="s">
        <v>3596</v>
      </c>
    </row>
    <row r="2225" spans="1:5" x14ac:dyDescent="0.35">
      <c r="A2225" s="40">
        <v>44979</v>
      </c>
      <c r="B2225" s="38">
        <v>-12.05</v>
      </c>
      <c r="C2225" s="13" t="s">
        <v>1584</v>
      </c>
      <c r="D2225" s="36">
        <v>16533.25</v>
      </c>
      <c r="E2225" s="43" t="s">
        <v>3596</v>
      </c>
    </row>
    <row r="2226" spans="1:5" x14ac:dyDescent="0.35">
      <c r="A2226" s="40">
        <v>44978</v>
      </c>
      <c r="B2226" s="38">
        <v>-37.130000000000003</v>
      </c>
      <c r="C2226" s="13" t="s">
        <v>3204</v>
      </c>
      <c r="D2226" s="36">
        <v>16699.5</v>
      </c>
      <c r="E2226" s="43" t="s">
        <v>3596</v>
      </c>
    </row>
    <row r="2227" spans="1:5" x14ac:dyDescent="0.35">
      <c r="A2227" s="40">
        <v>44978</v>
      </c>
      <c r="B2227" s="38">
        <v>-2.75</v>
      </c>
      <c r="C2227" s="13" t="s">
        <v>3206</v>
      </c>
      <c r="D2227" s="36">
        <v>16769.03</v>
      </c>
      <c r="E2227" s="43" t="s">
        <v>3596</v>
      </c>
    </row>
    <row r="2228" spans="1:5" x14ac:dyDescent="0.35">
      <c r="A2228" s="40">
        <v>44978</v>
      </c>
      <c r="B2228" s="38">
        <v>-145</v>
      </c>
      <c r="C2228" s="13" t="s">
        <v>3203</v>
      </c>
      <c r="D2228" s="36">
        <v>16554.5</v>
      </c>
      <c r="E2228" s="43" t="s">
        <v>3596</v>
      </c>
    </row>
    <row r="2229" spans="1:5" x14ac:dyDescent="0.35">
      <c r="A2229" s="40">
        <v>44978</v>
      </c>
      <c r="B2229" s="38">
        <v>-32.4</v>
      </c>
      <c r="C2229" s="13" t="s">
        <v>3205</v>
      </c>
      <c r="D2229" s="36">
        <v>16736.63</v>
      </c>
      <c r="E2229" s="43" t="s">
        <v>3596</v>
      </c>
    </row>
    <row r="2230" spans="1:5" x14ac:dyDescent="0.35">
      <c r="A2230" s="40">
        <v>44978</v>
      </c>
      <c r="B2230" s="38">
        <v>-9.1999999999999993</v>
      </c>
      <c r="C2230" s="13" t="s">
        <v>3202</v>
      </c>
      <c r="D2230" s="36">
        <v>16545.3</v>
      </c>
      <c r="E2230" s="43" t="s">
        <v>3596</v>
      </c>
    </row>
    <row r="2231" spans="1:5" x14ac:dyDescent="0.35">
      <c r="A2231" s="40">
        <v>44977</v>
      </c>
      <c r="B2231" s="38">
        <v>-24.29</v>
      </c>
      <c r="C2231" s="13" t="s">
        <v>3184</v>
      </c>
      <c r="D2231" s="36">
        <v>16771.78</v>
      </c>
      <c r="E2231" s="43" t="s">
        <v>3596</v>
      </c>
    </row>
    <row r="2232" spans="1:5" x14ac:dyDescent="0.35">
      <c r="A2232" s="40">
        <v>44977</v>
      </c>
      <c r="B2232" s="38">
        <v>-24.04</v>
      </c>
      <c r="C2232" s="13" t="s">
        <v>1481</v>
      </c>
      <c r="D2232" s="36">
        <v>16796.07</v>
      </c>
      <c r="E2232" s="43" t="s">
        <v>3596</v>
      </c>
    </row>
    <row r="2233" spans="1:5" x14ac:dyDescent="0.35">
      <c r="A2233" s="40">
        <v>44976</v>
      </c>
      <c r="B2233" s="38">
        <v>-9.44</v>
      </c>
      <c r="C2233" s="13" t="s">
        <v>3184</v>
      </c>
      <c r="D2233" s="36">
        <v>16826.11</v>
      </c>
      <c r="E2233" s="43" t="s">
        <v>3596</v>
      </c>
    </row>
    <row r="2234" spans="1:5" x14ac:dyDescent="0.35">
      <c r="A2234" s="40">
        <v>44976</v>
      </c>
      <c r="B2234" s="38">
        <v>-6</v>
      </c>
      <c r="C2234" s="13" t="s">
        <v>2691</v>
      </c>
      <c r="D2234" s="36">
        <v>16820.11</v>
      </c>
      <c r="E2234" s="43" t="s">
        <v>3596</v>
      </c>
    </row>
    <row r="2235" spans="1:5" x14ac:dyDescent="0.35">
      <c r="A2235" s="40">
        <v>44975</v>
      </c>
      <c r="B2235" s="38">
        <v>-23.19</v>
      </c>
      <c r="C2235" s="13" t="s">
        <v>3200</v>
      </c>
      <c r="D2235" s="36">
        <v>16873.68</v>
      </c>
      <c r="E2235" s="43" t="s">
        <v>3596</v>
      </c>
    </row>
    <row r="2236" spans="1:5" x14ac:dyDescent="0.35">
      <c r="A2236" s="40">
        <v>44975</v>
      </c>
      <c r="B2236" s="38">
        <v>-9.65</v>
      </c>
      <c r="C2236" s="13" t="s">
        <v>3201</v>
      </c>
      <c r="D2236" s="36">
        <v>16896.87</v>
      </c>
      <c r="E2236" s="43" t="s">
        <v>3596</v>
      </c>
    </row>
    <row r="2237" spans="1:5" x14ac:dyDescent="0.35">
      <c r="A2237" s="40">
        <v>44975</v>
      </c>
      <c r="B2237" s="38">
        <v>-38.130000000000003</v>
      </c>
      <c r="C2237" s="13" t="s">
        <v>2269</v>
      </c>
      <c r="D2237" s="36">
        <v>16835.55</v>
      </c>
      <c r="E2237" s="43" t="s">
        <v>3596</v>
      </c>
    </row>
    <row r="2238" spans="1:5" x14ac:dyDescent="0.35">
      <c r="A2238" s="40">
        <v>44974</v>
      </c>
      <c r="B2238" s="38">
        <v>-9.65</v>
      </c>
      <c r="C2238" s="13" t="s">
        <v>3199</v>
      </c>
      <c r="D2238" s="36">
        <v>17030.79</v>
      </c>
      <c r="E2238" s="43" t="s">
        <v>3596</v>
      </c>
    </row>
    <row r="2239" spans="1:5" x14ac:dyDescent="0.35">
      <c r="A2239" s="40">
        <v>44974</v>
      </c>
      <c r="B2239" s="38">
        <v>-149</v>
      </c>
      <c r="C2239" s="13" t="s">
        <v>3197</v>
      </c>
      <c r="D2239" s="36">
        <v>16869.02</v>
      </c>
      <c r="E2239" s="43" t="s">
        <v>3596</v>
      </c>
    </row>
    <row r="2240" spans="1:5" x14ac:dyDescent="0.35">
      <c r="A2240" s="40">
        <v>44974</v>
      </c>
      <c r="B2240" s="38">
        <v>-12.77</v>
      </c>
      <c r="C2240" s="13" t="s">
        <v>3198</v>
      </c>
      <c r="D2240" s="36">
        <v>17018.02</v>
      </c>
      <c r="E2240" s="43" t="s">
        <v>3596</v>
      </c>
    </row>
    <row r="2241" spans="1:5" x14ac:dyDescent="0.35">
      <c r="A2241" s="40">
        <v>44974</v>
      </c>
      <c r="B2241" s="38">
        <v>37.5</v>
      </c>
      <c r="C2241" s="13" t="s">
        <v>3196</v>
      </c>
      <c r="D2241" s="36">
        <v>16906.52</v>
      </c>
      <c r="E2241" s="43" t="s">
        <v>3596</v>
      </c>
    </row>
    <row r="2242" spans="1:5" x14ac:dyDescent="0.35">
      <c r="A2242" s="40">
        <v>44973</v>
      </c>
      <c r="B2242" s="38">
        <v>-500</v>
      </c>
      <c r="C2242" s="13" t="s">
        <v>1395</v>
      </c>
      <c r="D2242" s="36">
        <v>17134.259999999998</v>
      </c>
      <c r="E2242" s="43" t="s">
        <v>3596</v>
      </c>
    </row>
    <row r="2243" spans="1:5" x14ac:dyDescent="0.35">
      <c r="A2243" s="40">
        <v>44973</v>
      </c>
      <c r="B2243" s="38">
        <v>-9.65</v>
      </c>
      <c r="C2243" s="13" t="s">
        <v>3194</v>
      </c>
      <c r="D2243" s="36">
        <v>17124.61</v>
      </c>
      <c r="E2243" s="43" t="s">
        <v>3596</v>
      </c>
    </row>
    <row r="2244" spans="1:5" x14ac:dyDescent="0.35">
      <c r="A2244" s="40">
        <v>44973</v>
      </c>
      <c r="B2244" s="38">
        <v>-69</v>
      </c>
      <c r="C2244" s="13" t="s">
        <v>3193</v>
      </c>
      <c r="D2244" s="36">
        <v>17055.61</v>
      </c>
      <c r="E2244" s="43" t="s">
        <v>3596</v>
      </c>
    </row>
    <row r="2245" spans="1:5" x14ac:dyDescent="0.35">
      <c r="A2245" s="40">
        <v>44973</v>
      </c>
      <c r="B2245" s="38">
        <v>-15.17</v>
      </c>
      <c r="C2245" s="13" t="s">
        <v>3192</v>
      </c>
      <c r="D2245" s="36">
        <v>17040.439999999999</v>
      </c>
      <c r="E2245" s="43" t="s">
        <v>3596</v>
      </c>
    </row>
    <row r="2246" spans="1:5" x14ac:dyDescent="0.35">
      <c r="A2246" s="40">
        <v>44973</v>
      </c>
      <c r="B2246" s="38">
        <v>2332.84</v>
      </c>
      <c r="C2246" s="13" t="s">
        <v>3195</v>
      </c>
      <c r="D2246" s="36">
        <v>17634.259999999998</v>
      </c>
      <c r="E2246" s="43" t="s">
        <v>3596</v>
      </c>
    </row>
    <row r="2247" spans="1:5" x14ac:dyDescent="0.35">
      <c r="A2247" s="40">
        <v>44972</v>
      </c>
      <c r="B2247" s="38">
        <v>-20</v>
      </c>
      <c r="C2247" s="13" t="s">
        <v>3188</v>
      </c>
      <c r="D2247" s="36">
        <v>15307.42</v>
      </c>
      <c r="E2247" s="43" t="s">
        <v>3596</v>
      </c>
    </row>
    <row r="2248" spans="1:5" x14ac:dyDescent="0.35">
      <c r="A2248" s="40">
        <v>44972</v>
      </c>
      <c r="B2248" s="38">
        <v>-15.92</v>
      </c>
      <c r="C2248" s="13" t="s">
        <v>3190</v>
      </c>
      <c r="D2248" s="36">
        <v>15327.9</v>
      </c>
      <c r="E2248" s="43" t="s">
        <v>3596</v>
      </c>
    </row>
    <row r="2249" spans="1:5" x14ac:dyDescent="0.35">
      <c r="A2249" s="40">
        <v>44972</v>
      </c>
      <c r="B2249" s="38">
        <v>-0.48</v>
      </c>
      <c r="C2249" s="13" t="s">
        <v>3189</v>
      </c>
      <c r="D2249" s="36">
        <v>15327.42</v>
      </c>
      <c r="E2249" s="43" t="s">
        <v>3596</v>
      </c>
    </row>
    <row r="2250" spans="1:5" x14ac:dyDescent="0.35">
      <c r="A2250" s="40">
        <v>44972</v>
      </c>
      <c r="B2250" s="38">
        <v>-6</v>
      </c>
      <c r="C2250" s="13" t="s">
        <v>2360</v>
      </c>
      <c r="D2250" s="36">
        <v>15301.42</v>
      </c>
      <c r="E2250" s="43" t="s">
        <v>3596</v>
      </c>
    </row>
    <row r="2251" spans="1:5" x14ac:dyDescent="0.35">
      <c r="A2251" s="40">
        <v>44972</v>
      </c>
      <c r="B2251" s="38">
        <v>-34.99</v>
      </c>
      <c r="C2251" s="13" t="s">
        <v>3191</v>
      </c>
      <c r="D2251" s="36">
        <v>15343.82</v>
      </c>
      <c r="E2251" s="43" t="s">
        <v>3596</v>
      </c>
    </row>
    <row r="2252" spans="1:5" x14ac:dyDescent="0.35">
      <c r="A2252" s="40">
        <v>44971</v>
      </c>
      <c r="B2252" s="38">
        <v>-44.99</v>
      </c>
      <c r="C2252" s="13" t="s">
        <v>3187</v>
      </c>
      <c r="D2252" s="36">
        <v>15457.41</v>
      </c>
      <c r="E2252" s="43" t="s">
        <v>3596</v>
      </c>
    </row>
    <row r="2253" spans="1:5" x14ac:dyDescent="0.35">
      <c r="A2253" s="40">
        <v>44971</v>
      </c>
      <c r="B2253" s="38">
        <v>-26.71</v>
      </c>
      <c r="C2253" s="13" t="s">
        <v>3187</v>
      </c>
      <c r="D2253" s="36">
        <v>15502.4</v>
      </c>
      <c r="E2253" s="43" t="s">
        <v>3596</v>
      </c>
    </row>
    <row r="2254" spans="1:5" x14ac:dyDescent="0.35">
      <c r="A2254" s="40">
        <v>44971</v>
      </c>
      <c r="B2254" s="38">
        <v>-43.52</v>
      </c>
      <c r="C2254" s="13" t="s">
        <v>3186</v>
      </c>
      <c r="D2254" s="36">
        <v>15413.89</v>
      </c>
      <c r="E2254" s="43" t="s">
        <v>3596</v>
      </c>
    </row>
    <row r="2255" spans="1:5" x14ac:dyDescent="0.35">
      <c r="A2255" s="40">
        <v>44971</v>
      </c>
      <c r="B2255" s="38">
        <v>-17.579999999999998</v>
      </c>
      <c r="C2255" s="13" t="s">
        <v>2360</v>
      </c>
      <c r="D2255" s="36">
        <v>15378.81</v>
      </c>
      <c r="E2255" s="43" t="s">
        <v>3596</v>
      </c>
    </row>
    <row r="2256" spans="1:5" x14ac:dyDescent="0.35">
      <c r="A2256" s="40">
        <v>44971</v>
      </c>
      <c r="B2256" s="38">
        <v>-17.5</v>
      </c>
      <c r="C2256" s="13" t="s">
        <v>3185</v>
      </c>
      <c r="D2256" s="36">
        <v>15396.39</v>
      </c>
      <c r="E2256" s="43" t="s">
        <v>3596</v>
      </c>
    </row>
    <row r="2257" spans="1:5" x14ac:dyDescent="0.35">
      <c r="A2257" s="40">
        <v>44969</v>
      </c>
      <c r="B2257" s="38">
        <v>-17.5</v>
      </c>
      <c r="C2257" s="13" t="s">
        <v>3184</v>
      </c>
      <c r="D2257" s="36">
        <v>15529.11</v>
      </c>
      <c r="E2257" s="43" t="s">
        <v>3596</v>
      </c>
    </row>
    <row r="2258" spans="1:5" x14ac:dyDescent="0.35">
      <c r="A2258" s="40">
        <v>44969</v>
      </c>
      <c r="B2258" s="38">
        <v>-0.59</v>
      </c>
      <c r="C2258" s="13" t="s">
        <v>3184</v>
      </c>
      <c r="D2258" s="36">
        <v>15546.61</v>
      </c>
      <c r="E2258" s="43" t="s">
        <v>3596</v>
      </c>
    </row>
    <row r="2259" spans="1:5" x14ac:dyDescent="0.35">
      <c r="A2259" s="40">
        <v>44968</v>
      </c>
      <c r="B2259" s="38">
        <v>-9.65</v>
      </c>
      <c r="C2259" s="13" t="s">
        <v>3183</v>
      </c>
      <c r="D2259" s="36">
        <v>15574.73</v>
      </c>
      <c r="E2259" s="43" t="s">
        <v>3596</v>
      </c>
    </row>
    <row r="2260" spans="1:5" x14ac:dyDescent="0.35">
      <c r="A2260" s="40">
        <v>44968</v>
      </c>
      <c r="B2260" s="38">
        <v>-27.53</v>
      </c>
      <c r="C2260" s="13" t="s">
        <v>2269</v>
      </c>
      <c r="D2260" s="36">
        <v>15547.2</v>
      </c>
      <c r="E2260" s="43" t="s">
        <v>3596</v>
      </c>
    </row>
    <row r="2261" spans="1:5" x14ac:dyDescent="0.35">
      <c r="A2261" s="40">
        <v>44967</v>
      </c>
      <c r="B2261" s="38">
        <v>-26.02</v>
      </c>
      <c r="C2261" s="13" t="s">
        <v>3182</v>
      </c>
      <c r="D2261" s="36">
        <v>15608.72</v>
      </c>
      <c r="E2261" s="43" t="s">
        <v>3596</v>
      </c>
    </row>
    <row r="2262" spans="1:5" x14ac:dyDescent="0.35">
      <c r="A2262" s="40">
        <v>44967</v>
      </c>
      <c r="B2262" s="38">
        <v>-9.65</v>
      </c>
      <c r="C2262" s="13" t="s">
        <v>3183</v>
      </c>
      <c r="D2262" s="36">
        <v>15639.79</v>
      </c>
      <c r="E2262" s="43" t="s">
        <v>3596</v>
      </c>
    </row>
    <row r="2263" spans="1:5" x14ac:dyDescent="0.35">
      <c r="A2263" s="40">
        <v>44967</v>
      </c>
      <c r="B2263" s="38">
        <v>-5.05</v>
      </c>
      <c r="C2263" s="13" t="s">
        <v>3180</v>
      </c>
      <c r="D2263" s="36">
        <v>15634.74</v>
      </c>
      <c r="E2263" s="43" t="s">
        <v>3596</v>
      </c>
    </row>
    <row r="2264" spans="1:5" x14ac:dyDescent="0.35">
      <c r="A2264" s="40">
        <v>44967</v>
      </c>
      <c r="B2264" s="38">
        <v>-15.14</v>
      </c>
      <c r="C2264" s="13" t="s">
        <v>2360</v>
      </c>
      <c r="D2264" s="36">
        <v>15584.38</v>
      </c>
      <c r="E2264" s="43" t="s">
        <v>3596</v>
      </c>
    </row>
    <row r="2265" spans="1:5" x14ac:dyDescent="0.35">
      <c r="A2265" s="40">
        <v>44967</v>
      </c>
      <c r="B2265" s="38">
        <v>-9.1999999999999993</v>
      </c>
      <c r="C2265" s="13" t="s">
        <v>3181</v>
      </c>
      <c r="D2265" s="36">
        <v>15599.52</v>
      </c>
      <c r="E2265" s="43" t="s">
        <v>3596</v>
      </c>
    </row>
    <row r="2266" spans="1:5" x14ac:dyDescent="0.35">
      <c r="A2266" s="40">
        <v>44966</v>
      </c>
      <c r="B2266" s="38">
        <v>-10.039999999999999</v>
      </c>
      <c r="C2266" s="13" t="s">
        <v>3180</v>
      </c>
      <c r="D2266" s="36">
        <v>15665.62</v>
      </c>
      <c r="E2266" s="43" t="s">
        <v>3596</v>
      </c>
    </row>
    <row r="2267" spans="1:5" x14ac:dyDescent="0.35">
      <c r="A2267" s="40">
        <v>44966</v>
      </c>
      <c r="B2267" s="38">
        <v>-16.18</v>
      </c>
      <c r="C2267" s="13" t="s">
        <v>3179</v>
      </c>
      <c r="D2267" s="36">
        <v>15649.44</v>
      </c>
      <c r="E2267" s="43" t="s">
        <v>3596</v>
      </c>
    </row>
    <row r="2268" spans="1:5" x14ac:dyDescent="0.35">
      <c r="A2268" s="40">
        <v>44965</v>
      </c>
      <c r="B2268" s="38">
        <v>700</v>
      </c>
      <c r="C2268" s="13" t="s">
        <v>3177</v>
      </c>
      <c r="D2268" s="36">
        <v>15675.66</v>
      </c>
      <c r="E2268" s="43" t="s">
        <v>3596</v>
      </c>
    </row>
    <row r="2269" spans="1:5" x14ac:dyDescent="0.35">
      <c r="A2269" s="40">
        <v>44965</v>
      </c>
      <c r="B2269" s="38">
        <v>-43.35</v>
      </c>
      <c r="C2269" s="13" t="s">
        <v>3178</v>
      </c>
      <c r="D2269" s="36">
        <v>14975.66</v>
      </c>
      <c r="E2269" s="43" t="s">
        <v>3596</v>
      </c>
    </row>
    <row r="2270" spans="1:5" x14ac:dyDescent="0.35">
      <c r="A2270" s="40">
        <v>44964</v>
      </c>
      <c r="B2270" s="38">
        <v>-25.3</v>
      </c>
      <c r="C2270" s="13" t="s">
        <v>3174</v>
      </c>
      <c r="D2270" s="36">
        <v>15043.05</v>
      </c>
      <c r="E2270" s="43" t="s">
        <v>3596</v>
      </c>
    </row>
    <row r="2271" spans="1:5" x14ac:dyDescent="0.35">
      <c r="A2271" s="40">
        <v>44964</v>
      </c>
      <c r="B2271" s="38">
        <v>-10.99</v>
      </c>
      <c r="C2271" s="13" t="s">
        <v>3175</v>
      </c>
      <c r="D2271" s="36">
        <v>15068.35</v>
      </c>
      <c r="E2271" s="43" t="s">
        <v>3596</v>
      </c>
    </row>
    <row r="2272" spans="1:5" x14ac:dyDescent="0.35">
      <c r="A2272" s="40">
        <v>44964</v>
      </c>
      <c r="B2272" s="38">
        <v>-42.6</v>
      </c>
      <c r="C2272" s="13" t="s">
        <v>3176</v>
      </c>
      <c r="D2272" s="36">
        <v>15079.34</v>
      </c>
      <c r="E2272" s="43" t="s">
        <v>3596</v>
      </c>
    </row>
    <row r="2273" spans="1:5" x14ac:dyDescent="0.35">
      <c r="A2273" s="40">
        <v>44964</v>
      </c>
      <c r="B2273" s="38">
        <v>-24.04</v>
      </c>
      <c r="C2273" s="13" t="s">
        <v>1481</v>
      </c>
      <c r="D2273" s="36">
        <v>15019.01</v>
      </c>
      <c r="E2273" s="43" t="s">
        <v>3596</v>
      </c>
    </row>
    <row r="2274" spans="1:5" x14ac:dyDescent="0.35">
      <c r="A2274" s="40">
        <v>44963</v>
      </c>
      <c r="B2274" s="38">
        <v>-12.94</v>
      </c>
      <c r="C2274" s="13" t="s">
        <v>2360</v>
      </c>
      <c r="D2274" s="36">
        <v>15121.94</v>
      </c>
      <c r="E2274" s="43" t="s">
        <v>3596</v>
      </c>
    </row>
    <row r="2275" spans="1:5" x14ac:dyDescent="0.35">
      <c r="A2275" s="40">
        <v>44963</v>
      </c>
      <c r="B2275" s="38">
        <v>-337.12</v>
      </c>
      <c r="C2275" s="13" t="s">
        <v>3173</v>
      </c>
      <c r="D2275" s="36">
        <v>15134.88</v>
      </c>
      <c r="E2275" s="43" t="s">
        <v>3596</v>
      </c>
    </row>
    <row r="2276" spans="1:5" x14ac:dyDescent="0.35">
      <c r="A2276" s="40">
        <v>44961</v>
      </c>
      <c r="B2276" s="38">
        <v>-9.65</v>
      </c>
      <c r="C2276" s="13" t="s">
        <v>3172</v>
      </c>
      <c r="D2276" s="36">
        <v>15486</v>
      </c>
      <c r="E2276" s="43" t="s">
        <v>3596</v>
      </c>
    </row>
    <row r="2277" spans="1:5" x14ac:dyDescent="0.35">
      <c r="A2277" s="40">
        <v>44961</v>
      </c>
      <c r="B2277" s="38">
        <v>-14</v>
      </c>
      <c r="C2277" s="13" t="s">
        <v>2691</v>
      </c>
      <c r="D2277" s="36">
        <v>15472</v>
      </c>
      <c r="E2277" s="43" t="s">
        <v>3596</v>
      </c>
    </row>
    <row r="2278" spans="1:5" x14ac:dyDescent="0.35">
      <c r="A2278" s="40">
        <v>44960</v>
      </c>
      <c r="B2278" s="38">
        <v>-9.65</v>
      </c>
      <c r="C2278" s="13" t="s">
        <v>3171</v>
      </c>
      <c r="D2278" s="36">
        <v>15918.82</v>
      </c>
      <c r="E2278" s="43" t="s">
        <v>3596</v>
      </c>
    </row>
    <row r="2279" spans="1:5" x14ac:dyDescent="0.35">
      <c r="A2279" s="40">
        <v>44960</v>
      </c>
      <c r="B2279" s="38">
        <v>-18.7</v>
      </c>
      <c r="C2279" s="13" t="s">
        <v>3169</v>
      </c>
      <c r="D2279" s="36">
        <v>15890</v>
      </c>
      <c r="E2279" s="43" t="s">
        <v>3596</v>
      </c>
    </row>
    <row r="2280" spans="1:5" x14ac:dyDescent="0.35">
      <c r="A2280" s="40">
        <v>44960</v>
      </c>
      <c r="B2280" s="38">
        <v>-315</v>
      </c>
      <c r="C2280" s="13" t="s">
        <v>3168</v>
      </c>
      <c r="D2280" s="36">
        <v>15575</v>
      </c>
      <c r="E2280" s="43" t="s">
        <v>3596</v>
      </c>
    </row>
    <row r="2281" spans="1:5" x14ac:dyDescent="0.35">
      <c r="A2281" s="40">
        <v>44960</v>
      </c>
      <c r="B2281" s="38">
        <v>-10.119999999999999</v>
      </c>
      <c r="C2281" s="13" t="s">
        <v>3170</v>
      </c>
      <c r="D2281" s="36">
        <v>15908.7</v>
      </c>
      <c r="E2281" s="43" t="s">
        <v>3596</v>
      </c>
    </row>
    <row r="2282" spans="1:5" x14ac:dyDescent="0.35">
      <c r="A2282" s="40">
        <v>44960</v>
      </c>
      <c r="B2282" s="38">
        <v>-80</v>
      </c>
      <c r="C2282" s="13" t="s">
        <v>3167</v>
      </c>
      <c r="D2282" s="36">
        <v>15495</v>
      </c>
      <c r="E2282" s="43" t="s">
        <v>3596</v>
      </c>
    </row>
    <row r="2283" spans="1:5" x14ac:dyDescent="0.35">
      <c r="A2283" s="40">
        <v>44960</v>
      </c>
      <c r="B2283" s="38">
        <v>-39.1</v>
      </c>
      <c r="C2283" s="13" t="s">
        <v>2269</v>
      </c>
      <c r="D2283" s="36">
        <v>15455.9</v>
      </c>
      <c r="E2283" s="43" t="s">
        <v>3596</v>
      </c>
    </row>
    <row r="2284" spans="1:5" x14ac:dyDescent="0.35">
      <c r="A2284" s="40">
        <v>44960</v>
      </c>
      <c r="B2284" s="38">
        <v>39.75</v>
      </c>
      <c r="C2284" s="13" t="s">
        <v>3166</v>
      </c>
      <c r="D2284" s="36">
        <v>15495.65</v>
      </c>
      <c r="E2284" s="43" t="s">
        <v>3596</v>
      </c>
    </row>
    <row r="2285" spans="1:5" x14ac:dyDescent="0.35">
      <c r="A2285" s="40">
        <v>44959</v>
      </c>
      <c r="B2285" s="38">
        <v>-500</v>
      </c>
      <c r="C2285" s="13" t="s">
        <v>1395</v>
      </c>
      <c r="D2285" s="36">
        <v>15967.97</v>
      </c>
      <c r="E2285" s="43" t="s">
        <v>3596</v>
      </c>
    </row>
    <row r="2286" spans="1:5" x14ac:dyDescent="0.35">
      <c r="A2286" s="40">
        <v>44959</v>
      </c>
      <c r="B2286" s="38">
        <v>2410.4299999999998</v>
      </c>
      <c r="C2286" s="13" t="s">
        <v>3165</v>
      </c>
      <c r="D2286" s="36">
        <v>16467.97</v>
      </c>
      <c r="E2286" s="43" t="s">
        <v>3596</v>
      </c>
    </row>
    <row r="2287" spans="1:5" x14ac:dyDescent="0.35">
      <c r="A2287" s="40">
        <v>44959</v>
      </c>
      <c r="B2287" s="38">
        <v>-39.5</v>
      </c>
      <c r="C2287" s="13" t="s">
        <v>3164</v>
      </c>
      <c r="D2287" s="36">
        <v>15928.47</v>
      </c>
      <c r="E2287" s="43" t="s">
        <v>3596</v>
      </c>
    </row>
    <row r="2288" spans="1:5" x14ac:dyDescent="0.35">
      <c r="A2288" s="40">
        <v>44958</v>
      </c>
      <c r="B2288" s="38">
        <v>-9.65</v>
      </c>
      <c r="C2288" s="13" t="s">
        <v>3163</v>
      </c>
      <c r="D2288" s="36">
        <v>14258.96</v>
      </c>
      <c r="E2288" s="43" t="s">
        <v>3596</v>
      </c>
    </row>
    <row r="2289" spans="1:5" x14ac:dyDescent="0.35">
      <c r="A2289" s="40">
        <v>44958</v>
      </c>
      <c r="B2289" s="38">
        <v>-14.72</v>
      </c>
      <c r="C2289" s="13" t="s">
        <v>3162</v>
      </c>
      <c r="D2289" s="36">
        <v>14244.24</v>
      </c>
      <c r="E2289" s="43" t="s">
        <v>3596</v>
      </c>
    </row>
    <row r="2290" spans="1:5" x14ac:dyDescent="0.35">
      <c r="A2290" s="40">
        <v>44958</v>
      </c>
      <c r="B2290" s="38">
        <v>-186.7</v>
      </c>
      <c r="C2290" s="13" t="s">
        <v>3161</v>
      </c>
      <c r="D2290" s="36">
        <v>14057.54</v>
      </c>
      <c r="E2290" s="43" t="s">
        <v>3596</v>
      </c>
    </row>
    <row r="2291" spans="1:5" x14ac:dyDescent="0.35">
      <c r="A2291" s="40">
        <v>44958</v>
      </c>
      <c r="B2291" s="38">
        <v>3.59</v>
      </c>
      <c r="C2291" s="13" t="s">
        <v>3598</v>
      </c>
      <c r="D2291" s="36">
        <v>2644.44</v>
      </c>
      <c r="E2291" s="43" t="s">
        <v>3604</v>
      </c>
    </row>
    <row r="2292" spans="1:5" x14ac:dyDescent="0.35">
      <c r="A2292" s="40">
        <v>44957</v>
      </c>
      <c r="B2292" s="38">
        <v>-79.989999999999995</v>
      </c>
      <c r="C2292" s="13" t="s">
        <v>3158</v>
      </c>
      <c r="D2292" s="36">
        <v>14268.61</v>
      </c>
      <c r="E2292" s="43" t="s">
        <v>3596</v>
      </c>
    </row>
    <row r="2293" spans="1:5" x14ac:dyDescent="0.35">
      <c r="A2293" s="40">
        <v>44957</v>
      </c>
      <c r="B2293" s="38">
        <v>-12.7</v>
      </c>
      <c r="C2293" s="13" t="s">
        <v>3159</v>
      </c>
      <c r="D2293" s="36">
        <v>14348.6</v>
      </c>
      <c r="E2293" s="43" t="s">
        <v>3596</v>
      </c>
    </row>
    <row r="2294" spans="1:5" x14ac:dyDescent="0.35">
      <c r="A2294" s="40">
        <v>44957</v>
      </c>
      <c r="B2294" s="38">
        <v>-19.760000000000002</v>
      </c>
      <c r="C2294" s="13" t="s">
        <v>3160</v>
      </c>
      <c r="D2294" s="36">
        <v>14361.3</v>
      </c>
      <c r="E2294" s="43" t="s">
        <v>3596</v>
      </c>
    </row>
    <row r="2295" spans="1:5" x14ac:dyDescent="0.35">
      <c r="A2295" s="40">
        <v>44956</v>
      </c>
      <c r="B2295" s="38">
        <v>-19.09</v>
      </c>
      <c r="C2295" s="13" t="s">
        <v>2360</v>
      </c>
      <c r="D2295" s="36">
        <v>14381.06</v>
      </c>
      <c r="E2295" s="43" t="s">
        <v>3596</v>
      </c>
    </row>
    <row r="2296" spans="1:5" x14ac:dyDescent="0.35">
      <c r="A2296" s="40">
        <v>44955</v>
      </c>
      <c r="B2296" s="38">
        <v>-16.649999999999999</v>
      </c>
      <c r="C2296" s="13" t="s">
        <v>2465</v>
      </c>
      <c r="D2296" s="36">
        <v>14400.15</v>
      </c>
      <c r="E2296" s="43" t="s">
        <v>3596</v>
      </c>
    </row>
    <row r="2297" spans="1:5" x14ac:dyDescent="0.35">
      <c r="A2297" s="40">
        <v>44955</v>
      </c>
      <c r="B2297" s="38">
        <v>22</v>
      </c>
      <c r="C2297" s="13" t="s">
        <v>3157</v>
      </c>
      <c r="D2297" s="36">
        <v>14416.8</v>
      </c>
      <c r="E2297" s="43" t="s">
        <v>3596</v>
      </c>
    </row>
    <row r="2298" spans="1:5" x14ac:dyDescent="0.35">
      <c r="A2298" s="40">
        <v>44955</v>
      </c>
      <c r="B2298" s="38">
        <v>30</v>
      </c>
      <c r="C2298" s="13" t="s">
        <v>3144</v>
      </c>
      <c r="D2298" s="36">
        <v>14394.8</v>
      </c>
      <c r="E2298" s="43" t="s">
        <v>3596</v>
      </c>
    </row>
    <row r="2299" spans="1:5" x14ac:dyDescent="0.35">
      <c r="A2299" s="40">
        <v>44954</v>
      </c>
      <c r="B2299" s="38">
        <v>-53.99</v>
      </c>
      <c r="C2299" s="13" t="s">
        <v>3153</v>
      </c>
      <c r="D2299" s="36">
        <v>14390.78</v>
      </c>
      <c r="E2299" s="43" t="s">
        <v>3596</v>
      </c>
    </row>
    <row r="2300" spans="1:5" x14ac:dyDescent="0.35">
      <c r="A2300" s="40">
        <v>44954</v>
      </c>
      <c r="B2300" s="38">
        <v>-9.65</v>
      </c>
      <c r="C2300" s="13" t="s">
        <v>3156</v>
      </c>
      <c r="D2300" s="36">
        <v>14474.18</v>
      </c>
      <c r="E2300" s="43" t="s">
        <v>3596</v>
      </c>
    </row>
    <row r="2301" spans="1:5" x14ac:dyDescent="0.35">
      <c r="A2301" s="40">
        <v>44954</v>
      </c>
      <c r="B2301" s="38">
        <v>-9.65</v>
      </c>
      <c r="C2301" s="13" t="s">
        <v>3155</v>
      </c>
      <c r="D2301" s="36">
        <v>14464.53</v>
      </c>
      <c r="E2301" s="43" t="s">
        <v>3596</v>
      </c>
    </row>
    <row r="2302" spans="1:5" x14ac:dyDescent="0.35">
      <c r="A2302" s="40">
        <v>44954</v>
      </c>
      <c r="B2302" s="38">
        <v>-19.760000000000002</v>
      </c>
      <c r="C2302" s="13" t="s">
        <v>3154</v>
      </c>
      <c r="D2302" s="36">
        <v>14444.77</v>
      </c>
      <c r="E2302" s="43" t="s">
        <v>3596</v>
      </c>
    </row>
    <row r="2303" spans="1:5" x14ac:dyDescent="0.35">
      <c r="A2303" s="40">
        <v>44954</v>
      </c>
      <c r="B2303" s="38">
        <v>-16.98</v>
      </c>
      <c r="C2303" s="13" t="s">
        <v>3152</v>
      </c>
      <c r="D2303" s="36">
        <v>14373.8</v>
      </c>
      <c r="E2303" s="43" t="s">
        <v>3596</v>
      </c>
    </row>
    <row r="2304" spans="1:5" x14ac:dyDescent="0.35">
      <c r="A2304" s="40">
        <v>44954</v>
      </c>
      <c r="B2304" s="38">
        <v>-9</v>
      </c>
      <c r="C2304" s="13" t="s">
        <v>3151</v>
      </c>
      <c r="D2304" s="36">
        <v>14364.8</v>
      </c>
      <c r="E2304" s="43" t="s">
        <v>3596</v>
      </c>
    </row>
    <row r="2305" spans="1:5" x14ac:dyDescent="0.35">
      <c r="A2305" s="40">
        <v>44952</v>
      </c>
      <c r="B2305" s="38">
        <v>-2.0499999999999998</v>
      </c>
      <c r="C2305" s="13" t="s">
        <v>3150</v>
      </c>
      <c r="D2305" s="36">
        <v>14486.02</v>
      </c>
      <c r="E2305" s="43" t="s">
        <v>3596</v>
      </c>
    </row>
    <row r="2306" spans="1:5" x14ac:dyDescent="0.35">
      <c r="A2306" s="40">
        <v>44952</v>
      </c>
      <c r="B2306" s="38">
        <v>-2.19</v>
      </c>
      <c r="C2306" s="45" t="s">
        <v>3149</v>
      </c>
      <c r="D2306" s="36">
        <v>14483.83</v>
      </c>
      <c r="E2306" s="43" t="s">
        <v>3596</v>
      </c>
    </row>
    <row r="2307" spans="1:5" x14ac:dyDescent="0.35">
      <c r="A2307" s="40">
        <v>44951</v>
      </c>
      <c r="B2307" s="38">
        <v>-10</v>
      </c>
      <c r="C2307" s="45" t="s">
        <v>3147</v>
      </c>
      <c r="D2307" s="36">
        <v>14534.37</v>
      </c>
      <c r="E2307" s="43" t="s">
        <v>3596</v>
      </c>
    </row>
    <row r="2308" spans="1:5" x14ac:dyDescent="0.35">
      <c r="A2308" s="40">
        <v>44951</v>
      </c>
      <c r="B2308" s="38">
        <v>-20</v>
      </c>
      <c r="C2308" s="45" t="s">
        <v>3145</v>
      </c>
      <c r="D2308" s="36">
        <v>14464.07</v>
      </c>
      <c r="E2308" s="43" t="s">
        <v>3596</v>
      </c>
    </row>
    <row r="2309" spans="1:5" x14ac:dyDescent="0.35">
      <c r="A2309" s="40">
        <v>44951</v>
      </c>
      <c r="B2309" s="38">
        <v>-27.48</v>
      </c>
      <c r="C2309" s="45" t="s">
        <v>3148</v>
      </c>
      <c r="D2309" s="36">
        <v>14544.37</v>
      </c>
      <c r="E2309" s="43" t="s">
        <v>3596</v>
      </c>
    </row>
    <row r="2310" spans="1:5" x14ac:dyDescent="0.35">
      <c r="A2310" s="40">
        <v>44951</v>
      </c>
      <c r="B2310" s="38">
        <v>24</v>
      </c>
      <c r="C2310" s="45" t="s">
        <v>3144</v>
      </c>
      <c r="D2310" s="36">
        <v>14488.07</v>
      </c>
      <c r="E2310" s="43" t="s">
        <v>3596</v>
      </c>
    </row>
    <row r="2311" spans="1:5" x14ac:dyDescent="0.35">
      <c r="A2311" s="40">
        <v>44951</v>
      </c>
      <c r="B2311" s="38">
        <v>-50.3</v>
      </c>
      <c r="C2311" s="45" t="s">
        <v>3146</v>
      </c>
      <c r="D2311" s="36">
        <v>14484.07</v>
      </c>
      <c r="E2311" s="43" t="s">
        <v>3596</v>
      </c>
    </row>
    <row r="2312" spans="1:5" x14ac:dyDescent="0.35">
      <c r="A2312" s="40">
        <v>44950</v>
      </c>
      <c r="B2312" s="38">
        <v>-9.65</v>
      </c>
      <c r="C2312" s="13" t="s">
        <v>3143</v>
      </c>
      <c r="D2312" s="36">
        <v>14730.25</v>
      </c>
      <c r="E2312" s="43" t="s">
        <v>3596</v>
      </c>
    </row>
    <row r="2313" spans="1:5" x14ac:dyDescent="0.35">
      <c r="A2313" s="40">
        <v>44950</v>
      </c>
      <c r="B2313" s="38">
        <v>-19.82</v>
      </c>
      <c r="C2313" s="13" t="s">
        <v>3140</v>
      </c>
      <c r="D2313" s="36">
        <v>14754.31</v>
      </c>
      <c r="E2313" s="43" t="s">
        <v>3596</v>
      </c>
    </row>
    <row r="2314" spans="1:5" x14ac:dyDescent="0.35">
      <c r="A2314" s="40">
        <v>44950</v>
      </c>
      <c r="B2314" s="38">
        <v>52.38</v>
      </c>
      <c r="C2314" s="13" t="s">
        <v>3142</v>
      </c>
      <c r="D2314" s="36">
        <v>14782.63</v>
      </c>
      <c r="E2314" s="43" t="s">
        <v>3596</v>
      </c>
    </row>
    <row r="2315" spans="1:5" x14ac:dyDescent="0.35">
      <c r="A2315" s="40">
        <v>44950</v>
      </c>
      <c r="B2315" s="38">
        <v>-130.5</v>
      </c>
      <c r="C2315" s="13" t="s">
        <v>3139</v>
      </c>
      <c r="D2315" s="36">
        <v>14623.81</v>
      </c>
      <c r="E2315" s="43" t="s">
        <v>3596</v>
      </c>
    </row>
    <row r="2316" spans="1:5" x14ac:dyDescent="0.35">
      <c r="A2316" s="40">
        <v>44950</v>
      </c>
      <c r="B2316" s="38">
        <v>-11</v>
      </c>
      <c r="C2316" s="13" t="s">
        <v>3135</v>
      </c>
      <c r="D2316" s="36">
        <v>14571.85</v>
      </c>
      <c r="E2316" s="43" t="s">
        <v>3596</v>
      </c>
    </row>
    <row r="2317" spans="1:5" x14ac:dyDescent="0.35">
      <c r="A2317" s="40">
        <v>44950</v>
      </c>
      <c r="B2317" s="38">
        <v>-8.5</v>
      </c>
      <c r="C2317" s="13" t="s">
        <v>3141</v>
      </c>
      <c r="D2317" s="36">
        <v>14774.13</v>
      </c>
      <c r="E2317" s="43" t="s">
        <v>3596</v>
      </c>
    </row>
    <row r="2318" spans="1:5" x14ac:dyDescent="0.35">
      <c r="A2318" s="40">
        <v>44950</v>
      </c>
      <c r="B2318" s="38">
        <v>-28.26</v>
      </c>
      <c r="C2318" s="13" t="s">
        <v>3138</v>
      </c>
      <c r="D2318" s="36">
        <v>14595.55</v>
      </c>
      <c r="E2318" s="43" t="s">
        <v>3596</v>
      </c>
    </row>
    <row r="2319" spans="1:5" x14ac:dyDescent="0.35">
      <c r="A2319" s="40">
        <v>44950</v>
      </c>
      <c r="B2319" s="38">
        <v>-6.5</v>
      </c>
      <c r="C2319" s="13" t="s">
        <v>3136</v>
      </c>
      <c r="D2319" s="36">
        <v>14582.85</v>
      </c>
      <c r="E2319" s="43" t="s">
        <v>3596</v>
      </c>
    </row>
    <row r="2320" spans="1:5" x14ac:dyDescent="0.35">
      <c r="A2320" s="40">
        <v>44950</v>
      </c>
      <c r="B2320" s="38">
        <v>-6.2</v>
      </c>
      <c r="C2320" s="13" t="s">
        <v>3137</v>
      </c>
      <c r="D2320" s="36">
        <v>14589.35</v>
      </c>
      <c r="E2320" s="43" t="s">
        <v>3596</v>
      </c>
    </row>
    <row r="2321" spans="1:5" x14ac:dyDescent="0.35">
      <c r="A2321" s="40">
        <v>44947</v>
      </c>
      <c r="B2321" s="38">
        <v>-9</v>
      </c>
      <c r="C2321" s="13" t="s">
        <v>2963</v>
      </c>
      <c r="D2321" s="36">
        <v>14889.9</v>
      </c>
      <c r="E2321" s="43" t="s">
        <v>3596</v>
      </c>
    </row>
    <row r="2322" spans="1:5" x14ac:dyDescent="0.35">
      <c r="A2322" s="40">
        <v>44947</v>
      </c>
      <c r="B2322" s="38">
        <v>-43.49</v>
      </c>
      <c r="C2322" s="13" t="s">
        <v>3134</v>
      </c>
      <c r="D2322" s="36">
        <v>14908.1</v>
      </c>
      <c r="E2322" s="43" t="s">
        <v>3596</v>
      </c>
    </row>
    <row r="2323" spans="1:5" x14ac:dyDescent="0.35">
      <c r="A2323" s="40">
        <v>44947</v>
      </c>
      <c r="B2323" s="38">
        <v>-9.1999999999999993</v>
      </c>
      <c r="C2323" s="13" t="s">
        <v>3133</v>
      </c>
      <c r="D2323" s="36">
        <v>14898.9</v>
      </c>
      <c r="E2323" s="43" t="s">
        <v>3596</v>
      </c>
    </row>
    <row r="2324" spans="1:5" x14ac:dyDescent="0.35">
      <c r="A2324" s="40">
        <v>44947</v>
      </c>
      <c r="B2324" s="38">
        <v>-150</v>
      </c>
      <c r="C2324" s="13" t="s">
        <v>3132</v>
      </c>
      <c r="D2324" s="36">
        <v>14739.9</v>
      </c>
      <c r="E2324" s="43" t="s">
        <v>3596</v>
      </c>
    </row>
    <row r="2325" spans="1:5" x14ac:dyDescent="0.35">
      <c r="A2325" s="40">
        <v>44946</v>
      </c>
      <c r="B2325" s="38">
        <v>-9.65</v>
      </c>
      <c r="C2325" s="13" t="s">
        <v>3131</v>
      </c>
      <c r="D2325" s="36">
        <v>14971.59</v>
      </c>
      <c r="E2325" s="43" t="s">
        <v>3596</v>
      </c>
    </row>
    <row r="2326" spans="1:5" x14ac:dyDescent="0.35">
      <c r="A2326" s="40">
        <v>44946</v>
      </c>
      <c r="B2326" s="38">
        <v>-20</v>
      </c>
      <c r="C2326" s="13" t="s">
        <v>3130</v>
      </c>
      <c r="D2326" s="36">
        <v>14951.59</v>
      </c>
      <c r="E2326" s="43" t="s">
        <v>3596</v>
      </c>
    </row>
    <row r="2327" spans="1:5" x14ac:dyDescent="0.35">
      <c r="A2327" s="40">
        <v>44945</v>
      </c>
      <c r="B2327" s="38">
        <v>-500</v>
      </c>
      <c r="C2327" s="13" t="s">
        <v>1395</v>
      </c>
      <c r="D2327" s="36">
        <v>14981.24</v>
      </c>
      <c r="E2327" s="43" t="s">
        <v>3596</v>
      </c>
    </row>
    <row r="2328" spans="1:5" x14ac:dyDescent="0.35">
      <c r="A2328" s="40">
        <v>44945</v>
      </c>
      <c r="B2328" s="38">
        <v>-69</v>
      </c>
      <c r="C2328" s="13" t="s">
        <v>3128</v>
      </c>
      <c r="D2328" s="36">
        <v>15534.67</v>
      </c>
      <c r="E2328" s="43" t="s">
        <v>3596</v>
      </c>
    </row>
    <row r="2329" spans="1:5" x14ac:dyDescent="0.35">
      <c r="A2329" s="40">
        <v>44945</v>
      </c>
      <c r="B2329" s="38">
        <v>2422.16</v>
      </c>
      <c r="C2329" s="13" t="s">
        <v>3129</v>
      </c>
      <c r="D2329" s="36">
        <v>15603.67</v>
      </c>
      <c r="E2329" s="43" t="s">
        <v>3596</v>
      </c>
    </row>
    <row r="2330" spans="1:5" x14ac:dyDescent="0.35">
      <c r="A2330" s="40">
        <v>44945</v>
      </c>
      <c r="B2330" s="38">
        <v>-1.56</v>
      </c>
      <c r="C2330" s="13" t="s">
        <v>3126</v>
      </c>
      <c r="D2330" s="36">
        <v>15481.24</v>
      </c>
      <c r="E2330" s="43" t="s">
        <v>3596</v>
      </c>
    </row>
    <row r="2331" spans="1:5" x14ac:dyDescent="0.35">
      <c r="A2331" s="40">
        <v>44945</v>
      </c>
      <c r="B2331" s="38">
        <v>-51.87</v>
      </c>
      <c r="C2331" s="45" t="s">
        <v>3127</v>
      </c>
      <c r="D2331" s="36">
        <v>15482.8</v>
      </c>
      <c r="E2331" s="43" t="s">
        <v>3596</v>
      </c>
    </row>
    <row r="2332" spans="1:5" x14ac:dyDescent="0.35">
      <c r="A2332" s="40">
        <v>44944</v>
      </c>
      <c r="B2332" s="38">
        <v>-179.34</v>
      </c>
      <c r="C2332" s="45" t="s">
        <v>3121</v>
      </c>
      <c r="D2332" s="36">
        <v>13186.89</v>
      </c>
      <c r="E2332" s="43" t="s">
        <v>3596</v>
      </c>
    </row>
    <row r="2333" spans="1:5" x14ac:dyDescent="0.35">
      <c r="A2333" s="40">
        <v>44944</v>
      </c>
      <c r="B2333" s="38">
        <v>-9.65</v>
      </c>
      <c r="C2333" s="45" t="s">
        <v>3125</v>
      </c>
      <c r="D2333" s="36">
        <v>13439.88</v>
      </c>
      <c r="E2333" s="43" t="s">
        <v>3596</v>
      </c>
    </row>
    <row r="2334" spans="1:5" x14ac:dyDescent="0.35">
      <c r="A2334" s="40">
        <v>44944</v>
      </c>
      <c r="B2334" s="38">
        <v>16.45</v>
      </c>
      <c r="C2334" s="45" t="s">
        <v>3124</v>
      </c>
      <c r="D2334" s="36">
        <v>13456.33</v>
      </c>
      <c r="E2334" s="43" t="s">
        <v>3596</v>
      </c>
    </row>
    <row r="2335" spans="1:5" x14ac:dyDescent="0.35">
      <c r="A2335" s="40">
        <v>44944</v>
      </c>
      <c r="B2335" s="38">
        <v>-8.1</v>
      </c>
      <c r="C2335" s="45" t="s">
        <v>3123</v>
      </c>
      <c r="D2335" s="36">
        <v>13448.23</v>
      </c>
      <c r="E2335" s="43" t="s">
        <v>3596</v>
      </c>
    </row>
    <row r="2336" spans="1:5" x14ac:dyDescent="0.35">
      <c r="A2336" s="40">
        <v>44944</v>
      </c>
      <c r="B2336" s="38">
        <v>-5.38</v>
      </c>
      <c r="C2336" s="45" t="s">
        <v>3120</v>
      </c>
      <c r="D2336" s="36">
        <v>13181.51</v>
      </c>
      <c r="E2336" s="43" t="s">
        <v>3596</v>
      </c>
    </row>
    <row r="2337" spans="1:5" x14ac:dyDescent="0.35">
      <c r="A2337" s="40">
        <v>44944</v>
      </c>
      <c r="B2337" s="38">
        <v>-82</v>
      </c>
      <c r="C2337" s="45" t="s">
        <v>3122</v>
      </c>
      <c r="D2337" s="36">
        <v>13366.23</v>
      </c>
      <c r="E2337" s="43" t="s">
        <v>3596</v>
      </c>
    </row>
    <row r="2338" spans="1:5" x14ac:dyDescent="0.35">
      <c r="A2338" s="40">
        <v>44943</v>
      </c>
      <c r="B2338" s="38">
        <v>-24.97</v>
      </c>
      <c r="C2338" s="45" t="s">
        <v>3117</v>
      </c>
      <c r="D2338" s="36">
        <v>12759.44</v>
      </c>
      <c r="E2338" s="43" t="s">
        <v>3596</v>
      </c>
    </row>
    <row r="2339" spans="1:5" x14ac:dyDescent="0.35">
      <c r="A2339" s="40">
        <v>44943</v>
      </c>
      <c r="B2339" s="38">
        <v>-13</v>
      </c>
      <c r="C2339" s="45" t="s">
        <v>3111</v>
      </c>
      <c r="D2339" s="36">
        <v>13449.53</v>
      </c>
      <c r="E2339" s="43" t="s">
        <v>3596</v>
      </c>
    </row>
    <row r="2340" spans="1:5" x14ac:dyDescent="0.35">
      <c r="A2340" s="40">
        <v>44943</v>
      </c>
      <c r="B2340" s="38">
        <v>-16</v>
      </c>
      <c r="C2340" s="13" t="s">
        <v>3115</v>
      </c>
      <c r="D2340" s="36">
        <v>12707.01</v>
      </c>
      <c r="E2340" s="43" t="s">
        <v>3596</v>
      </c>
    </row>
    <row r="2341" spans="1:5" x14ac:dyDescent="0.35">
      <c r="A2341" s="40">
        <v>44943</v>
      </c>
      <c r="B2341" s="38">
        <v>-0.48</v>
      </c>
      <c r="C2341" s="13" t="s">
        <v>3114</v>
      </c>
      <c r="D2341" s="36">
        <v>12706.53</v>
      </c>
      <c r="E2341" s="43" t="s">
        <v>3596</v>
      </c>
    </row>
    <row r="2342" spans="1:5" x14ac:dyDescent="0.35">
      <c r="A2342" s="40">
        <v>44943</v>
      </c>
      <c r="B2342" s="38">
        <v>-17</v>
      </c>
      <c r="C2342" s="13" t="s">
        <v>3119</v>
      </c>
      <c r="D2342" s="36">
        <v>12844.28</v>
      </c>
      <c r="E2342" s="43" t="s">
        <v>3596</v>
      </c>
    </row>
    <row r="2343" spans="1:5" x14ac:dyDescent="0.35">
      <c r="A2343" s="40">
        <v>44943</v>
      </c>
      <c r="B2343" s="38">
        <v>655</v>
      </c>
      <c r="C2343" s="13" t="s">
        <v>3113</v>
      </c>
      <c r="D2343" s="36">
        <v>13361.53</v>
      </c>
      <c r="E2343" s="43" t="s">
        <v>3596</v>
      </c>
    </row>
    <row r="2344" spans="1:5" x14ac:dyDescent="0.35">
      <c r="A2344" s="40">
        <v>44943</v>
      </c>
      <c r="B2344" s="38">
        <v>101</v>
      </c>
      <c r="C2344" s="13" t="s">
        <v>3112</v>
      </c>
      <c r="D2344" s="36">
        <v>13462.53</v>
      </c>
      <c r="E2344" s="43" t="s">
        <v>3596</v>
      </c>
    </row>
    <row r="2345" spans="1:5" x14ac:dyDescent="0.35">
      <c r="A2345" s="40">
        <v>44943</v>
      </c>
      <c r="B2345" s="38">
        <v>-59.87</v>
      </c>
      <c r="C2345" s="13" t="s">
        <v>3118</v>
      </c>
      <c r="D2345" s="36">
        <v>12784.41</v>
      </c>
      <c r="E2345" s="43" t="s">
        <v>3596</v>
      </c>
    </row>
    <row r="2346" spans="1:5" x14ac:dyDescent="0.35">
      <c r="A2346" s="40">
        <v>44943</v>
      </c>
      <c r="B2346" s="38">
        <v>-36.43</v>
      </c>
      <c r="C2346" s="13" t="s">
        <v>3116</v>
      </c>
      <c r="D2346" s="36">
        <v>12723.01</v>
      </c>
      <c r="E2346" s="43" t="s">
        <v>3596</v>
      </c>
    </row>
    <row r="2347" spans="1:5" x14ac:dyDescent="0.35">
      <c r="A2347" s="40">
        <v>44942</v>
      </c>
      <c r="B2347" s="38">
        <v>-60</v>
      </c>
      <c r="C2347" s="13" t="s">
        <v>3110</v>
      </c>
      <c r="D2347" s="36">
        <v>12861.28</v>
      </c>
      <c r="E2347" s="43" t="s">
        <v>3596</v>
      </c>
    </row>
    <row r="2348" spans="1:5" x14ac:dyDescent="0.35">
      <c r="A2348" s="40">
        <v>44940</v>
      </c>
      <c r="B2348" s="38">
        <v>-12</v>
      </c>
      <c r="C2348" s="13" t="s">
        <v>3109</v>
      </c>
      <c r="D2348" s="36">
        <v>12921.28</v>
      </c>
      <c r="E2348" s="43" t="s">
        <v>3596</v>
      </c>
    </row>
    <row r="2349" spans="1:5" x14ac:dyDescent="0.35">
      <c r="A2349" s="40">
        <v>44939</v>
      </c>
      <c r="B2349" s="38">
        <v>-29.16</v>
      </c>
      <c r="C2349" s="13" t="s">
        <v>3106</v>
      </c>
      <c r="D2349" s="36">
        <v>12934.15</v>
      </c>
      <c r="E2349" s="43" t="s">
        <v>3596</v>
      </c>
    </row>
    <row r="2350" spans="1:5" x14ac:dyDescent="0.35">
      <c r="A2350" s="40">
        <v>44939</v>
      </c>
      <c r="B2350" s="38">
        <v>-0.87</v>
      </c>
      <c r="C2350" s="13" t="s">
        <v>3105</v>
      </c>
      <c r="D2350" s="36">
        <v>12933.28</v>
      </c>
      <c r="E2350" s="43" t="s">
        <v>3596</v>
      </c>
    </row>
    <row r="2351" spans="1:5" x14ac:dyDescent="0.35">
      <c r="A2351" s="40">
        <v>44939</v>
      </c>
      <c r="B2351" s="38">
        <v>-12.14</v>
      </c>
      <c r="C2351" s="13" t="s">
        <v>3107</v>
      </c>
      <c r="D2351" s="36">
        <v>12963.31</v>
      </c>
      <c r="E2351" s="43" t="s">
        <v>3596</v>
      </c>
    </row>
    <row r="2352" spans="1:5" x14ac:dyDescent="0.35">
      <c r="A2352" s="40">
        <v>44939</v>
      </c>
      <c r="B2352" s="38">
        <v>-16.78</v>
      </c>
      <c r="C2352" s="13" t="s">
        <v>3108</v>
      </c>
      <c r="D2352" s="36">
        <v>12975.45</v>
      </c>
      <c r="E2352" s="43" t="s">
        <v>3596</v>
      </c>
    </row>
    <row r="2353" spans="1:5" x14ac:dyDescent="0.35">
      <c r="A2353" s="40">
        <v>44938</v>
      </c>
      <c r="B2353" s="38">
        <v>-16.45</v>
      </c>
      <c r="C2353" s="13" t="s">
        <v>3104</v>
      </c>
      <c r="D2353" s="36">
        <v>12992.23</v>
      </c>
      <c r="E2353" s="43" t="s">
        <v>3596</v>
      </c>
    </row>
    <row r="2354" spans="1:5" x14ac:dyDescent="0.35">
      <c r="A2354" s="40">
        <v>44936</v>
      </c>
      <c r="B2354" s="38">
        <v>-20.86</v>
      </c>
      <c r="C2354" s="13" t="s">
        <v>3103</v>
      </c>
      <c r="D2354" s="36">
        <v>13097.05</v>
      </c>
      <c r="E2354" s="43" t="s">
        <v>3596</v>
      </c>
    </row>
    <row r="2355" spans="1:5" x14ac:dyDescent="0.35">
      <c r="A2355" s="40">
        <v>44936</v>
      </c>
      <c r="B2355" s="38">
        <v>-5.94</v>
      </c>
      <c r="C2355" s="13" t="s">
        <v>3100</v>
      </c>
      <c r="D2355" s="36">
        <v>13008.86</v>
      </c>
      <c r="E2355" s="43" t="s">
        <v>3596</v>
      </c>
    </row>
    <row r="2356" spans="1:5" x14ac:dyDescent="0.35">
      <c r="A2356" s="40">
        <v>44936</v>
      </c>
      <c r="B2356" s="38">
        <v>-5.94</v>
      </c>
      <c r="C2356" s="13" t="s">
        <v>3100</v>
      </c>
      <c r="D2356" s="36">
        <v>13014.98</v>
      </c>
      <c r="E2356" s="43" t="s">
        <v>3596</v>
      </c>
    </row>
    <row r="2357" spans="1:5" x14ac:dyDescent="0.35">
      <c r="A2357" s="40">
        <v>44936</v>
      </c>
      <c r="B2357" s="38">
        <v>-0.18</v>
      </c>
      <c r="C2357" s="13" t="s">
        <v>3099</v>
      </c>
      <c r="D2357" s="36">
        <v>13008.68</v>
      </c>
      <c r="E2357" s="43" t="s">
        <v>3596</v>
      </c>
    </row>
    <row r="2358" spans="1:5" x14ac:dyDescent="0.35">
      <c r="A2358" s="40">
        <v>44936</v>
      </c>
      <c r="B2358" s="38">
        <v>-0.18</v>
      </c>
      <c r="C2358" s="13" t="s">
        <v>3101</v>
      </c>
      <c r="D2358" s="36">
        <v>13014.8</v>
      </c>
      <c r="E2358" s="43" t="s">
        <v>3596</v>
      </c>
    </row>
    <row r="2359" spans="1:5" x14ac:dyDescent="0.35">
      <c r="A2359" s="40">
        <v>44936</v>
      </c>
      <c r="B2359" s="38">
        <v>-76.13</v>
      </c>
      <c r="C2359" s="45" t="s">
        <v>3102</v>
      </c>
      <c r="D2359" s="36">
        <v>13020.92</v>
      </c>
      <c r="E2359" s="43" t="s">
        <v>3596</v>
      </c>
    </row>
    <row r="2360" spans="1:5" x14ac:dyDescent="0.35">
      <c r="A2360" s="40">
        <v>44933</v>
      </c>
      <c r="B2360" s="38">
        <v>-22.42</v>
      </c>
      <c r="C2360" s="45" t="s">
        <v>3096</v>
      </c>
      <c r="D2360" s="36">
        <v>13149.91</v>
      </c>
      <c r="E2360" s="43" t="s">
        <v>3596</v>
      </c>
    </row>
    <row r="2361" spans="1:5" x14ac:dyDescent="0.35">
      <c r="A2361" s="40">
        <v>44933</v>
      </c>
      <c r="B2361" s="38">
        <v>-32</v>
      </c>
      <c r="C2361" s="45" t="s">
        <v>3095</v>
      </c>
      <c r="D2361" s="36">
        <v>13117.91</v>
      </c>
      <c r="E2361" s="43" t="s">
        <v>3596</v>
      </c>
    </row>
    <row r="2362" spans="1:5" x14ac:dyDescent="0.35">
      <c r="A2362" s="40">
        <v>44933</v>
      </c>
      <c r="B2362" s="38">
        <v>22.99</v>
      </c>
      <c r="C2362" s="45" t="s">
        <v>3097</v>
      </c>
      <c r="D2362" s="36">
        <v>13172.33</v>
      </c>
      <c r="E2362" s="43" t="s">
        <v>3596</v>
      </c>
    </row>
    <row r="2363" spans="1:5" x14ac:dyDescent="0.35">
      <c r="A2363" s="40">
        <v>44933</v>
      </c>
      <c r="B2363" s="38">
        <v>22.99</v>
      </c>
      <c r="C2363" s="45" t="s">
        <v>3098</v>
      </c>
      <c r="D2363" s="36">
        <v>13149.34</v>
      </c>
      <c r="E2363" s="43" t="s">
        <v>3596</v>
      </c>
    </row>
    <row r="2364" spans="1:5" x14ac:dyDescent="0.35">
      <c r="A2364" s="40">
        <v>44932</v>
      </c>
      <c r="B2364" s="38">
        <v>-22.99</v>
      </c>
      <c r="C2364" s="45" t="s">
        <v>3094</v>
      </c>
      <c r="D2364" s="36">
        <v>13188.35</v>
      </c>
      <c r="E2364" s="43" t="s">
        <v>3596</v>
      </c>
    </row>
    <row r="2365" spans="1:5" x14ac:dyDescent="0.35">
      <c r="A2365" s="40">
        <v>44932</v>
      </c>
      <c r="B2365" s="38">
        <v>-12</v>
      </c>
      <c r="C2365" s="13" t="s">
        <v>3093</v>
      </c>
      <c r="D2365" s="36">
        <v>13126.35</v>
      </c>
      <c r="E2365" s="43" t="s">
        <v>3596</v>
      </c>
    </row>
    <row r="2366" spans="1:5" x14ac:dyDescent="0.35">
      <c r="A2366" s="40">
        <v>44932</v>
      </c>
      <c r="B2366" s="38">
        <v>-50</v>
      </c>
      <c r="C2366" s="13" t="s">
        <v>3649</v>
      </c>
      <c r="D2366" s="36">
        <v>13138.35</v>
      </c>
      <c r="E2366" s="43" t="s">
        <v>3596</v>
      </c>
    </row>
    <row r="2367" spans="1:5" x14ac:dyDescent="0.35">
      <c r="A2367" s="40">
        <v>44931</v>
      </c>
      <c r="B2367" s="38">
        <v>-500</v>
      </c>
      <c r="C2367" s="13" t="s">
        <v>1395</v>
      </c>
      <c r="D2367" s="36">
        <v>13261.21</v>
      </c>
      <c r="E2367" s="43" t="s">
        <v>3596</v>
      </c>
    </row>
    <row r="2368" spans="1:5" x14ac:dyDescent="0.35">
      <c r="A2368" s="40">
        <v>44931</v>
      </c>
      <c r="B2368" s="38">
        <v>2422.16</v>
      </c>
      <c r="C2368" s="13" t="s">
        <v>3092</v>
      </c>
      <c r="D2368" s="36">
        <v>13761.21</v>
      </c>
      <c r="E2368" s="43" t="s">
        <v>3596</v>
      </c>
    </row>
    <row r="2369" spans="1:5" x14ac:dyDescent="0.35">
      <c r="A2369" s="40">
        <v>44931</v>
      </c>
      <c r="B2369" s="38">
        <v>-49.87</v>
      </c>
      <c r="C2369" s="13" t="s">
        <v>3091</v>
      </c>
      <c r="D2369" s="36">
        <v>13211.34</v>
      </c>
      <c r="E2369" s="43" t="s">
        <v>3596</v>
      </c>
    </row>
    <row r="2370" spans="1:5" x14ac:dyDescent="0.35">
      <c r="A2370" s="40">
        <v>44930</v>
      </c>
      <c r="B2370" s="38">
        <v>-35.74</v>
      </c>
      <c r="C2370" s="13" t="s">
        <v>3088</v>
      </c>
      <c r="D2370" s="36">
        <v>11810.63</v>
      </c>
      <c r="E2370" s="43" t="s">
        <v>3596</v>
      </c>
    </row>
    <row r="2371" spans="1:5" x14ac:dyDescent="0.35">
      <c r="A2371" s="40">
        <v>44930</v>
      </c>
      <c r="B2371" s="38">
        <v>-26.3</v>
      </c>
      <c r="C2371" s="13" t="s">
        <v>3087</v>
      </c>
      <c r="D2371" s="36">
        <v>11784.33</v>
      </c>
      <c r="E2371" s="43" t="s">
        <v>3596</v>
      </c>
    </row>
    <row r="2372" spans="1:5" x14ac:dyDescent="0.35">
      <c r="A2372" s="40">
        <v>44930</v>
      </c>
      <c r="B2372" s="38">
        <v>-23.19</v>
      </c>
      <c r="C2372" s="13" t="s">
        <v>3078</v>
      </c>
      <c r="D2372" s="36">
        <v>11339.05</v>
      </c>
      <c r="E2372" s="43" t="s">
        <v>3596</v>
      </c>
    </row>
    <row r="2373" spans="1:5" x14ac:dyDescent="0.35">
      <c r="A2373" s="40">
        <v>44930</v>
      </c>
      <c r="B2373" s="38">
        <v>-89</v>
      </c>
      <c r="C2373" s="13" t="s">
        <v>3085</v>
      </c>
      <c r="D2373" s="36">
        <v>11693.14</v>
      </c>
      <c r="E2373" s="43" t="s">
        <v>3596</v>
      </c>
    </row>
    <row r="2374" spans="1:5" x14ac:dyDescent="0.35">
      <c r="A2374" s="40">
        <v>44930</v>
      </c>
      <c r="B2374" s="38">
        <v>-18.7</v>
      </c>
      <c r="C2374" s="13" t="s">
        <v>3090</v>
      </c>
      <c r="D2374" s="36">
        <v>11873.18</v>
      </c>
      <c r="E2374" s="43" t="s">
        <v>3596</v>
      </c>
    </row>
    <row r="2375" spans="1:5" x14ac:dyDescent="0.35">
      <c r="A2375" s="40">
        <v>44930</v>
      </c>
      <c r="B2375" s="38">
        <v>-12.17</v>
      </c>
      <c r="C2375" s="13" t="s">
        <v>3081</v>
      </c>
      <c r="D2375" s="36">
        <v>11362.24</v>
      </c>
      <c r="E2375" s="43" t="s">
        <v>3596</v>
      </c>
    </row>
    <row r="2376" spans="1:5" x14ac:dyDescent="0.35">
      <c r="A2376" s="40">
        <v>44930</v>
      </c>
      <c r="B2376" s="38">
        <v>-237.6</v>
      </c>
      <c r="C2376" s="13" t="s">
        <v>3084</v>
      </c>
      <c r="D2376" s="36">
        <v>11455.54</v>
      </c>
      <c r="E2376" s="43" t="s">
        <v>3596</v>
      </c>
    </row>
    <row r="2377" spans="1:5" x14ac:dyDescent="0.35">
      <c r="A2377" s="40">
        <v>44930</v>
      </c>
      <c r="B2377" s="38">
        <v>-46.16</v>
      </c>
      <c r="C2377" s="13" t="s">
        <v>3082</v>
      </c>
      <c r="D2377" s="36">
        <v>11374.41</v>
      </c>
      <c r="E2377" s="43" t="s">
        <v>3596</v>
      </c>
    </row>
    <row r="2378" spans="1:5" x14ac:dyDescent="0.35">
      <c r="A2378" s="40">
        <v>44930</v>
      </c>
      <c r="B2378" s="38">
        <v>-26.81</v>
      </c>
      <c r="C2378" s="13" t="s">
        <v>3089</v>
      </c>
      <c r="D2378" s="36">
        <v>11846.37</v>
      </c>
      <c r="E2378" s="43" t="s">
        <v>3596</v>
      </c>
    </row>
    <row r="2379" spans="1:5" x14ac:dyDescent="0.35">
      <c r="A2379" s="40">
        <v>44930</v>
      </c>
      <c r="B2379" s="38">
        <v>-2.19</v>
      </c>
      <c r="C2379" s="13" t="s">
        <v>3086</v>
      </c>
      <c r="D2379" s="36">
        <v>11782.14</v>
      </c>
      <c r="E2379" s="43" t="s">
        <v>3596</v>
      </c>
    </row>
    <row r="2380" spans="1:5" x14ac:dyDescent="0.35">
      <c r="A2380" s="40">
        <v>44930</v>
      </c>
      <c r="B2380" s="38">
        <v>-34.97</v>
      </c>
      <c r="C2380" s="13" t="s">
        <v>3083</v>
      </c>
      <c r="D2380" s="36">
        <v>11420.57</v>
      </c>
      <c r="E2380" s="43" t="s">
        <v>3596</v>
      </c>
    </row>
    <row r="2381" spans="1:5" x14ac:dyDescent="0.35">
      <c r="A2381" s="40">
        <v>44929</v>
      </c>
      <c r="B2381" s="38">
        <v>-18</v>
      </c>
      <c r="C2381" s="13" t="s">
        <v>3080</v>
      </c>
      <c r="D2381" s="36">
        <v>12078.58</v>
      </c>
      <c r="E2381" s="43" t="s">
        <v>3596</v>
      </c>
    </row>
    <row r="2382" spans="1:5" x14ac:dyDescent="0.35">
      <c r="A2382" s="40">
        <v>44929</v>
      </c>
      <c r="B2382" s="38">
        <v>-22.8</v>
      </c>
      <c r="C2382" s="13" t="s">
        <v>3080</v>
      </c>
      <c r="D2382" s="36">
        <v>12096.58</v>
      </c>
      <c r="E2382" s="43" t="s">
        <v>3596</v>
      </c>
    </row>
    <row r="2383" spans="1:5" x14ac:dyDescent="0.35">
      <c r="A2383" s="40">
        <v>44929</v>
      </c>
      <c r="B2383" s="38">
        <v>-186.7</v>
      </c>
      <c r="C2383" s="13" t="s">
        <v>3079</v>
      </c>
      <c r="D2383" s="36">
        <v>11891.88</v>
      </c>
      <c r="E2383" s="43" t="s">
        <v>3596</v>
      </c>
    </row>
    <row r="2384" spans="1:5" x14ac:dyDescent="0.35">
      <c r="A2384" s="40">
        <v>44927</v>
      </c>
      <c r="B2384" s="38">
        <v>3.31</v>
      </c>
      <c r="C2384" s="13" t="s">
        <v>3598</v>
      </c>
      <c r="D2384" s="36">
        <v>2640.85</v>
      </c>
      <c r="E2384" s="43" t="s">
        <v>3604</v>
      </c>
    </row>
    <row r="2385" spans="1:5" x14ac:dyDescent="0.35">
      <c r="A2385" s="40">
        <v>44926</v>
      </c>
      <c r="B2385" s="38">
        <v>-26.3</v>
      </c>
      <c r="C2385" s="13" t="s">
        <v>3078</v>
      </c>
      <c r="D2385" s="36">
        <v>12205.98</v>
      </c>
      <c r="E2385" s="43" t="s">
        <v>3596</v>
      </c>
    </row>
    <row r="2386" spans="1:5" x14ac:dyDescent="0.35">
      <c r="A2386" s="40">
        <v>44926</v>
      </c>
      <c r="B2386" s="38">
        <v>-38.619999999999997</v>
      </c>
      <c r="C2386" s="13" t="s">
        <v>3077</v>
      </c>
      <c r="D2386" s="36">
        <v>12167.36</v>
      </c>
      <c r="E2386" s="43" t="s">
        <v>3596</v>
      </c>
    </row>
    <row r="2387" spans="1:5" x14ac:dyDescent="0.35">
      <c r="A2387" s="40">
        <v>44926</v>
      </c>
      <c r="B2387" s="38">
        <v>-22.99</v>
      </c>
      <c r="C2387" s="13" t="s">
        <v>3076</v>
      </c>
      <c r="D2387" s="36">
        <v>12144.37</v>
      </c>
      <c r="E2387" s="43" t="s">
        <v>3596</v>
      </c>
    </row>
    <row r="2388" spans="1:5" x14ac:dyDescent="0.35">
      <c r="A2388" s="40">
        <v>44926</v>
      </c>
      <c r="B2388" s="38">
        <v>-24.99</v>
      </c>
      <c r="C2388" s="13" t="s">
        <v>2269</v>
      </c>
      <c r="D2388" s="36">
        <v>12119.38</v>
      </c>
      <c r="E2388" s="43" t="s">
        <v>3596</v>
      </c>
    </row>
    <row r="2389" spans="1:5" x14ac:dyDescent="0.35">
      <c r="A2389" s="40">
        <v>44925</v>
      </c>
      <c r="B2389" s="38">
        <v>22.99</v>
      </c>
      <c r="C2389" s="13" t="s">
        <v>3075</v>
      </c>
      <c r="D2389" s="36">
        <v>12232.28</v>
      </c>
      <c r="E2389" s="43" t="s">
        <v>3596</v>
      </c>
    </row>
    <row r="2390" spans="1:5" x14ac:dyDescent="0.35">
      <c r="A2390" s="40">
        <v>44924</v>
      </c>
      <c r="B2390" s="38">
        <v>-22.44</v>
      </c>
      <c r="C2390" s="13" t="s">
        <v>3074</v>
      </c>
      <c r="D2390" s="36">
        <v>12707.71</v>
      </c>
      <c r="E2390" s="43" t="s">
        <v>3596</v>
      </c>
    </row>
    <row r="2391" spans="1:5" x14ac:dyDescent="0.35">
      <c r="A2391" s="40">
        <v>44924</v>
      </c>
      <c r="B2391" s="38">
        <v>-73.7</v>
      </c>
      <c r="C2391" s="13" t="s">
        <v>3069</v>
      </c>
      <c r="D2391" s="36">
        <v>12305.02</v>
      </c>
      <c r="E2391" s="43" t="s">
        <v>3596</v>
      </c>
    </row>
    <row r="2392" spans="1:5" x14ac:dyDescent="0.35">
      <c r="A2392" s="40">
        <v>44924</v>
      </c>
      <c r="B2392" s="38">
        <v>-28.19</v>
      </c>
      <c r="C2392" s="13" t="s">
        <v>3071</v>
      </c>
      <c r="D2392" s="36">
        <v>12384.71</v>
      </c>
      <c r="E2392" s="43" t="s">
        <v>3596</v>
      </c>
    </row>
    <row r="2393" spans="1:5" x14ac:dyDescent="0.35">
      <c r="A2393" s="40">
        <v>44924</v>
      </c>
      <c r="B2393" s="38">
        <v>-23.19</v>
      </c>
      <c r="C2393" s="13" t="s">
        <v>3062</v>
      </c>
      <c r="D2393" s="36">
        <v>12226.47</v>
      </c>
      <c r="E2393" s="43" t="s">
        <v>3596</v>
      </c>
    </row>
    <row r="2394" spans="1:5" x14ac:dyDescent="0.35">
      <c r="A2394" s="40">
        <v>44924</v>
      </c>
      <c r="B2394" s="38">
        <v>-6</v>
      </c>
      <c r="C2394" s="13" t="s">
        <v>3065</v>
      </c>
      <c r="D2394" s="36">
        <v>12220.47</v>
      </c>
      <c r="E2394" s="43" t="s">
        <v>3596</v>
      </c>
    </row>
    <row r="2395" spans="1:5" x14ac:dyDescent="0.35">
      <c r="A2395" s="40">
        <v>44924</v>
      </c>
      <c r="B2395" s="38">
        <v>-43</v>
      </c>
      <c r="C2395" s="13" t="s">
        <v>3066</v>
      </c>
      <c r="D2395" s="36">
        <v>12249.66</v>
      </c>
      <c r="E2395" s="43" t="s">
        <v>3596</v>
      </c>
    </row>
    <row r="2396" spans="1:5" x14ac:dyDescent="0.35">
      <c r="A2396" s="40">
        <v>44924</v>
      </c>
      <c r="B2396" s="38">
        <v>-0.67</v>
      </c>
      <c r="C2396" s="13" t="s">
        <v>3073</v>
      </c>
      <c r="D2396" s="36">
        <v>12707.04</v>
      </c>
      <c r="E2396" s="43" t="s">
        <v>3596</v>
      </c>
    </row>
    <row r="2397" spans="1:5" x14ac:dyDescent="0.35">
      <c r="A2397" s="40">
        <v>44924</v>
      </c>
      <c r="B2397" s="38">
        <v>-2.21</v>
      </c>
      <c r="C2397" s="13" t="s">
        <v>3068</v>
      </c>
      <c r="D2397" s="36">
        <v>12302.81</v>
      </c>
      <c r="E2397" s="43" t="s">
        <v>3596</v>
      </c>
    </row>
    <row r="2398" spans="1:5" x14ac:dyDescent="0.35">
      <c r="A2398" s="40">
        <v>44924</v>
      </c>
      <c r="B2398" s="38">
        <v>-0.18</v>
      </c>
      <c r="C2398" s="13" t="s">
        <v>3064</v>
      </c>
      <c r="D2398" s="36">
        <v>12220.29</v>
      </c>
      <c r="E2398" s="43" t="s">
        <v>3596</v>
      </c>
    </row>
    <row r="2399" spans="1:5" x14ac:dyDescent="0.35">
      <c r="A2399" s="40">
        <v>44924</v>
      </c>
      <c r="B2399" s="38">
        <v>-294.14</v>
      </c>
      <c r="C2399" s="13" t="s">
        <v>3072</v>
      </c>
      <c r="D2399" s="36">
        <v>12412.9</v>
      </c>
      <c r="E2399" s="43" t="s">
        <v>3596</v>
      </c>
    </row>
    <row r="2400" spans="1:5" x14ac:dyDescent="0.35">
      <c r="A2400" s="40">
        <v>44924</v>
      </c>
      <c r="B2400" s="38">
        <v>-5.99</v>
      </c>
      <c r="C2400" s="13" t="s">
        <v>3070</v>
      </c>
      <c r="D2400" s="36">
        <v>12378.72</v>
      </c>
      <c r="E2400" s="43" t="s">
        <v>3596</v>
      </c>
    </row>
    <row r="2401" spans="1:5" x14ac:dyDescent="0.35">
      <c r="A2401" s="40">
        <v>44924</v>
      </c>
      <c r="B2401" s="38">
        <v>-10.15</v>
      </c>
      <c r="C2401" s="13" t="s">
        <v>3067</v>
      </c>
      <c r="D2401" s="36">
        <v>12292.66</v>
      </c>
      <c r="E2401" s="43" t="s">
        <v>3596</v>
      </c>
    </row>
    <row r="2402" spans="1:5" x14ac:dyDescent="0.35">
      <c r="A2402" s="40">
        <v>44924</v>
      </c>
      <c r="B2402" s="38">
        <v>-11</v>
      </c>
      <c r="C2402" s="13" t="s">
        <v>2691</v>
      </c>
      <c r="D2402" s="36">
        <v>12209.29</v>
      </c>
      <c r="E2402" s="43" t="s">
        <v>3596</v>
      </c>
    </row>
    <row r="2403" spans="1:5" x14ac:dyDescent="0.35">
      <c r="A2403" s="40">
        <v>44923</v>
      </c>
      <c r="B2403" s="38">
        <v>-14.3</v>
      </c>
      <c r="C2403" s="13" t="s">
        <v>3063</v>
      </c>
      <c r="D2403" s="36">
        <v>12730.15</v>
      </c>
      <c r="E2403" s="43" t="s">
        <v>3596</v>
      </c>
    </row>
    <row r="2404" spans="1:5" x14ac:dyDescent="0.35">
      <c r="A2404" s="40">
        <v>44919</v>
      </c>
      <c r="B2404" s="38">
        <v>-34.630000000000003</v>
      </c>
      <c r="C2404" s="13" t="s">
        <v>3062</v>
      </c>
      <c r="D2404" s="36">
        <v>12751.45</v>
      </c>
      <c r="E2404" s="43" t="s">
        <v>3596</v>
      </c>
    </row>
    <row r="2405" spans="1:5" x14ac:dyDescent="0.35">
      <c r="A2405" s="40">
        <v>44919</v>
      </c>
      <c r="B2405" s="38">
        <v>-7</v>
      </c>
      <c r="C2405" s="13" t="s">
        <v>2963</v>
      </c>
      <c r="D2405" s="36">
        <v>12744.45</v>
      </c>
      <c r="E2405" s="43" t="s">
        <v>3596</v>
      </c>
    </row>
    <row r="2406" spans="1:5" x14ac:dyDescent="0.35">
      <c r="A2406" s="40">
        <v>44918</v>
      </c>
      <c r="B2406" s="38">
        <v>-150</v>
      </c>
      <c r="C2406" s="13" t="s">
        <v>1614</v>
      </c>
      <c r="D2406" s="36">
        <v>12786.08</v>
      </c>
      <c r="E2406" s="43" t="s">
        <v>3596</v>
      </c>
    </row>
    <row r="2407" spans="1:5" x14ac:dyDescent="0.35">
      <c r="A2407" s="40">
        <v>44918</v>
      </c>
      <c r="B2407" s="38">
        <v>-26.3</v>
      </c>
      <c r="C2407" s="13" t="s">
        <v>3061</v>
      </c>
      <c r="D2407" s="36">
        <v>12936.08</v>
      </c>
      <c r="E2407" s="43" t="s">
        <v>3596</v>
      </c>
    </row>
    <row r="2408" spans="1:5" x14ac:dyDescent="0.35">
      <c r="A2408" s="40">
        <v>44917</v>
      </c>
      <c r="B2408" s="38">
        <v>-500</v>
      </c>
      <c r="C2408" s="13" t="s">
        <v>1395</v>
      </c>
      <c r="D2408" s="36">
        <v>12985.62</v>
      </c>
      <c r="E2408" s="43" t="s">
        <v>3596</v>
      </c>
    </row>
    <row r="2409" spans="1:5" x14ac:dyDescent="0.35">
      <c r="A2409" s="40">
        <v>44917</v>
      </c>
      <c r="B2409" s="38">
        <v>2422.16</v>
      </c>
      <c r="C2409" s="13" t="s">
        <v>3060</v>
      </c>
      <c r="D2409" s="36">
        <v>13485.62</v>
      </c>
      <c r="E2409" s="43" t="s">
        <v>3596</v>
      </c>
    </row>
    <row r="2410" spans="1:5" x14ac:dyDescent="0.35">
      <c r="A2410" s="40">
        <v>44917</v>
      </c>
      <c r="B2410" s="38">
        <v>-23.24</v>
      </c>
      <c r="C2410" s="13" t="s">
        <v>3059</v>
      </c>
      <c r="D2410" s="36">
        <v>12962.38</v>
      </c>
      <c r="E2410" s="43" t="s">
        <v>3596</v>
      </c>
    </row>
    <row r="2411" spans="1:5" x14ac:dyDescent="0.35">
      <c r="A2411" s="40">
        <v>44916</v>
      </c>
      <c r="B2411" s="38">
        <v>-26.3</v>
      </c>
      <c r="C2411" s="13" t="s">
        <v>3058</v>
      </c>
      <c r="D2411" s="36">
        <v>11115.51</v>
      </c>
      <c r="E2411" s="43" t="s">
        <v>3596</v>
      </c>
    </row>
    <row r="2412" spans="1:5" x14ac:dyDescent="0.35">
      <c r="A2412" s="40">
        <v>44916</v>
      </c>
      <c r="B2412" s="38">
        <v>-38.049999999999997</v>
      </c>
      <c r="C2412" s="13" t="s">
        <v>3056</v>
      </c>
      <c r="D2412" s="36">
        <v>11063.46</v>
      </c>
      <c r="E2412" s="43" t="s">
        <v>3596</v>
      </c>
    </row>
    <row r="2413" spans="1:5" x14ac:dyDescent="0.35">
      <c r="A2413" s="40">
        <v>44916</v>
      </c>
      <c r="B2413" s="38">
        <v>-14</v>
      </c>
      <c r="C2413" s="13" t="s">
        <v>3057</v>
      </c>
      <c r="D2413" s="36">
        <v>11101.51</v>
      </c>
      <c r="E2413" s="43" t="s">
        <v>3596</v>
      </c>
    </row>
    <row r="2414" spans="1:5" x14ac:dyDescent="0.35">
      <c r="A2414" s="40">
        <v>44915</v>
      </c>
      <c r="B2414" s="38">
        <v>-24.08</v>
      </c>
      <c r="C2414" s="13" t="s">
        <v>3054</v>
      </c>
      <c r="D2414" s="36">
        <v>11166.96</v>
      </c>
      <c r="E2414" s="43" t="s">
        <v>3596</v>
      </c>
    </row>
    <row r="2415" spans="1:5" x14ac:dyDescent="0.35">
      <c r="A2415" s="40">
        <v>44915</v>
      </c>
      <c r="B2415" s="38">
        <v>-35.74</v>
      </c>
      <c r="C2415" s="13" t="s">
        <v>3055</v>
      </c>
      <c r="D2415" s="36">
        <v>11191.04</v>
      </c>
      <c r="E2415" s="43" t="s">
        <v>3596</v>
      </c>
    </row>
    <row r="2416" spans="1:5" x14ac:dyDescent="0.35">
      <c r="A2416" s="40">
        <v>44915</v>
      </c>
      <c r="B2416" s="38">
        <v>-16.649999999999999</v>
      </c>
      <c r="C2416" s="13" t="s">
        <v>3053</v>
      </c>
      <c r="D2416" s="36">
        <v>11150.31</v>
      </c>
      <c r="E2416" s="43" t="s">
        <v>3596</v>
      </c>
    </row>
    <row r="2417" spans="1:5" x14ac:dyDescent="0.35">
      <c r="A2417" s="40">
        <v>44915</v>
      </c>
      <c r="B2417" s="38">
        <v>-8.5</v>
      </c>
      <c r="C2417" s="13" t="s">
        <v>3052</v>
      </c>
      <c r="D2417" s="36">
        <v>11141.81</v>
      </c>
      <c r="E2417" s="43" t="s">
        <v>3596</v>
      </c>
    </row>
    <row r="2418" spans="1:5" x14ac:dyDescent="0.35">
      <c r="A2418" s="40">
        <v>44913</v>
      </c>
      <c r="B2418" s="38">
        <v>-13.5</v>
      </c>
      <c r="C2418" s="13" t="s">
        <v>2665</v>
      </c>
      <c r="D2418" s="36">
        <v>11281.78</v>
      </c>
      <c r="E2418" s="43" t="s">
        <v>3596</v>
      </c>
    </row>
    <row r="2419" spans="1:5" x14ac:dyDescent="0.35">
      <c r="A2419" s="40">
        <v>44913</v>
      </c>
      <c r="B2419" s="38">
        <v>-55</v>
      </c>
      <c r="C2419" s="13" t="s">
        <v>3051</v>
      </c>
      <c r="D2419" s="36">
        <v>11226.78</v>
      </c>
      <c r="E2419" s="43" t="s">
        <v>3596</v>
      </c>
    </row>
    <row r="2420" spans="1:5" x14ac:dyDescent="0.35">
      <c r="A2420" s="40">
        <v>44912</v>
      </c>
      <c r="B2420" s="38">
        <v>-69</v>
      </c>
      <c r="C2420" s="13" t="s">
        <v>3049</v>
      </c>
      <c r="D2420" s="36">
        <v>11295.28</v>
      </c>
      <c r="E2420" s="43" t="s">
        <v>3596</v>
      </c>
    </row>
    <row r="2421" spans="1:5" x14ac:dyDescent="0.35">
      <c r="A2421" s="40">
        <v>44912</v>
      </c>
      <c r="B2421" s="38">
        <v>-6.2</v>
      </c>
      <c r="C2421" s="45" t="s">
        <v>3050</v>
      </c>
      <c r="D2421" s="36">
        <v>11364.28</v>
      </c>
      <c r="E2421" s="43" t="s">
        <v>3596</v>
      </c>
    </row>
    <row r="2422" spans="1:5" x14ac:dyDescent="0.35">
      <c r="A2422" s="40">
        <v>44911</v>
      </c>
      <c r="B2422" s="38">
        <v>-6.54</v>
      </c>
      <c r="C2422" s="45" t="s">
        <v>3048</v>
      </c>
      <c r="D2422" s="36">
        <v>11382.88</v>
      </c>
      <c r="E2422" s="43" t="s">
        <v>3596</v>
      </c>
    </row>
    <row r="2423" spans="1:5" x14ac:dyDescent="0.35">
      <c r="A2423" s="40">
        <v>44911</v>
      </c>
      <c r="B2423" s="38">
        <v>-12.4</v>
      </c>
      <c r="C2423" s="45" t="s">
        <v>3047</v>
      </c>
      <c r="D2423" s="36">
        <v>11370.48</v>
      </c>
      <c r="E2423" s="43" t="s">
        <v>3596</v>
      </c>
    </row>
    <row r="2424" spans="1:5" x14ac:dyDescent="0.35">
      <c r="A2424" s="40">
        <v>44910</v>
      </c>
      <c r="B2424" s="38">
        <v>-690</v>
      </c>
      <c r="C2424" s="45" t="s">
        <v>3040</v>
      </c>
      <c r="D2424" s="36">
        <v>11389.42</v>
      </c>
      <c r="E2424" s="43" t="s">
        <v>3596</v>
      </c>
    </row>
    <row r="2425" spans="1:5" x14ac:dyDescent="0.35">
      <c r="A2425" s="40">
        <v>44910</v>
      </c>
      <c r="B2425" s="38">
        <v>-43.68</v>
      </c>
      <c r="C2425" s="45" t="s">
        <v>3042</v>
      </c>
      <c r="D2425" s="36">
        <v>12080.73</v>
      </c>
      <c r="E2425" s="43" t="s">
        <v>3596</v>
      </c>
    </row>
    <row r="2426" spans="1:5" x14ac:dyDescent="0.35">
      <c r="A2426" s="40">
        <v>44910</v>
      </c>
      <c r="B2426" s="38">
        <v>-1.31</v>
      </c>
      <c r="C2426" s="45" t="s">
        <v>3041</v>
      </c>
      <c r="D2426" s="36">
        <v>12079.42</v>
      </c>
      <c r="E2426" s="43" t="s">
        <v>3596</v>
      </c>
    </row>
    <row r="2427" spans="1:5" x14ac:dyDescent="0.35">
      <c r="A2427" s="40">
        <v>44910</v>
      </c>
      <c r="B2427" s="38">
        <v>-1.99</v>
      </c>
      <c r="C2427" s="45" t="s">
        <v>3046</v>
      </c>
      <c r="D2427" s="36">
        <v>12187.54</v>
      </c>
      <c r="E2427" s="43" t="s">
        <v>3596</v>
      </c>
    </row>
    <row r="2428" spans="1:5" x14ac:dyDescent="0.35">
      <c r="A2428" s="40">
        <v>44910</v>
      </c>
      <c r="B2428" s="38">
        <v>-36.130000000000003</v>
      </c>
      <c r="C2428" s="45" t="s">
        <v>3045</v>
      </c>
      <c r="D2428" s="36">
        <v>12151.41</v>
      </c>
      <c r="E2428" s="43" t="s">
        <v>3596</v>
      </c>
    </row>
    <row r="2429" spans="1:5" x14ac:dyDescent="0.35">
      <c r="A2429" s="40">
        <v>44910</v>
      </c>
      <c r="B2429" s="38">
        <v>-26</v>
      </c>
      <c r="C2429" s="45" t="s">
        <v>3044</v>
      </c>
      <c r="D2429" s="36">
        <v>12125.41</v>
      </c>
      <c r="E2429" s="43" t="s">
        <v>3596</v>
      </c>
    </row>
    <row r="2430" spans="1:5" x14ac:dyDescent="0.35">
      <c r="A2430" s="40">
        <v>44910</v>
      </c>
      <c r="B2430" s="38">
        <v>-1</v>
      </c>
      <c r="C2430" s="45" t="s">
        <v>3043</v>
      </c>
      <c r="D2430" s="36">
        <v>12124.41</v>
      </c>
      <c r="E2430" s="43" t="s">
        <v>3596</v>
      </c>
    </row>
    <row r="2431" spans="1:5" x14ac:dyDescent="0.35">
      <c r="A2431" s="40">
        <v>44909</v>
      </c>
      <c r="B2431" s="38">
        <v>-8.4700000000000006</v>
      </c>
      <c r="C2431" s="13" t="s">
        <v>3039</v>
      </c>
      <c r="D2431" s="36">
        <v>12213.98</v>
      </c>
      <c r="E2431" s="43" t="s">
        <v>3596</v>
      </c>
    </row>
    <row r="2432" spans="1:5" x14ac:dyDescent="0.35">
      <c r="A2432" s="40">
        <v>44909</v>
      </c>
      <c r="B2432" s="38">
        <v>-9.4499999999999993</v>
      </c>
      <c r="C2432" s="13" t="s">
        <v>3038</v>
      </c>
      <c r="D2432" s="36">
        <v>12204.53</v>
      </c>
      <c r="E2432" s="43" t="s">
        <v>3596</v>
      </c>
    </row>
    <row r="2433" spans="1:5" x14ac:dyDescent="0.35">
      <c r="A2433" s="40">
        <v>44909</v>
      </c>
      <c r="B2433" s="38">
        <v>-15</v>
      </c>
      <c r="C2433" s="13" t="s">
        <v>3037</v>
      </c>
      <c r="D2433" s="36">
        <v>12189.53</v>
      </c>
      <c r="E2433" s="43" t="s">
        <v>3596</v>
      </c>
    </row>
    <row r="2434" spans="1:5" x14ac:dyDescent="0.35">
      <c r="A2434" s="40">
        <v>44908</v>
      </c>
      <c r="B2434" s="38">
        <v>-20.32</v>
      </c>
      <c r="C2434" s="13" t="s">
        <v>3034</v>
      </c>
      <c r="D2434" s="36">
        <v>12384.3</v>
      </c>
      <c r="E2434" s="43" t="s">
        <v>3596</v>
      </c>
    </row>
    <row r="2435" spans="1:5" x14ac:dyDescent="0.35">
      <c r="A2435" s="40">
        <v>44908</v>
      </c>
      <c r="B2435" s="38">
        <v>-2.2400000000000002</v>
      </c>
      <c r="C2435" s="13" t="s">
        <v>3036</v>
      </c>
      <c r="D2435" s="36">
        <v>12414.27</v>
      </c>
      <c r="E2435" s="43" t="s">
        <v>3596</v>
      </c>
    </row>
    <row r="2436" spans="1:5" x14ac:dyDescent="0.35">
      <c r="A2436" s="40">
        <v>44908</v>
      </c>
      <c r="B2436" s="38">
        <v>-9.65</v>
      </c>
      <c r="C2436" s="13" t="s">
        <v>3035</v>
      </c>
      <c r="D2436" s="36">
        <v>12404.62</v>
      </c>
      <c r="E2436" s="43" t="s">
        <v>3596</v>
      </c>
    </row>
    <row r="2437" spans="1:5" x14ac:dyDescent="0.35">
      <c r="A2437" s="40">
        <v>44908</v>
      </c>
      <c r="B2437" s="38">
        <v>-12.2</v>
      </c>
      <c r="C2437" s="13" t="s">
        <v>3033</v>
      </c>
      <c r="D2437" s="36">
        <v>12372.1</v>
      </c>
      <c r="E2437" s="43" t="s">
        <v>3596</v>
      </c>
    </row>
    <row r="2438" spans="1:5" x14ac:dyDescent="0.35">
      <c r="A2438" s="40">
        <v>44908</v>
      </c>
      <c r="B2438" s="38">
        <v>-42.9</v>
      </c>
      <c r="C2438" s="13" t="s">
        <v>3030</v>
      </c>
      <c r="D2438" s="36">
        <v>12230.5</v>
      </c>
      <c r="E2438" s="43" t="s">
        <v>3596</v>
      </c>
    </row>
    <row r="2439" spans="1:5" x14ac:dyDescent="0.35">
      <c r="A2439" s="40">
        <v>44908</v>
      </c>
      <c r="B2439" s="38">
        <v>-18.7</v>
      </c>
      <c r="C2439" s="13" t="s">
        <v>3030</v>
      </c>
      <c r="D2439" s="36">
        <v>12273.4</v>
      </c>
      <c r="E2439" s="43" t="s">
        <v>3596</v>
      </c>
    </row>
    <row r="2440" spans="1:5" x14ac:dyDescent="0.35">
      <c r="A2440" s="40">
        <v>44908</v>
      </c>
      <c r="B2440" s="38">
        <v>-78</v>
      </c>
      <c r="C2440" s="13" t="s">
        <v>3031</v>
      </c>
      <c r="D2440" s="36">
        <v>12292.1</v>
      </c>
      <c r="E2440" s="43" t="s">
        <v>3596</v>
      </c>
    </row>
    <row r="2441" spans="1:5" x14ac:dyDescent="0.35">
      <c r="A2441" s="40">
        <v>44908</v>
      </c>
      <c r="B2441" s="38">
        <v>-7.82</v>
      </c>
      <c r="C2441" s="13" t="s">
        <v>3029</v>
      </c>
      <c r="D2441" s="36">
        <v>12222.68</v>
      </c>
      <c r="E2441" s="43" t="s">
        <v>3596</v>
      </c>
    </row>
    <row r="2442" spans="1:5" x14ac:dyDescent="0.35">
      <c r="A2442" s="40">
        <v>44908</v>
      </c>
      <c r="B2442" s="38">
        <v>-2</v>
      </c>
      <c r="C2442" s="13" t="s">
        <v>3032</v>
      </c>
      <c r="D2442" s="36">
        <v>12370.1</v>
      </c>
      <c r="E2442" s="43" t="s">
        <v>3596</v>
      </c>
    </row>
    <row r="2443" spans="1:5" x14ac:dyDescent="0.35">
      <c r="A2443" s="40">
        <v>44908</v>
      </c>
      <c r="B2443" s="38">
        <v>-0.23</v>
      </c>
      <c r="C2443" s="13" t="s">
        <v>3028</v>
      </c>
      <c r="D2443" s="36">
        <v>12222.45</v>
      </c>
      <c r="E2443" s="43" t="s">
        <v>3596</v>
      </c>
    </row>
    <row r="2444" spans="1:5" x14ac:dyDescent="0.35">
      <c r="A2444" s="40">
        <v>44905</v>
      </c>
      <c r="B2444" s="38">
        <v>-9.65</v>
      </c>
      <c r="C2444" s="13" t="s">
        <v>3027</v>
      </c>
      <c r="D2444" s="36">
        <v>12521.71</v>
      </c>
      <c r="E2444" s="43" t="s">
        <v>3596</v>
      </c>
    </row>
    <row r="2445" spans="1:5" x14ac:dyDescent="0.35">
      <c r="A2445" s="40">
        <v>44905</v>
      </c>
      <c r="B2445" s="38">
        <v>-13.2</v>
      </c>
      <c r="C2445" s="13" t="s">
        <v>3026</v>
      </c>
      <c r="D2445" s="36">
        <v>12508.51</v>
      </c>
      <c r="E2445" s="43" t="s">
        <v>3596</v>
      </c>
    </row>
    <row r="2446" spans="1:5" x14ac:dyDescent="0.35">
      <c r="A2446" s="40">
        <v>44905</v>
      </c>
      <c r="B2446" s="38">
        <v>-65</v>
      </c>
      <c r="C2446" s="13" t="s">
        <v>3025</v>
      </c>
      <c r="D2446" s="36">
        <v>12443.51</v>
      </c>
      <c r="E2446" s="43" t="s">
        <v>3596</v>
      </c>
    </row>
    <row r="2447" spans="1:5" x14ac:dyDescent="0.35">
      <c r="A2447" s="40">
        <v>44905</v>
      </c>
      <c r="B2447" s="38">
        <v>-27</v>
      </c>
      <c r="C2447" s="13" t="s">
        <v>3024</v>
      </c>
      <c r="D2447" s="36">
        <v>12416.51</v>
      </c>
      <c r="E2447" s="43" t="s">
        <v>3596</v>
      </c>
    </row>
    <row r="2448" spans="1:5" x14ac:dyDescent="0.35">
      <c r="A2448" s="40">
        <v>44904</v>
      </c>
      <c r="B2448" s="38">
        <v>-22.99</v>
      </c>
      <c r="C2448" s="13" t="s">
        <v>3023</v>
      </c>
      <c r="D2448" s="36">
        <v>12031.36</v>
      </c>
      <c r="E2448" s="43" t="s">
        <v>3596</v>
      </c>
    </row>
    <row r="2449" spans="1:5" x14ac:dyDescent="0.35">
      <c r="A2449" s="40">
        <v>44904</v>
      </c>
      <c r="B2449" s="38">
        <v>500</v>
      </c>
      <c r="C2449" s="13" t="s">
        <v>3022</v>
      </c>
      <c r="D2449" s="36">
        <v>12531.36</v>
      </c>
      <c r="E2449" s="43" t="s">
        <v>3596</v>
      </c>
    </row>
    <row r="2450" spans="1:5" x14ac:dyDescent="0.35">
      <c r="A2450" s="40">
        <v>44903</v>
      </c>
      <c r="B2450" s="38">
        <v>-500</v>
      </c>
      <c r="C2450" s="13" t="s">
        <v>1395</v>
      </c>
      <c r="D2450" s="36">
        <v>12501.81</v>
      </c>
      <c r="E2450" s="43" t="s">
        <v>3596</v>
      </c>
    </row>
    <row r="2451" spans="1:5" x14ac:dyDescent="0.35">
      <c r="A2451" s="40">
        <v>44903</v>
      </c>
      <c r="B2451" s="38">
        <v>-13.2</v>
      </c>
      <c r="C2451" s="13" t="s">
        <v>3020</v>
      </c>
      <c r="D2451" s="36">
        <v>12488.61</v>
      </c>
      <c r="E2451" s="43" t="s">
        <v>3596</v>
      </c>
    </row>
    <row r="2452" spans="1:5" x14ac:dyDescent="0.35">
      <c r="A2452" s="40">
        <v>44903</v>
      </c>
      <c r="B2452" s="38">
        <v>2422.16</v>
      </c>
      <c r="C2452" s="13" t="s">
        <v>3021</v>
      </c>
      <c r="D2452" s="36">
        <v>13001.81</v>
      </c>
      <c r="E2452" s="43" t="s">
        <v>3596</v>
      </c>
    </row>
    <row r="2453" spans="1:5" x14ac:dyDescent="0.35">
      <c r="A2453" s="40">
        <v>44903</v>
      </c>
      <c r="B2453" s="38">
        <v>-434.26</v>
      </c>
      <c r="C2453" s="13" t="s">
        <v>3019</v>
      </c>
      <c r="D2453" s="36">
        <v>12054.35</v>
      </c>
      <c r="E2453" s="43" t="s">
        <v>3596</v>
      </c>
    </row>
    <row r="2454" spans="1:5" x14ac:dyDescent="0.35">
      <c r="A2454" s="40">
        <v>44902</v>
      </c>
      <c r="B2454" s="38">
        <v>-9.65</v>
      </c>
      <c r="C2454" s="13" t="s">
        <v>3018</v>
      </c>
      <c r="D2454" s="36">
        <v>10621.89</v>
      </c>
      <c r="E2454" s="43" t="s">
        <v>3596</v>
      </c>
    </row>
    <row r="2455" spans="1:5" x14ac:dyDescent="0.35">
      <c r="A2455" s="40">
        <v>44902</v>
      </c>
      <c r="B2455" s="38">
        <v>-13.2</v>
      </c>
      <c r="C2455" s="13" t="s">
        <v>3017</v>
      </c>
      <c r="D2455" s="36">
        <v>10608.69</v>
      </c>
      <c r="E2455" s="43" t="s">
        <v>3596</v>
      </c>
    </row>
    <row r="2456" spans="1:5" x14ac:dyDescent="0.35">
      <c r="A2456" s="40">
        <v>44902</v>
      </c>
      <c r="B2456" s="38">
        <v>-24.04</v>
      </c>
      <c r="C2456" s="13" t="s">
        <v>1481</v>
      </c>
      <c r="D2456" s="36">
        <v>10579.65</v>
      </c>
      <c r="E2456" s="43" t="s">
        <v>3596</v>
      </c>
    </row>
    <row r="2457" spans="1:5" x14ac:dyDescent="0.35">
      <c r="A2457" s="40">
        <v>44902</v>
      </c>
      <c r="B2457" s="38">
        <v>-5</v>
      </c>
      <c r="C2457" s="13" t="s">
        <v>3016</v>
      </c>
      <c r="D2457" s="36">
        <v>10603.69</v>
      </c>
      <c r="E2457" s="43" t="s">
        <v>3596</v>
      </c>
    </row>
    <row r="2458" spans="1:5" x14ac:dyDescent="0.35">
      <c r="A2458" s="40">
        <v>44901</v>
      </c>
      <c r="B2458" s="38">
        <v>-33.520000000000003</v>
      </c>
      <c r="C2458" s="13" t="s">
        <v>3014</v>
      </c>
      <c r="D2458" s="36">
        <v>10331.540000000001</v>
      </c>
      <c r="E2458" s="43" t="s">
        <v>3596</v>
      </c>
    </row>
    <row r="2459" spans="1:5" x14ac:dyDescent="0.35">
      <c r="A2459" s="40">
        <v>44901</v>
      </c>
      <c r="B2459" s="38">
        <v>-45.39</v>
      </c>
      <c r="C2459" s="13" t="s">
        <v>3015</v>
      </c>
      <c r="D2459" s="36">
        <v>10365.06</v>
      </c>
      <c r="E2459" s="43" t="s">
        <v>3596</v>
      </c>
    </row>
    <row r="2460" spans="1:5" x14ac:dyDescent="0.35">
      <c r="A2460" s="40">
        <v>44901</v>
      </c>
      <c r="B2460" s="38">
        <v>300</v>
      </c>
      <c r="C2460" s="13" t="s">
        <v>3013</v>
      </c>
      <c r="D2460" s="36">
        <v>10631.54</v>
      </c>
      <c r="E2460" s="43" t="s">
        <v>3596</v>
      </c>
    </row>
    <row r="2461" spans="1:5" x14ac:dyDescent="0.35">
      <c r="A2461" s="40">
        <v>44900</v>
      </c>
      <c r="B2461" s="38">
        <v>-4.8</v>
      </c>
      <c r="C2461" s="13" t="s">
        <v>2532</v>
      </c>
      <c r="D2461" s="36">
        <v>10410.450000000001</v>
      </c>
      <c r="E2461" s="43" t="s">
        <v>3596</v>
      </c>
    </row>
    <row r="2462" spans="1:5" x14ac:dyDescent="0.35">
      <c r="A2462" s="40">
        <v>44900</v>
      </c>
      <c r="B2462" s="38">
        <v>-20</v>
      </c>
      <c r="C2462" s="13" t="s">
        <v>3012</v>
      </c>
      <c r="D2462" s="36">
        <v>10415.25</v>
      </c>
      <c r="E2462" s="43" t="s">
        <v>3596</v>
      </c>
    </row>
    <row r="2463" spans="1:5" x14ac:dyDescent="0.35">
      <c r="A2463" s="40">
        <v>44898</v>
      </c>
      <c r="B2463" s="38">
        <v>-94.9</v>
      </c>
      <c r="C2463" s="13" t="s">
        <v>3659</v>
      </c>
      <c r="D2463" s="36">
        <v>10447.6</v>
      </c>
      <c r="E2463" s="43" t="s">
        <v>3596</v>
      </c>
    </row>
    <row r="2464" spans="1:5" x14ac:dyDescent="0.35">
      <c r="A2464" s="40">
        <v>44898</v>
      </c>
      <c r="B2464" s="38">
        <v>-2.85</v>
      </c>
      <c r="C2464" s="13" t="s">
        <v>3011</v>
      </c>
      <c r="D2464" s="36">
        <v>10444.75</v>
      </c>
      <c r="E2464" s="43" t="s">
        <v>3596</v>
      </c>
    </row>
    <row r="2465" spans="1:5" x14ac:dyDescent="0.35">
      <c r="A2465" s="40">
        <v>44898</v>
      </c>
      <c r="B2465" s="38">
        <v>-9.5</v>
      </c>
      <c r="C2465" s="13" t="s">
        <v>2963</v>
      </c>
      <c r="D2465" s="36">
        <v>10435.25</v>
      </c>
      <c r="E2465" s="43" t="s">
        <v>3596</v>
      </c>
    </row>
    <row r="2466" spans="1:5" x14ac:dyDescent="0.35">
      <c r="A2466" s="40">
        <v>44897</v>
      </c>
      <c r="B2466" s="38">
        <v>20</v>
      </c>
      <c r="C2466" s="13" t="s">
        <v>3009</v>
      </c>
      <c r="D2466" s="36">
        <v>10542.5</v>
      </c>
      <c r="E2466" s="43" t="s">
        <v>3596</v>
      </c>
    </row>
    <row r="2467" spans="1:5" x14ac:dyDescent="0.35">
      <c r="A2467" s="40">
        <v>44897</v>
      </c>
      <c r="B2467" s="38">
        <v>-37.200000000000003</v>
      </c>
      <c r="C2467" s="13" t="s">
        <v>3010</v>
      </c>
      <c r="D2467" s="36">
        <v>10522.5</v>
      </c>
      <c r="E2467" s="43" t="s">
        <v>3596</v>
      </c>
    </row>
    <row r="2468" spans="1:5" x14ac:dyDescent="0.35">
      <c r="A2468" s="40">
        <v>44896</v>
      </c>
      <c r="B2468" s="38">
        <v>-186.7</v>
      </c>
      <c r="C2468" s="13" t="s">
        <v>3007</v>
      </c>
      <c r="D2468" s="36">
        <v>10559.7</v>
      </c>
      <c r="E2468" s="43" t="s">
        <v>3596</v>
      </c>
    </row>
    <row r="2469" spans="1:5" x14ac:dyDescent="0.35">
      <c r="A2469" s="40">
        <v>44896</v>
      </c>
      <c r="B2469" s="38">
        <v>-73.069999999999993</v>
      </c>
      <c r="C2469" s="13" t="s">
        <v>3008</v>
      </c>
      <c r="D2469" s="36">
        <v>10746.4</v>
      </c>
      <c r="E2469" s="43" t="s">
        <v>3596</v>
      </c>
    </row>
    <row r="2470" spans="1:5" x14ac:dyDescent="0.35">
      <c r="A2470" s="40">
        <v>44896</v>
      </c>
      <c r="B2470" s="38">
        <v>0.1</v>
      </c>
      <c r="C2470" s="13" t="s">
        <v>3598</v>
      </c>
      <c r="D2470" s="36">
        <v>2637.54</v>
      </c>
      <c r="E2470" s="43" t="s">
        <v>3604</v>
      </c>
    </row>
    <row r="2471" spans="1:5" x14ac:dyDescent="0.35">
      <c r="A2471" s="40">
        <v>44895</v>
      </c>
      <c r="B2471" s="38">
        <v>-13.2</v>
      </c>
      <c r="C2471" s="13" t="s">
        <v>2976</v>
      </c>
      <c r="D2471" s="36">
        <v>10889.47</v>
      </c>
      <c r="E2471" s="43" t="s">
        <v>3596</v>
      </c>
    </row>
    <row r="2472" spans="1:5" x14ac:dyDescent="0.35">
      <c r="A2472" s="40">
        <v>44895</v>
      </c>
      <c r="B2472" s="38">
        <v>2635.41</v>
      </c>
      <c r="C2472" s="13" t="s">
        <v>3602</v>
      </c>
      <c r="D2472" s="36">
        <v>2637.44</v>
      </c>
      <c r="E2472" s="43" t="s">
        <v>3604</v>
      </c>
    </row>
    <row r="2473" spans="1:5" x14ac:dyDescent="0.35">
      <c r="A2473" s="40">
        <v>44895</v>
      </c>
      <c r="B2473" s="38">
        <v>-70</v>
      </c>
      <c r="C2473" s="13" t="s">
        <v>3006</v>
      </c>
      <c r="D2473" s="36">
        <v>10819.47</v>
      </c>
      <c r="E2473" s="43" t="s">
        <v>3596</v>
      </c>
    </row>
    <row r="2474" spans="1:5" x14ac:dyDescent="0.35">
      <c r="A2474" s="40">
        <v>44894</v>
      </c>
      <c r="B2474" s="38">
        <v>-102.35</v>
      </c>
      <c r="C2474" s="13" t="s">
        <v>3000</v>
      </c>
      <c r="D2474" s="36">
        <v>11756.7</v>
      </c>
      <c r="E2474" s="43" t="s">
        <v>3596</v>
      </c>
    </row>
    <row r="2475" spans="1:5" x14ac:dyDescent="0.35">
      <c r="A2475" s="40">
        <v>44894</v>
      </c>
      <c r="B2475" s="38">
        <v>-147.74</v>
      </c>
      <c r="C2475" s="13" t="s">
        <v>2998</v>
      </c>
      <c r="D2475" s="36">
        <v>10995.67</v>
      </c>
      <c r="E2475" s="43" t="s">
        <v>3596</v>
      </c>
    </row>
    <row r="2476" spans="1:5" x14ac:dyDescent="0.35">
      <c r="A2476" s="40">
        <v>44894</v>
      </c>
      <c r="B2476" s="38">
        <v>-595.42999999999995</v>
      </c>
      <c r="C2476" s="13" t="s">
        <v>2999</v>
      </c>
      <c r="D2476" s="36">
        <v>11161.27</v>
      </c>
      <c r="E2476" s="43" t="s">
        <v>3596</v>
      </c>
    </row>
    <row r="2477" spans="1:5" x14ac:dyDescent="0.35">
      <c r="A2477" s="40">
        <v>44894</v>
      </c>
      <c r="B2477" s="38">
        <v>-35.74</v>
      </c>
      <c r="C2477" s="13" t="s">
        <v>3002</v>
      </c>
      <c r="D2477" s="36">
        <v>11894.79</v>
      </c>
      <c r="E2477" s="43" t="s">
        <v>3596</v>
      </c>
    </row>
    <row r="2478" spans="1:5" x14ac:dyDescent="0.35">
      <c r="A2478" s="40">
        <v>44894</v>
      </c>
      <c r="B2478" s="38">
        <v>-35.74</v>
      </c>
      <c r="C2478" s="13" t="s">
        <v>3001</v>
      </c>
      <c r="D2478" s="36">
        <v>11859.05</v>
      </c>
      <c r="E2478" s="43" t="s">
        <v>3596</v>
      </c>
    </row>
    <row r="2479" spans="1:5" x14ac:dyDescent="0.35">
      <c r="A2479" s="40">
        <v>44894</v>
      </c>
      <c r="B2479" s="38">
        <v>-53.99</v>
      </c>
      <c r="C2479" s="13" t="s">
        <v>3004</v>
      </c>
      <c r="D2479" s="36">
        <v>11941.03</v>
      </c>
      <c r="E2479" s="43" t="s">
        <v>3596</v>
      </c>
    </row>
    <row r="2480" spans="1:5" x14ac:dyDescent="0.35">
      <c r="A2480" s="40">
        <v>44894</v>
      </c>
      <c r="B2480" s="38">
        <v>-79</v>
      </c>
      <c r="C2480" s="13" t="s">
        <v>3651</v>
      </c>
      <c r="D2480" s="36">
        <v>10902.67</v>
      </c>
      <c r="E2480" s="43" t="s">
        <v>3596</v>
      </c>
    </row>
    <row r="2481" spans="1:5" x14ac:dyDescent="0.35">
      <c r="A2481" s="40">
        <v>44894</v>
      </c>
      <c r="B2481" s="38">
        <v>-4.43</v>
      </c>
      <c r="C2481" s="13" t="s">
        <v>2997</v>
      </c>
      <c r="D2481" s="36">
        <v>10991.24</v>
      </c>
      <c r="E2481" s="43" t="s">
        <v>3596</v>
      </c>
    </row>
    <row r="2482" spans="1:5" x14ac:dyDescent="0.35">
      <c r="A2482" s="40">
        <v>44894</v>
      </c>
      <c r="B2482" s="38">
        <v>-17.86</v>
      </c>
      <c r="C2482" s="13" t="s">
        <v>2997</v>
      </c>
      <c r="D2482" s="36">
        <v>11143.41</v>
      </c>
      <c r="E2482" s="43" t="s">
        <v>3596</v>
      </c>
    </row>
    <row r="2483" spans="1:5" x14ac:dyDescent="0.35">
      <c r="A2483" s="40">
        <v>44894</v>
      </c>
      <c r="B2483" s="38">
        <v>-9.57</v>
      </c>
      <c r="C2483" s="13" t="s">
        <v>2269</v>
      </c>
      <c r="D2483" s="36">
        <v>10981.67</v>
      </c>
      <c r="E2483" s="43" t="s">
        <v>3596</v>
      </c>
    </row>
    <row r="2484" spans="1:5" x14ac:dyDescent="0.35">
      <c r="A2484" s="40">
        <v>44894</v>
      </c>
      <c r="B2484" s="38">
        <v>-21.99</v>
      </c>
      <c r="C2484" s="13" t="s">
        <v>3005</v>
      </c>
      <c r="D2484" s="36">
        <v>11995.02</v>
      </c>
      <c r="E2484" s="43" t="s">
        <v>3596</v>
      </c>
    </row>
    <row r="2485" spans="1:5" x14ac:dyDescent="0.35">
      <c r="A2485" s="40">
        <v>44894</v>
      </c>
      <c r="B2485" s="38">
        <v>-10.5</v>
      </c>
      <c r="C2485" s="13" t="s">
        <v>3003</v>
      </c>
      <c r="D2485" s="36">
        <v>11930.53</v>
      </c>
      <c r="E2485" s="43" t="s">
        <v>3596</v>
      </c>
    </row>
    <row r="2486" spans="1:5" x14ac:dyDescent="0.35">
      <c r="A2486" s="40">
        <v>44893</v>
      </c>
      <c r="B2486" s="38">
        <v>1752.9</v>
      </c>
      <c r="C2486" s="13" t="s">
        <v>3662</v>
      </c>
      <c r="D2486" s="36">
        <v>12017.01</v>
      </c>
      <c r="E2486" s="43" t="s">
        <v>3596</v>
      </c>
    </row>
    <row r="2487" spans="1:5" x14ac:dyDescent="0.35">
      <c r="A2487" s="40">
        <v>44890</v>
      </c>
      <c r="B2487" s="38">
        <v>-2299</v>
      </c>
      <c r="C2487" s="13" t="s">
        <v>3652</v>
      </c>
      <c r="D2487" s="36">
        <v>10290.26</v>
      </c>
      <c r="E2487" s="43" t="s">
        <v>3596</v>
      </c>
    </row>
    <row r="2488" spans="1:5" x14ac:dyDescent="0.35">
      <c r="A2488" s="40">
        <v>44890</v>
      </c>
      <c r="B2488" s="38">
        <v>-26.15</v>
      </c>
      <c r="C2488" s="13" t="s">
        <v>2996</v>
      </c>
      <c r="D2488" s="36">
        <v>10264.11</v>
      </c>
      <c r="E2488" s="43" t="s">
        <v>3596</v>
      </c>
    </row>
    <row r="2489" spans="1:5" x14ac:dyDescent="0.35">
      <c r="A2489" s="40">
        <v>44889</v>
      </c>
      <c r="B2489" s="38">
        <v>-500</v>
      </c>
      <c r="C2489" s="13" t="s">
        <v>1395</v>
      </c>
      <c r="D2489" s="36">
        <v>12637.5</v>
      </c>
      <c r="E2489" s="43" t="s">
        <v>3596</v>
      </c>
    </row>
    <row r="2490" spans="1:5" x14ac:dyDescent="0.35">
      <c r="A2490" s="40">
        <v>44889</v>
      </c>
      <c r="B2490" s="38">
        <v>-13.2</v>
      </c>
      <c r="C2490" s="13" t="s">
        <v>2976</v>
      </c>
      <c r="D2490" s="36">
        <v>12589.26</v>
      </c>
      <c r="E2490" s="43" t="s">
        <v>3596</v>
      </c>
    </row>
    <row r="2491" spans="1:5" x14ac:dyDescent="0.35">
      <c r="A2491" s="40">
        <v>44889</v>
      </c>
      <c r="B2491" s="38">
        <v>2422.17</v>
      </c>
      <c r="C2491" s="13" t="s">
        <v>2995</v>
      </c>
      <c r="D2491" s="36">
        <v>13137.5</v>
      </c>
      <c r="E2491" s="43" t="s">
        <v>3596</v>
      </c>
    </row>
    <row r="2492" spans="1:5" x14ac:dyDescent="0.35">
      <c r="A2492" s="40">
        <v>44889</v>
      </c>
      <c r="B2492" s="38">
        <v>-35.04</v>
      </c>
      <c r="C2492" s="13" t="s">
        <v>2994</v>
      </c>
      <c r="D2492" s="36">
        <v>12602.46</v>
      </c>
      <c r="E2492" s="43" t="s">
        <v>3596</v>
      </c>
    </row>
    <row r="2493" spans="1:5" x14ac:dyDescent="0.35">
      <c r="A2493" s="40">
        <v>44888</v>
      </c>
      <c r="B2493" s="38">
        <v>-29.63</v>
      </c>
      <c r="C2493" s="13" t="s">
        <v>2993</v>
      </c>
      <c r="D2493" s="36">
        <v>12309.6</v>
      </c>
      <c r="E2493" s="43" t="s">
        <v>3596</v>
      </c>
    </row>
    <row r="2494" spans="1:5" x14ac:dyDescent="0.35">
      <c r="A2494" s="40">
        <v>44888</v>
      </c>
      <c r="B2494" s="38">
        <v>-35.58</v>
      </c>
      <c r="C2494" s="13" t="s">
        <v>2992</v>
      </c>
      <c r="D2494" s="36">
        <v>12274.02</v>
      </c>
      <c r="E2494" s="43" t="s">
        <v>3596</v>
      </c>
    </row>
    <row r="2495" spans="1:5" x14ac:dyDescent="0.35">
      <c r="A2495" s="40">
        <v>44888</v>
      </c>
      <c r="B2495" s="38">
        <v>-1558.69</v>
      </c>
      <c r="C2495" s="13" t="s">
        <v>3657</v>
      </c>
      <c r="D2495" s="36">
        <v>10715.33</v>
      </c>
      <c r="E2495" s="43" t="s">
        <v>3596</v>
      </c>
    </row>
    <row r="2496" spans="1:5" x14ac:dyDescent="0.35">
      <c r="A2496" s="40">
        <v>44887</v>
      </c>
      <c r="B2496" s="38">
        <v>-26.3</v>
      </c>
      <c r="C2496" s="13" t="s">
        <v>2990</v>
      </c>
      <c r="D2496" s="36">
        <v>12464.17</v>
      </c>
      <c r="E2496" s="43" t="s">
        <v>3596</v>
      </c>
    </row>
    <row r="2497" spans="1:5" x14ac:dyDescent="0.35">
      <c r="A2497" s="40">
        <v>44887</v>
      </c>
      <c r="B2497" s="38">
        <v>-38.06</v>
      </c>
      <c r="C2497" s="13" t="s">
        <v>2986</v>
      </c>
      <c r="D2497" s="36">
        <v>12357.73</v>
      </c>
      <c r="E2497" s="43" t="s">
        <v>3596</v>
      </c>
    </row>
    <row r="2498" spans="1:5" x14ac:dyDescent="0.35">
      <c r="A2498" s="40">
        <v>44887</v>
      </c>
      <c r="B2498" s="38">
        <v>-12.5</v>
      </c>
      <c r="C2498" s="13" t="s">
        <v>2985</v>
      </c>
      <c r="D2498" s="36">
        <v>12345.23</v>
      </c>
      <c r="E2498" s="43" t="s">
        <v>3596</v>
      </c>
    </row>
    <row r="2499" spans="1:5" x14ac:dyDescent="0.35">
      <c r="A2499" s="40">
        <v>44887</v>
      </c>
      <c r="B2499" s="38">
        <v>-45.04</v>
      </c>
      <c r="C2499" s="13" t="s">
        <v>2988</v>
      </c>
      <c r="D2499" s="36">
        <v>12397.14</v>
      </c>
      <c r="E2499" s="43" t="s">
        <v>3596</v>
      </c>
    </row>
    <row r="2500" spans="1:5" x14ac:dyDescent="0.35">
      <c r="A2500" s="40">
        <v>44887</v>
      </c>
      <c r="B2500" s="38">
        <v>-1.35</v>
      </c>
      <c r="C2500" s="13" t="s">
        <v>2987</v>
      </c>
      <c r="D2500" s="36">
        <v>12395.79</v>
      </c>
      <c r="E2500" s="43" t="s">
        <v>3596</v>
      </c>
    </row>
    <row r="2501" spans="1:5" x14ac:dyDescent="0.35">
      <c r="A2501" s="40">
        <v>44887</v>
      </c>
      <c r="B2501" s="38">
        <v>-36.29</v>
      </c>
      <c r="C2501" s="13" t="s">
        <v>2991</v>
      </c>
      <c r="D2501" s="36">
        <v>12490.47</v>
      </c>
      <c r="E2501" s="43" t="s">
        <v>3596</v>
      </c>
    </row>
    <row r="2502" spans="1:5" x14ac:dyDescent="0.35">
      <c r="A2502" s="40">
        <v>44887</v>
      </c>
      <c r="B2502" s="38">
        <v>-21.99</v>
      </c>
      <c r="C2502" s="13" t="s">
        <v>2989</v>
      </c>
      <c r="D2502" s="36">
        <v>12442.18</v>
      </c>
      <c r="E2502" s="43" t="s">
        <v>3596</v>
      </c>
    </row>
    <row r="2503" spans="1:5" x14ac:dyDescent="0.35">
      <c r="A2503" s="40">
        <v>44887</v>
      </c>
      <c r="B2503" s="38">
        <v>-6</v>
      </c>
      <c r="C2503" s="13" t="s">
        <v>2984</v>
      </c>
      <c r="D2503" s="36">
        <v>12339.23</v>
      </c>
      <c r="E2503" s="43" t="s">
        <v>3596</v>
      </c>
    </row>
    <row r="2504" spans="1:5" x14ac:dyDescent="0.35">
      <c r="A2504" s="40">
        <v>44884</v>
      </c>
      <c r="B2504" s="38">
        <v>-18.420000000000002</v>
      </c>
      <c r="C2504" s="13" t="s">
        <v>2981</v>
      </c>
      <c r="D2504" s="36">
        <v>12602.96</v>
      </c>
      <c r="E2504" s="43" t="s">
        <v>3596</v>
      </c>
    </row>
    <row r="2505" spans="1:5" x14ac:dyDescent="0.35">
      <c r="A2505" s="40">
        <v>44884</v>
      </c>
      <c r="B2505" s="38">
        <v>-32.979999999999997</v>
      </c>
      <c r="C2505" s="13" t="s">
        <v>2983</v>
      </c>
      <c r="D2505" s="36">
        <v>12631.96</v>
      </c>
      <c r="E2505" s="43" t="s">
        <v>3596</v>
      </c>
    </row>
    <row r="2506" spans="1:5" x14ac:dyDescent="0.35">
      <c r="A2506" s="40">
        <v>44884</v>
      </c>
      <c r="B2506" s="38">
        <v>-10.58</v>
      </c>
      <c r="C2506" s="13" t="s">
        <v>2982</v>
      </c>
      <c r="D2506" s="36">
        <v>12621.38</v>
      </c>
      <c r="E2506" s="43" t="s">
        <v>3596</v>
      </c>
    </row>
    <row r="2507" spans="1:5" x14ac:dyDescent="0.35">
      <c r="A2507" s="40">
        <v>44884</v>
      </c>
      <c r="B2507" s="38">
        <v>-42</v>
      </c>
      <c r="C2507" s="13" t="s">
        <v>3653</v>
      </c>
      <c r="D2507" s="36">
        <v>12540.96</v>
      </c>
      <c r="E2507" s="43" t="s">
        <v>3596</v>
      </c>
    </row>
    <row r="2508" spans="1:5" x14ac:dyDescent="0.35">
      <c r="A2508" s="40">
        <v>44884</v>
      </c>
      <c r="B2508" s="38">
        <v>-20</v>
      </c>
      <c r="C2508" s="13" t="s">
        <v>2980</v>
      </c>
      <c r="D2508" s="36">
        <v>12582.96</v>
      </c>
      <c r="E2508" s="43" t="s">
        <v>3596</v>
      </c>
    </row>
    <row r="2509" spans="1:5" x14ac:dyDescent="0.35">
      <c r="A2509" s="40">
        <v>44884</v>
      </c>
      <c r="B2509" s="38">
        <v>-14.2</v>
      </c>
      <c r="C2509" s="13" t="s">
        <v>2865</v>
      </c>
      <c r="D2509" s="36">
        <v>12526.76</v>
      </c>
      <c r="E2509" s="43" t="s">
        <v>3596</v>
      </c>
    </row>
    <row r="2510" spans="1:5" x14ac:dyDescent="0.35">
      <c r="A2510" s="40">
        <v>44883</v>
      </c>
      <c r="B2510" s="38">
        <v>-9.65</v>
      </c>
      <c r="C2510" s="13" t="s">
        <v>2978</v>
      </c>
      <c r="D2510" s="36">
        <v>12747.14</v>
      </c>
      <c r="E2510" s="43" t="s">
        <v>3596</v>
      </c>
    </row>
    <row r="2511" spans="1:5" x14ac:dyDescent="0.35">
      <c r="A2511" s="40">
        <v>44883</v>
      </c>
      <c r="B2511" s="38">
        <v>-98.5</v>
      </c>
      <c r="C2511" s="13" t="s">
        <v>2979</v>
      </c>
      <c r="D2511" s="36">
        <v>12756.79</v>
      </c>
      <c r="E2511" s="43" t="s">
        <v>3596</v>
      </c>
    </row>
    <row r="2512" spans="1:5" x14ac:dyDescent="0.35">
      <c r="A2512" s="40">
        <v>44883</v>
      </c>
      <c r="B2512" s="38">
        <v>-69</v>
      </c>
      <c r="C2512" s="13" t="s">
        <v>2977</v>
      </c>
      <c r="D2512" s="36">
        <v>12678.14</v>
      </c>
      <c r="E2512" s="43" t="s">
        <v>3596</v>
      </c>
    </row>
    <row r="2513" spans="1:5" x14ac:dyDescent="0.35">
      <c r="A2513" s="40">
        <v>44883</v>
      </c>
      <c r="B2513" s="38">
        <v>-13.2</v>
      </c>
      <c r="C2513" s="13" t="s">
        <v>2976</v>
      </c>
      <c r="D2513" s="36">
        <v>12664.94</v>
      </c>
      <c r="E2513" s="43" t="s">
        <v>3596</v>
      </c>
    </row>
    <row r="2514" spans="1:5" x14ac:dyDescent="0.35">
      <c r="A2514" s="40">
        <v>44882</v>
      </c>
      <c r="B2514" s="38">
        <v>-13.2</v>
      </c>
      <c r="C2514" s="13" t="s">
        <v>2975</v>
      </c>
      <c r="D2514" s="36">
        <v>12962.24</v>
      </c>
      <c r="E2514" s="43" t="s">
        <v>3596</v>
      </c>
    </row>
    <row r="2515" spans="1:5" x14ac:dyDescent="0.35">
      <c r="A2515" s="40">
        <v>44882</v>
      </c>
      <c r="B2515" s="38">
        <v>-82</v>
      </c>
      <c r="C2515" s="13" t="s">
        <v>2400</v>
      </c>
      <c r="D2515" s="36">
        <v>12855.29</v>
      </c>
      <c r="E2515" s="43" t="s">
        <v>3596</v>
      </c>
    </row>
    <row r="2516" spans="1:5" x14ac:dyDescent="0.35">
      <c r="A2516" s="40">
        <v>44882</v>
      </c>
      <c r="B2516" s="38">
        <v>-24.95</v>
      </c>
      <c r="C2516" s="13" t="s">
        <v>2974</v>
      </c>
      <c r="D2516" s="36">
        <v>12937.29</v>
      </c>
      <c r="E2516" s="43" t="s">
        <v>3596</v>
      </c>
    </row>
    <row r="2517" spans="1:5" x14ac:dyDescent="0.35">
      <c r="A2517" s="40">
        <v>44881</v>
      </c>
      <c r="B2517" s="38">
        <v>-33.96</v>
      </c>
      <c r="C2517" s="13" t="s">
        <v>2973</v>
      </c>
      <c r="D2517" s="36">
        <v>13019.15</v>
      </c>
      <c r="E2517" s="43" t="s">
        <v>3596</v>
      </c>
    </row>
    <row r="2518" spans="1:5" x14ac:dyDescent="0.35">
      <c r="A2518" s="40">
        <v>44881</v>
      </c>
      <c r="B2518" s="38">
        <v>-37.72</v>
      </c>
      <c r="C2518" s="13" t="s">
        <v>2972</v>
      </c>
      <c r="D2518" s="36">
        <v>12981.43</v>
      </c>
      <c r="E2518" s="43" t="s">
        <v>3596</v>
      </c>
    </row>
    <row r="2519" spans="1:5" x14ac:dyDescent="0.35">
      <c r="A2519" s="40">
        <v>44881</v>
      </c>
      <c r="B2519" s="38">
        <v>-5.99</v>
      </c>
      <c r="C2519" s="13" t="s">
        <v>2971</v>
      </c>
      <c r="D2519" s="36">
        <v>12975.44</v>
      </c>
      <c r="E2519" s="43" t="s">
        <v>3596</v>
      </c>
    </row>
    <row r="2520" spans="1:5" x14ac:dyDescent="0.35">
      <c r="A2520" s="40">
        <v>44880</v>
      </c>
      <c r="B2520" s="38">
        <v>-34.96</v>
      </c>
      <c r="C2520" s="13" t="s">
        <v>2967</v>
      </c>
      <c r="D2520" s="36">
        <v>11553.11</v>
      </c>
      <c r="E2520" s="43" t="s">
        <v>3596</v>
      </c>
    </row>
    <row r="2521" spans="1:5" x14ac:dyDescent="0.35">
      <c r="A2521" s="40">
        <v>44880</v>
      </c>
      <c r="B2521" s="38">
        <v>-34.86</v>
      </c>
      <c r="C2521" s="13" t="s">
        <v>2970</v>
      </c>
      <c r="D2521" s="36">
        <v>11606.24</v>
      </c>
      <c r="E2521" s="43" t="s">
        <v>3596</v>
      </c>
    </row>
    <row r="2522" spans="1:5" x14ac:dyDescent="0.35">
      <c r="A2522" s="40">
        <v>44880</v>
      </c>
      <c r="B2522" s="38">
        <v>-1.05</v>
      </c>
      <c r="C2522" s="13" t="s">
        <v>2969</v>
      </c>
      <c r="D2522" s="36">
        <v>11605.19</v>
      </c>
      <c r="E2522" s="43" t="s">
        <v>3596</v>
      </c>
    </row>
    <row r="2523" spans="1:5" x14ac:dyDescent="0.35">
      <c r="A2523" s="40">
        <v>44880</v>
      </c>
      <c r="B2523" s="38">
        <v>1500</v>
      </c>
      <c r="C2523" s="13" t="s">
        <v>3660</v>
      </c>
      <c r="D2523" s="36">
        <v>13053.11</v>
      </c>
      <c r="E2523" s="43" t="s">
        <v>3596</v>
      </c>
    </row>
    <row r="2524" spans="1:5" x14ac:dyDescent="0.35">
      <c r="A2524" s="40">
        <v>44880</v>
      </c>
      <c r="B2524" s="38">
        <v>-17.12</v>
      </c>
      <c r="C2524" s="13" t="s">
        <v>2968</v>
      </c>
      <c r="D2524" s="36">
        <v>11588.07</v>
      </c>
      <c r="E2524" s="43" t="s">
        <v>3596</v>
      </c>
    </row>
    <row r="2525" spans="1:5" x14ac:dyDescent="0.35">
      <c r="A2525" s="40">
        <v>44879</v>
      </c>
      <c r="B2525" s="38">
        <v>1500</v>
      </c>
      <c r="C2525" s="13" t="s">
        <v>3661</v>
      </c>
      <c r="D2525" s="36">
        <v>11641.1</v>
      </c>
      <c r="E2525" s="43" t="s">
        <v>3596</v>
      </c>
    </row>
    <row r="2526" spans="1:5" x14ac:dyDescent="0.35">
      <c r="A2526" s="40">
        <v>44879</v>
      </c>
      <c r="B2526" s="38">
        <v>-65.28</v>
      </c>
      <c r="C2526" s="13" t="s">
        <v>2966</v>
      </c>
      <c r="D2526" s="36">
        <v>10141.1</v>
      </c>
      <c r="E2526" s="43" t="s">
        <v>3596</v>
      </c>
    </row>
    <row r="2527" spans="1:5" x14ac:dyDescent="0.35">
      <c r="A2527" s="40">
        <v>44877</v>
      </c>
      <c r="B2527" s="38">
        <v>-6.68</v>
      </c>
      <c r="C2527" s="13" t="s">
        <v>2965</v>
      </c>
      <c r="D2527" s="36">
        <v>10240.36</v>
      </c>
      <c r="E2527" s="43" t="s">
        <v>3596</v>
      </c>
    </row>
    <row r="2528" spans="1:5" x14ac:dyDescent="0.35">
      <c r="A2528" s="40">
        <v>44877</v>
      </c>
      <c r="B2528" s="38">
        <v>-15.14</v>
      </c>
      <c r="C2528" s="13" t="s">
        <v>2465</v>
      </c>
      <c r="D2528" s="36">
        <v>10215.879999999999</v>
      </c>
      <c r="E2528" s="43" t="s">
        <v>3596</v>
      </c>
    </row>
    <row r="2529" spans="1:5" x14ac:dyDescent="0.35">
      <c r="A2529" s="40">
        <v>44877</v>
      </c>
      <c r="B2529" s="38">
        <v>-9.5</v>
      </c>
      <c r="C2529" s="13" t="s">
        <v>2963</v>
      </c>
      <c r="D2529" s="36">
        <v>10206.379999999999</v>
      </c>
      <c r="E2529" s="43" t="s">
        <v>3596</v>
      </c>
    </row>
    <row r="2530" spans="1:5" x14ac:dyDescent="0.35">
      <c r="A2530" s="40">
        <v>44877</v>
      </c>
      <c r="B2530" s="38">
        <v>-9.34</v>
      </c>
      <c r="C2530" s="13" t="s">
        <v>2964</v>
      </c>
      <c r="D2530" s="36">
        <v>10231.02</v>
      </c>
      <c r="E2530" s="43" t="s">
        <v>3596</v>
      </c>
    </row>
    <row r="2531" spans="1:5" x14ac:dyDescent="0.35">
      <c r="A2531" s="40">
        <v>44876</v>
      </c>
      <c r="B2531" s="38">
        <v>-8.98</v>
      </c>
      <c r="C2531" s="13" t="s">
        <v>2962</v>
      </c>
      <c r="D2531" s="36">
        <v>10255.49</v>
      </c>
      <c r="E2531" s="43" t="s">
        <v>3596</v>
      </c>
    </row>
    <row r="2532" spans="1:5" x14ac:dyDescent="0.35">
      <c r="A2532" s="40">
        <v>44876</v>
      </c>
      <c r="B2532" s="38">
        <v>-8.4499999999999993</v>
      </c>
      <c r="C2532" s="13" t="s">
        <v>2961</v>
      </c>
      <c r="D2532" s="36">
        <v>10247.040000000001</v>
      </c>
      <c r="E2532" s="43" t="s">
        <v>3596</v>
      </c>
    </row>
    <row r="2533" spans="1:5" x14ac:dyDescent="0.35">
      <c r="A2533" s="40">
        <v>44875</v>
      </c>
      <c r="B2533" s="38">
        <v>-500</v>
      </c>
      <c r="C2533" s="13" t="s">
        <v>1395</v>
      </c>
      <c r="D2533" s="36">
        <v>10356.27</v>
      </c>
      <c r="E2533" s="43" t="s">
        <v>3596</v>
      </c>
    </row>
    <row r="2534" spans="1:5" x14ac:dyDescent="0.35">
      <c r="A2534" s="40">
        <v>44875</v>
      </c>
      <c r="B2534" s="38">
        <v>2409.83</v>
      </c>
      <c r="C2534" s="13" t="s">
        <v>2960</v>
      </c>
      <c r="D2534" s="36">
        <v>10856.27</v>
      </c>
      <c r="E2534" s="43" t="s">
        <v>3596</v>
      </c>
    </row>
    <row r="2535" spans="1:5" x14ac:dyDescent="0.35">
      <c r="A2535" s="40">
        <v>44875</v>
      </c>
      <c r="B2535" s="38">
        <v>-91.8</v>
      </c>
      <c r="C2535" s="13" t="s">
        <v>2959</v>
      </c>
      <c r="D2535" s="36">
        <v>10264.469999999999</v>
      </c>
      <c r="E2535" s="43" t="s">
        <v>3596</v>
      </c>
    </row>
    <row r="2536" spans="1:5" x14ac:dyDescent="0.35">
      <c r="A2536" s="40">
        <v>44874</v>
      </c>
      <c r="B2536" s="38">
        <v>-8.5</v>
      </c>
      <c r="C2536" s="13" t="s">
        <v>2957</v>
      </c>
      <c r="D2536" s="36">
        <v>8509.18</v>
      </c>
      <c r="E2536" s="43" t="s">
        <v>3596</v>
      </c>
    </row>
    <row r="2537" spans="1:5" x14ac:dyDescent="0.35">
      <c r="A2537" s="40">
        <v>44874</v>
      </c>
      <c r="B2537" s="38">
        <v>-20</v>
      </c>
      <c r="C2537" s="13" t="s">
        <v>2956</v>
      </c>
      <c r="D2537" s="36">
        <v>8489.18</v>
      </c>
      <c r="E2537" s="43" t="s">
        <v>3596</v>
      </c>
    </row>
    <row r="2538" spans="1:5" x14ac:dyDescent="0.35">
      <c r="A2538" s="40">
        <v>44874</v>
      </c>
      <c r="B2538" s="38">
        <v>-35.049999999999997</v>
      </c>
      <c r="C2538" s="13" t="s">
        <v>2958</v>
      </c>
      <c r="D2538" s="36">
        <v>8517.68</v>
      </c>
      <c r="E2538" s="43" t="s">
        <v>3596</v>
      </c>
    </row>
    <row r="2539" spans="1:5" x14ac:dyDescent="0.35">
      <c r="A2539" s="40">
        <v>44874</v>
      </c>
      <c r="B2539" s="38">
        <v>-42.74</v>
      </c>
      <c r="C2539" s="13" t="s">
        <v>2955</v>
      </c>
      <c r="D2539" s="36">
        <v>8446.44</v>
      </c>
      <c r="E2539" s="43" t="s">
        <v>3596</v>
      </c>
    </row>
    <row r="2540" spans="1:5" x14ac:dyDescent="0.35">
      <c r="A2540" s="40">
        <v>44873</v>
      </c>
      <c r="B2540" s="38">
        <v>-37.119999999999997</v>
      </c>
      <c r="C2540" s="13" t="s">
        <v>2954</v>
      </c>
      <c r="D2540" s="36">
        <v>8552.73</v>
      </c>
      <c r="E2540" s="43" t="s">
        <v>3596</v>
      </c>
    </row>
    <row r="2541" spans="1:5" x14ac:dyDescent="0.35">
      <c r="A2541" s="40">
        <v>44872</v>
      </c>
      <c r="B2541" s="38">
        <v>-3.99</v>
      </c>
      <c r="C2541" s="13" t="s">
        <v>2953</v>
      </c>
      <c r="D2541" s="36">
        <v>8620.51</v>
      </c>
      <c r="E2541" s="43" t="s">
        <v>3596</v>
      </c>
    </row>
    <row r="2542" spans="1:5" x14ac:dyDescent="0.35">
      <c r="A2542" s="40">
        <v>44872</v>
      </c>
      <c r="B2542" s="38">
        <v>-30.66</v>
      </c>
      <c r="C2542" s="13" t="s">
        <v>2952</v>
      </c>
      <c r="D2542" s="36">
        <v>8589.85</v>
      </c>
      <c r="E2542" s="43" t="s">
        <v>3596</v>
      </c>
    </row>
    <row r="2543" spans="1:5" x14ac:dyDescent="0.35">
      <c r="A2543" s="40">
        <v>44870</v>
      </c>
      <c r="B2543" s="38">
        <v>-9.65</v>
      </c>
      <c r="C2543" s="13" t="s">
        <v>2951</v>
      </c>
      <c r="D2543" s="36">
        <v>8624.5</v>
      </c>
      <c r="E2543" s="43" t="s">
        <v>3596</v>
      </c>
    </row>
    <row r="2544" spans="1:5" x14ac:dyDescent="0.35">
      <c r="A2544" s="40">
        <v>44869</v>
      </c>
      <c r="B2544" s="38">
        <v>-9.65</v>
      </c>
      <c r="C2544" s="13" t="s">
        <v>2950</v>
      </c>
      <c r="D2544" s="36">
        <v>8634.15</v>
      </c>
      <c r="E2544" s="43" t="s">
        <v>3596</v>
      </c>
    </row>
    <row r="2545" spans="1:5" x14ac:dyDescent="0.35">
      <c r="A2545" s="40">
        <v>44868</v>
      </c>
      <c r="B2545" s="38">
        <v>-22.62</v>
      </c>
      <c r="C2545" s="13" t="s">
        <v>2949</v>
      </c>
      <c r="D2545" s="36">
        <v>8643.7999999999993</v>
      </c>
      <c r="E2545" s="43" t="s">
        <v>3596</v>
      </c>
    </row>
    <row r="2546" spans="1:5" x14ac:dyDescent="0.35">
      <c r="A2546" s="40">
        <v>44867</v>
      </c>
      <c r="B2546" s="38">
        <v>-9.65</v>
      </c>
      <c r="C2546" s="13" t="s">
        <v>2948</v>
      </c>
      <c r="D2546" s="36">
        <v>8691.44</v>
      </c>
      <c r="E2546" s="43" t="s">
        <v>3596</v>
      </c>
    </row>
    <row r="2547" spans="1:5" x14ac:dyDescent="0.35">
      <c r="A2547" s="40">
        <v>44867</v>
      </c>
      <c r="B2547" s="38">
        <v>-11.02</v>
      </c>
      <c r="C2547" s="13" t="s">
        <v>2898</v>
      </c>
      <c r="D2547" s="36">
        <v>8666.42</v>
      </c>
      <c r="E2547" s="43" t="s">
        <v>3596</v>
      </c>
    </row>
    <row r="2548" spans="1:5" x14ac:dyDescent="0.35">
      <c r="A2548" s="40">
        <v>44867</v>
      </c>
      <c r="B2548" s="38">
        <v>-14</v>
      </c>
      <c r="C2548" s="13" t="s">
        <v>2947</v>
      </c>
      <c r="D2548" s="36">
        <v>8677.44</v>
      </c>
      <c r="E2548" s="43" t="s">
        <v>3596</v>
      </c>
    </row>
    <row r="2549" spans="1:5" x14ac:dyDescent="0.35">
      <c r="A2549" s="40">
        <v>44866</v>
      </c>
      <c r="B2549" s="38">
        <v>-26.3</v>
      </c>
      <c r="C2549" s="13" t="s">
        <v>2946</v>
      </c>
      <c r="D2549" s="36">
        <v>8944.4699999999993</v>
      </c>
      <c r="E2549" s="43" t="s">
        <v>3596</v>
      </c>
    </row>
    <row r="2550" spans="1:5" x14ac:dyDescent="0.35">
      <c r="A2550" s="40">
        <v>44866</v>
      </c>
      <c r="B2550" s="38">
        <v>-186.7</v>
      </c>
      <c r="C2550" s="13" t="s">
        <v>2944</v>
      </c>
      <c r="D2550" s="36">
        <v>8701.09</v>
      </c>
      <c r="E2550" s="43" t="s">
        <v>3596</v>
      </c>
    </row>
    <row r="2551" spans="1:5" x14ac:dyDescent="0.35">
      <c r="A2551" s="40">
        <v>44866</v>
      </c>
      <c r="B2551" s="38">
        <v>-56.68</v>
      </c>
      <c r="C2551" s="13" t="s">
        <v>2945</v>
      </c>
      <c r="D2551" s="36">
        <v>8887.7900000000009</v>
      </c>
      <c r="E2551" s="43" t="s">
        <v>3596</v>
      </c>
    </row>
    <row r="2552" spans="1:5" x14ac:dyDescent="0.35">
      <c r="A2552" s="40">
        <v>44863</v>
      </c>
      <c r="B2552" s="38">
        <v>-15</v>
      </c>
      <c r="C2552" s="13" t="s">
        <v>1632</v>
      </c>
      <c r="D2552" s="36">
        <v>8970.77</v>
      </c>
      <c r="E2552" s="43" t="s">
        <v>3596</v>
      </c>
    </row>
    <row r="2553" spans="1:5" x14ac:dyDescent="0.35">
      <c r="A2553" s="40">
        <v>44861</v>
      </c>
      <c r="B2553" s="38">
        <v>-500</v>
      </c>
      <c r="C2553" s="13" t="s">
        <v>1395</v>
      </c>
      <c r="D2553" s="36">
        <v>9061.2900000000009</v>
      </c>
      <c r="E2553" s="43" t="s">
        <v>3596</v>
      </c>
    </row>
    <row r="2554" spans="1:5" x14ac:dyDescent="0.35">
      <c r="A2554" s="40">
        <v>44861</v>
      </c>
      <c r="B2554" s="38">
        <v>2543.0300000000002</v>
      </c>
      <c r="C2554" s="13" t="s">
        <v>2685</v>
      </c>
      <c r="D2554" s="36">
        <v>9561.2900000000009</v>
      </c>
      <c r="E2554" s="43" t="s">
        <v>3596</v>
      </c>
    </row>
    <row r="2555" spans="1:5" x14ac:dyDescent="0.35">
      <c r="A2555" s="40">
        <v>44861</v>
      </c>
      <c r="B2555" s="38">
        <v>-75.52</v>
      </c>
      <c r="C2555" s="13" t="s">
        <v>2943</v>
      </c>
      <c r="D2555" s="36">
        <v>8985.77</v>
      </c>
      <c r="E2555" s="43" t="s">
        <v>3596</v>
      </c>
    </row>
    <row r="2556" spans="1:5" x14ac:dyDescent="0.35">
      <c r="A2556" s="40">
        <v>44860</v>
      </c>
      <c r="B2556" s="38">
        <v>-3.2</v>
      </c>
      <c r="C2556" s="13" t="s">
        <v>2942</v>
      </c>
      <c r="D2556" s="36">
        <v>7074.26</v>
      </c>
      <c r="E2556" s="43" t="s">
        <v>3596</v>
      </c>
    </row>
    <row r="2557" spans="1:5" x14ac:dyDescent="0.35">
      <c r="A2557" s="40">
        <v>44860</v>
      </c>
      <c r="B2557" s="38">
        <v>-31</v>
      </c>
      <c r="C2557" s="13" t="s">
        <v>2941</v>
      </c>
      <c r="D2557" s="36">
        <v>7043.26</v>
      </c>
      <c r="E2557" s="43" t="s">
        <v>3596</v>
      </c>
    </row>
    <row r="2558" spans="1:5" x14ac:dyDescent="0.35">
      <c r="A2558" s="40">
        <v>44860</v>
      </c>
      <c r="B2558" s="38">
        <v>-13</v>
      </c>
      <c r="C2558" s="13" t="s">
        <v>1470</v>
      </c>
      <c r="D2558" s="36">
        <v>7030.26</v>
      </c>
      <c r="E2558" s="43" t="s">
        <v>3596</v>
      </c>
    </row>
    <row r="2559" spans="1:5" x14ac:dyDescent="0.35">
      <c r="A2559" s="40">
        <v>44860</v>
      </c>
      <c r="B2559" s="38">
        <v>-12</v>
      </c>
      <c r="C2559" s="13" t="s">
        <v>2940</v>
      </c>
      <c r="D2559" s="36">
        <v>7018.26</v>
      </c>
      <c r="E2559" s="43" t="s">
        <v>3596</v>
      </c>
    </row>
    <row r="2560" spans="1:5" x14ac:dyDescent="0.35">
      <c r="A2560" s="40">
        <v>44859</v>
      </c>
      <c r="B2560" s="38">
        <v>-26.3</v>
      </c>
      <c r="C2560" s="13" t="s">
        <v>2937</v>
      </c>
      <c r="D2560" s="36">
        <v>7118.41</v>
      </c>
      <c r="E2560" s="43" t="s">
        <v>3596</v>
      </c>
    </row>
    <row r="2561" spans="1:5" x14ac:dyDescent="0.35">
      <c r="A2561" s="40">
        <v>44859</v>
      </c>
      <c r="B2561" s="38">
        <v>-27.75</v>
      </c>
      <c r="C2561" s="13" t="s">
        <v>2938</v>
      </c>
      <c r="D2561" s="36">
        <v>7144.71</v>
      </c>
      <c r="E2561" s="43" t="s">
        <v>3596</v>
      </c>
    </row>
    <row r="2562" spans="1:5" x14ac:dyDescent="0.35">
      <c r="A2562" s="40">
        <v>44859</v>
      </c>
      <c r="B2562" s="38">
        <v>-40.950000000000003</v>
      </c>
      <c r="C2562" s="13" t="s">
        <v>2936</v>
      </c>
      <c r="D2562" s="36">
        <v>7077.46</v>
      </c>
      <c r="E2562" s="43" t="s">
        <v>3596</v>
      </c>
    </row>
    <row r="2563" spans="1:5" x14ac:dyDescent="0.35">
      <c r="A2563" s="40">
        <v>44859</v>
      </c>
      <c r="B2563" s="38">
        <v>-5.5</v>
      </c>
      <c r="C2563" s="13" t="s">
        <v>2939</v>
      </c>
      <c r="D2563" s="36">
        <v>7172.46</v>
      </c>
      <c r="E2563" s="43" t="s">
        <v>3596</v>
      </c>
    </row>
    <row r="2564" spans="1:5" x14ac:dyDescent="0.35">
      <c r="A2564" s="40">
        <v>44857</v>
      </c>
      <c r="B2564" s="38">
        <v>76</v>
      </c>
      <c r="C2564" s="13" t="s">
        <v>2934</v>
      </c>
      <c r="D2564" s="36">
        <v>7177.96</v>
      </c>
      <c r="E2564" s="43" t="s">
        <v>3596</v>
      </c>
    </row>
    <row r="2565" spans="1:5" x14ac:dyDescent="0.35">
      <c r="A2565" s="40">
        <v>44857</v>
      </c>
      <c r="B2565" s="38">
        <v>-157.5</v>
      </c>
      <c r="C2565" s="13" t="s">
        <v>2935</v>
      </c>
      <c r="D2565" s="36">
        <v>7101.96</v>
      </c>
      <c r="E2565" s="43" t="s">
        <v>3596</v>
      </c>
    </row>
    <row r="2566" spans="1:5" x14ac:dyDescent="0.35">
      <c r="A2566" s="40">
        <v>44856</v>
      </c>
      <c r="B2566" s="38">
        <v>-9.65</v>
      </c>
      <c r="C2566" s="13" t="s">
        <v>2933</v>
      </c>
      <c r="D2566" s="36">
        <v>7259.46</v>
      </c>
      <c r="E2566" s="43" t="s">
        <v>3596</v>
      </c>
    </row>
    <row r="2567" spans="1:5" x14ac:dyDescent="0.35">
      <c r="A2567" s="40">
        <v>44855</v>
      </c>
      <c r="B2567" s="38">
        <v>-50</v>
      </c>
      <c r="C2567" s="13" t="s">
        <v>1614</v>
      </c>
      <c r="D2567" s="36">
        <v>7269.11</v>
      </c>
      <c r="E2567" s="43" t="s">
        <v>3596</v>
      </c>
    </row>
    <row r="2568" spans="1:5" x14ac:dyDescent="0.35">
      <c r="A2568" s="40">
        <v>44855</v>
      </c>
      <c r="B2568" s="38">
        <v>-7.86</v>
      </c>
      <c r="C2568" s="13" t="s">
        <v>2932</v>
      </c>
      <c r="D2568" s="36">
        <v>7428.15</v>
      </c>
      <c r="E2568" s="43" t="s">
        <v>3596</v>
      </c>
    </row>
    <row r="2569" spans="1:5" x14ac:dyDescent="0.35">
      <c r="A2569" s="40">
        <v>44855</v>
      </c>
      <c r="B2569" s="38">
        <v>-69</v>
      </c>
      <c r="C2569" s="13" t="s">
        <v>2931</v>
      </c>
      <c r="D2569" s="36">
        <v>7359.15</v>
      </c>
      <c r="E2569" s="43" t="s">
        <v>3596</v>
      </c>
    </row>
    <row r="2570" spans="1:5" x14ac:dyDescent="0.35">
      <c r="A2570" s="40">
        <v>44855</v>
      </c>
      <c r="B2570" s="38">
        <v>-40.04</v>
      </c>
      <c r="C2570" s="13" t="s">
        <v>2930</v>
      </c>
      <c r="D2570" s="36">
        <v>7319.11</v>
      </c>
      <c r="E2570" s="43" t="s">
        <v>3596</v>
      </c>
    </row>
    <row r="2571" spans="1:5" x14ac:dyDescent="0.35">
      <c r="A2571" s="40">
        <v>44854</v>
      </c>
      <c r="B2571" s="38">
        <v>-9.99</v>
      </c>
      <c r="C2571" s="13" t="s">
        <v>2928</v>
      </c>
      <c r="D2571" s="36">
        <v>7405.01</v>
      </c>
      <c r="E2571" s="43" t="s">
        <v>3596</v>
      </c>
    </row>
    <row r="2572" spans="1:5" x14ac:dyDescent="0.35">
      <c r="A2572" s="40">
        <v>44854</v>
      </c>
      <c r="B2572" s="38">
        <v>-9.99</v>
      </c>
      <c r="C2572" s="13" t="s">
        <v>2929</v>
      </c>
      <c r="D2572" s="36">
        <v>7415</v>
      </c>
      <c r="E2572" s="43" t="s">
        <v>3596</v>
      </c>
    </row>
    <row r="2573" spans="1:5" x14ac:dyDescent="0.35">
      <c r="A2573" s="40">
        <v>44854</v>
      </c>
      <c r="B2573" s="38">
        <v>-14</v>
      </c>
      <c r="C2573" s="13" t="s">
        <v>2927</v>
      </c>
      <c r="D2573" s="36">
        <v>7391.01</v>
      </c>
      <c r="E2573" s="43" t="s">
        <v>3596</v>
      </c>
    </row>
    <row r="2574" spans="1:5" x14ac:dyDescent="0.35">
      <c r="A2574" s="40">
        <v>44854</v>
      </c>
      <c r="B2574" s="38">
        <v>45</v>
      </c>
      <c r="C2574" s="13" t="s">
        <v>2926</v>
      </c>
      <c r="D2574" s="36">
        <v>7436.01</v>
      </c>
      <c r="E2574" s="43" t="s">
        <v>3596</v>
      </c>
    </row>
    <row r="2575" spans="1:5" x14ac:dyDescent="0.35">
      <c r="A2575" s="40">
        <v>44853</v>
      </c>
      <c r="B2575" s="38">
        <v>-31.63</v>
      </c>
      <c r="C2575" s="13" t="s">
        <v>2925</v>
      </c>
      <c r="D2575" s="36">
        <v>7527</v>
      </c>
      <c r="E2575" s="43" t="s">
        <v>3596</v>
      </c>
    </row>
    <row r="2576" spans="1:5" x14ac:dyDescent="0.35">
      <c r="A2576" s="40">
        <v>44853</v>
      </c>
      <c r="B2576" s="38">
        <v>-11.02</v>
      </c>
      <c r="C2576" s="13" t="s">
        <v>2898</v>
      </c>
      <c r="D2576" s="36">
        <v>7515.98</v>
      </c>
      <c r="E2576" s="43" t="s">
        <v>3596</v>
      </c>
    </row>
    <row r="2577" spans="1:5" x14ac:dyDescent="0.35">
      <c r="A2577" s="40">
        <v>44853</v>
      </c>
      <c r="B2577" s="38">
        <v>-90.99</v>
      </c>
      <c r="C2577" s="13" t="s">
        <v>2404</v>
      </c>
      <c r="D2577" s="36">
        <v>7424.99</v>
      </c>
      <c r="E2577" s="43" t="s">
        <v>3596</v>
      </c>
    </row>
    <row r="2578" spans="1:5" x14ac:dyDescent="0.35">
      <c r="A2578" s="40">
        <v>44852</v>
      </c>
      <c r="B2578" s="38">
        <v>-20.059999999999999</v>
      </c>
      <c r="C2578" s="13" t="s">
        <v>2921</v>
      </c>
      <c r="D2578" s="36">
        <v>7790.61</v>
      </c>
      <c r="E2578" s="43" t="s">
        <v>3596</v>
      </c>
    </row>
    <row r="2579" spans="1:5" x14ac:dyDescent="0.35">
      <c r="A2579" s="40">
        <v>44852</v>
      </c>
      <c r="B2579" s="38">
        <v>-22.97</v>
      </c>
      <c r="C2579" s="13" t="s">
        <v>2922</v>
      </c>
      <c r="D2579" s="36">
        <v>7810.67</v>
      </c>
      <c r="E2579" s="43" t="s">
        <v>3596</v>
      </c>
    </row>
    <row r="2580" spans="1:5" x14ac:dyDescent="0.35">
      <c r="A2580" s="40">
        <v>44852</v>
      </c>
      <c r="B2580" s="38">
        <v>-26.3</v>
      </c>
      <c r="C2580" s="13" t="s">
        <v>2923</v>
      </c>
      <c r="D2580" s="36">
        <v>7833.64</v>
      </c>
      <c r="E2580" s="43" t="s">
        <v>3596</v>
      </c>
    </row>
    <row r="2581" spans="1:5" x14ac:dyDescent="0.35">
      <c r="A2581" s="40">
        <v>44852</v>
      </c>
      <c r="B2581" s="38">
        <v>-36.68</v>
      </c>
      <c r="C2581" s="13" t="s">
        <v>2916</v>
      </c>
      <c r="D2581" s="36">
        <v>7571.73</v>
      </c>
      <c r="E2581" s="43" t="s">
        <v>3596</v>
      </c>
    </row>
    <row r="2582" spans="1:5" x14ac:dyDescent="0.35">
      <c r="A2582" s="40">
        <v>44852</v>
      </c>
      <c r="B2582" s="38">
        <v>-6.15</v>
      </c>
      <c r="C2582" s="13" t="s">
        <v>2924</v>
      </c>
      <c r="D2582" s="36">
        <v>7859.94</v>
      </c>
      <c r="E2582" s="43" t="s">
        <v>3596</v>
      </c>
    </row>
    <row r="2583" spans="1:5" x14ac:dyDescent="0.35">
      <c r="A2583" s="40">
        <v>44852</v>
      </c>
      <c r="B2583" s="38">
        <v>-5.99</v>
      </c>
      <c r="C2583" s="13" t="s">
        <v>2920</v>
      </c>
      <c r="D2583" s="36">
        <v>7784.62</v>
      </c>
      <c r="E2583" s="43" t="s">
        <v>3596</v>
      </c>
    </row>
    <row r="2584" spans="1:5" x14ac:dyDescent="0.35">
      <c r="A2584" s="40">
        <v>44852</v>
      </c>
      <c r="B2584" s="38">
        <v>-15.64</v>
      </c>
      <c r="C2584" s="13" t="s">
        <v>2918</v>
      </c>
      <c r="D2584" s="36">
        <v>7612.98</v>
      </c>
      <c r="E2584" s="43" t="s">
        <v>3596</v>
      </c>
    </row>
    <row r="2585" spans="1:5" x14ac:dyDescent="0.35">
      <c r="A2585" s="40">
        <v>44852</v>
      </c>
      <c r="B2585" s="38">
        <v>-156</v>
      </c>
      <c r="C2585" s="13" t="s">
        <v>2919</v>
      </c>
      <c r="D2585" s="36">
        <v>7628.62</v>
      </c>
      <c r="E2585" s="43" t="s">
        <v>3596</v>
      </c>
    </row>
    <row r="2586" spans="1:5" x14ac:dyDescent="0.35">
      <c r="A2586" s="40">
        <v>44852</v>
      </c>
      <c r="B2586" s="38">
        <v>-4.57</v>
      </c>
      <c r="C2586" s="13" t="s">
        <v>2917</v>
      </c>
      <c r="D2586" s="36">
        <v>7608.41</v>
      </c>
      <c r="E2586" s="43" t="s">
        <v>3596</v>
      </c>
    </row>
    <row r="2587" spans="1:5" x14ac:dyDescent="0.35">
      <c r="A2587" s="40">
        <v>44852</v>
      </c>
      <c r="B2587" s="38">
        <v>-13.1</v>
      </c>
      <c r="C2587" s="13" t="s">
        <v>2915</v>
      </c>
      <c r="D2587" s="36">
        <v>7558.63</v>
      </c>
      <c r="E2587" s="43" t="s">
        <v>3596</v>
      </c>
    </row>
    <row r="2588" spans="1:5" x14ac:dyDescent="0.35">
      <c r="A2588" s="40">
        <v>44850</v>
      </c>
      <c r="B2588" s="38">
        <v>-30.96</v>
      </c>
      <c r="C2588" s="13" t="s">
        <v>2914</v>
      </c>
      <c r="D2588" s="36">
        <v>7866.09</v>
      </c>
      <c r="E2588" s="43" t="s">
        <v>3596</v>
      </c>
    </row>
    <row r="2589" spans="1:5" x14ac:dyDescent="0.35">
      <c r="A2589" s="40">
        <v>44849</v>
      </c>
      <c r="B2589" s="38">
        <v>-28.96</v>
      </c>
      <c r="C2589" s="13" t="s">
        <v>2911</v>
      </c>
      <c r="D2589" s="36">
        <v>7915.22</v>
      </c>
      <c r="E2589" s="43" t="s">
        <v>3596</v>
      </c>
    </row>
    <row r="2590" spans="1:5" x14ac:dyDescent="0.35">
      <c r="A2590" s="40">
        <v>44849</v>
      </c>
      <c r="B2590" s="38">
        <v>-9.65</v>
      </c>
      <c r="C2590" s="13" t="s">
        <v>2913</v>
      </c>
      <c r="D2590" s="36">
        <v>7926.35</v>
      </c>
      <c r="E2590" s="43" t="s">
        <v>3596</v>
      </c>
    </row>
    <row r="2591" spans="1:5" x14ac:dyDescent="0.35">
      <c r="A2591" s="40">
        <v>44849</v>
      </c>
      <c r="B2591" s="38">
        <v>17.829999999999998</v>
      </c>
      <c r="C2591" s="13" t="s">
        <v>2912</v>
      </c>
      <c r="D2591" s="36">
        <v>7944.18</v>
      </c>
      <c r="E2591" s="43" t="s">
        <v>3596</v>
      </c>
    </row>
    <row r="2592" spans="1:5" x14ac:dyDescent="0.35">
      <c r="A2592" s="40">
        <v>44849</v>
      </c>
      <c r="B2592" s="38">
        <v>-17.64</v>
      </c>
      <c r="C2592" s="13" t="s">
        <v>2910</v>
      </c>
      <c r="D2592" s="36">
        <v>7897.58</v>
      </c>
      <c r="E2592" s="43" t="s">
        <v>3596</v>
      </c>
    </row>
    <row r="2593" spans="1:5" x14ac:dyDescent="0.35">
      <c r="A2593" s="40">
        <v>44849</v>
      </c>
      <c r="B2593" s="38">
        <v>-0.53</v>
      </c>
      <c r="C2593" s="13" t="s">
        <v>2909</v>
      </c>
      <c r="D2593" s="36">
        <v>7897.05</v>
      </c>
      <c r="E2593" s="43" t="s">
        <v>3596</v>
      </c>
    </row>
    <row r="2594" spans="1:5" x14ac:dyDescent="0.35">
      <c r="A2594" s="40">
        <v>44848</v>
      </c>
      <c r="B2594" s="38">
        <v>-9.65</v>
      </c>
      <c r="C2594" s="13" t="s">
        <v>2908</v>
      </c>
      <c r="D2594" s="36">
        <v>7949.2</v>
      </c>
      <c r="E2594" s="43" t="s">
        <v>3596</v>
      </c>
    </row>
    <row r="2595" spans="1:5" x14ac:dyDescent="0.35">
      <c r="A2595" s="40">
        <v>44848</v>
      </c>
      <c r="B2595" s="38">
        <v>-13.2</v>
      </c>
      <c r="C2595" s="13" t="s">
        <v>2907</v>
      </c>
      <c r="D2595" s="36">
        <v>7936</v>
      </c>
      <c r="E2595" s="43" t="s">
        <v>3596</v>
      </c>
    </row>
    <row r="2596" spans="1:5" x14ac:dyDescent="0.35">
      <c r="A2596" s="40">
        <v>44847</v>
      </c>
      <c r="B2596" s="38">
        <v>-500</v>
      </c>
      <c r="C2596" s="13" t="s">
        <v>1395</v>
      </c>
      <c r="D2596" s="36">
        <v>7958.85</v>
      </c>
      <c r="E2596" s="43" t="s">
        <v>3596</v>
      </c>
    </row>
    <row r="2597" spans="1:5" x14ac:dyDescent="0.35">
      <c r="A2597" s="40">
        <v>44847</v>
      </c>
      <c r="B2597" s="38">
        <v>2379.48</v>
      </c>
      <c r="C2597" s="13" t="s">
        <v>2906</v>
      </c>
      <c r="D2597" s="36">
        <v>8458.85</v>
      </c>
      <c r="E2597" s="43" t="s">
        <v>3596</v>
      </c>
    </row>
    <row r="2598" spans="1:5" x14ac:dyDescent="0.35">
      <c r="A2598" s="40">
        <v>44846</v>
      </c>
      <c r="B2598" s="38">
        <v>-9.65</v>
      </c>
      <c r="C2598" s="13" t="s">
        <v>2905</v>
      </c>
      <c r="D2598" s="36">
        <v>6117.21</v>
      </c>
      <c r="E2598" s="43" t="s">
        <v>3596</v>
      </c>
    </row>
    <row r="2599" spans="1:5" x14ac:dyDescent="0.35">
      <c r="A2599" s="40">
        <v>44846</v>
      </c>
      <c r="B2599" s="38">
        <v>-7.08</v>
      </c>
      <c r="C2599" s="13" t="s">
        <v>2898</v>
      </c>
      <c r="D2599" s="36">
        <v>6079.37</v>
      </c>
      <c r="E2599" s="43" t="s">
        <v>3596</v>
      </c>
    </row>
    <row r="2600" spans="1:5" x14ac:dyDescent="0.35">
      <c r="A2600" s="40">
        <v>44846</v>
      </c>
      <c r="B2600" s="38">
        <v>-6.99</v>
      </c>
      <c r="C2600" s="13" t="s">
        <v>2904</v>
      </c>
      <c r="D2600" s="36">
        <v>6110.22</v>
      </c>
      <c r="E2600" s="43" t="s">
        <v>3596</v>
      </c>
    </row>
    <row r="2601" spans="1:5" x14ac:dyDescent="0.35">
      <c r="A2601" s="40">
        <v>44846</v>
      </c>
      <c r="B2601" s="38">
        <v>-23.77</v>
      </c>
      <c r="C2601" s="13" t="s">
        <v>2903</v>
      </c>
      <c r="D2601" s="36">
        <v>6086.45</v>
      </c>
      <c r="E2601" s="43" t="s">
        <v>3596</v>
      </c>
    </row>
    <row r="2602" spans="1:5" x14ac:dyDescent="0.35">
      <c r="A2602" s="40">
        <v>44845</v>
      </c>
      <c r="B2602" s="38">
        <v>-44.83</v>
      </c>
      <c r="C2602" s="13" t="s">
        <v>2902</v>
      </c>
      <c r="D2602" s="36">
        <v>6196.39</v>
      </c>
      <c r="E2602" s="43" t="s">
        <v>3596</v>
      </c>
    </row>
    <row r="2603" spans="1:5" x14ac:dyDescent="0.35">
      <c r="A2603" s="40">
        <v>44845</v>
      </c>
      <c r="B2603" s="38">
        <v>-8.49</v>
      </c>
      <c r="C2603" s="13" t="s">
        <v>2898</v>
      </c>
      <c r="D2603" s="36">
        <v>6130.16</v>
      </c>
      <c r="E2603" s="43" t="s">
        <v>3596</v>
      </c>
    </row>
    <row r="2604" spans="1:5" x14ac:dyDescent="0.35">
      <c r="A2604" s="40">
        <v>44845</v>
      </c>
      <c r="B2604" s="38">
        <v>-3.3</v>
      </c>
      <c r="C2604" s="13" t="s">
        <v>2766</v>
      </c>
      <c r="D2604" s="36">
        <v>6126.86</v>
      </c>
      <c r="E2604" s="43" t="s">
        <v>3596</v>
      </c>
    </row>
    <row r="2605" spans="1:5" x14ac:dyDescent="0.35">
      <c r="A2605" s="40">
        <v>44845</v>
      </c>
      <c r="B2605" s="38">
        <v>-17.16</v>
      </c>
      <c r="C2605" s="13" t="s">
        <v>2900</v>
      </c>
      <c r="D2605" s="36">
        <v>6139.16</v>
      </c>
      <c r="E2605" s="43" t="s">
        <v>3596</v>
      </c>
    </row>
    <row r="2606" spans="1:5" x14ac:dyDescent="0.35">
      <c r="A2606" s="40">
        <v>44845</v>
      </c>
      <c r="B2606" s="38">
        <v>-0.51</v>
      </c>
      <c r="C2606" s="13" t="s">
        <v>2899</v>
      </c>
      <c r="D2606" s="36">
        <v>6138.65</v>
      </c>
      <c r="E2606" s="43" t="s">
        <v>3596</v>
      </c>
    </row>
    <row r="2607" spans="1:5" x14ac:dyDescent="0.35">
      <c r="A2607" s="40">
        <v>44845</v>
      </c>
      <c r="B2607" s="38">
        <v>-40.07</v>
      </c>
      <c r="C2607" s="13" t="s">
        <v>2901</v>
      </c>
      <c r="D2607" s="36">
        <v>6156.32</v>
      </c>
      <c r="E2607" s="43" t="s">
        <v>3596</v>
      </c>
    </row>
    <row r="2608" spans="1:5" x14ac:dyDescent="0.35">
      <c r="A2608" s="40">
        <v>44844</v>
      </c>
      <c r="B2608" s="38">
        <v>-13.14</v>
      </c>
      <c r="C2608" s="13" t="s">
        <v>2898</v>
      </c>
      <c r="D2608" s="36">
        <v>6241.22</v>
      </c>
      <c r="E2608" s="43" t="s">
        <v>3596</v>
      </c>
    </row>
    <row r="2609" spans="1:5" x14ac:dyDescent="0.35">
      <c r="A2609" s="40">
        <v>44842</v>
      </c>
      <c r="B2609" s="38">
        <v>-100</v>
      </c>
      <c r="C2609" s="13" t="s">
        <v>2897</v>
      </c>
      <c r="D2609" s="36">
        <v>6257.16</v>
      </c>
      <c r="E2609" s="43" t="s">
        <v>3596</v>
      </c>
    </row>
    <row r="2610" spans="1:5" x14ac:dyDescent="0.35">
      <c r="A2610" s="40">
        <v>44842</v>
      </c>
      <c r="B2610" s="38">
        <v>-50</v>
      </c>
      <c r="C2610" s="13" t="s">
        <v>1614</v>
      </c>
      <c r="D2610" s="36">
        <v>6357.16</v>
      </c>
      <c r="E2610" s="43" t="s">
        <v>3596</v>
      </c>
    </row>
    <row r="2611" spans="1:5" x14ac:dyDescent="0.35">
      <c r="A2611" s="40">
        <v>44842</v>
      </c>
      <c r="B2611" s="38">
        <v>-2.8</v>
      </c>
      <c r="C2611" s="13" t="s">
        <v>24</v>
      </c>
      <c r="D2611" s="36">
        <v>6254.36</v>
      </c>
      <c r="E2611" s="43" t="s">
        <v>3596</v>
      </c>
    </row>
    <row r="2612" spans="1:5" x14ac:dyDescent="0.35">
      <c r="A2612" s="40">
        <v>44841</v>
      </c>
      <c r="B2612" s="38">
        <v>-100</v>
      </c>
      <c r="C2612" s="13" t="s">
        <v>1614</v>
      </c>
      <c r="D2612" s="36">
        <v>6407.16</v>
      </c>
      <c r="E2612" s="43" t="s">
        <v>3596</v>
      </c>
    </row>
    <row r="2613" spans="1:5" x14ac:dyDescent="0.35">
      <c r="A2613" s="40">
        <v>44840</v>
      </c>
      <c r="B2613" s="38">
        <v>-22.99</v>
      </c>
      <c r="C2613" s="13" t="s">
        <v>2894</v>
      </c>
      <c r="D2613" s="36">
        <v>6603.47</v>
      </c>
      <c r="E2613" s="43" t="s">
        <v>3596</v>
      </c>
    </row>
    <row r="2614" spans="1:5" x14ac:dyDescent="0.35">
      <c r="A2614" s="40">
        <v>44840</v>
      </c>
      <c r="B2614" s="38">
        <v>-8.4700000000000006</v>
      </c>
      <c r="C2614" s="13" t="s">
        <v>2896</v>
      </c>
      <c r="D2614" s="36">
        <v>6626.46</v>
      </c>
      <c r="E2614" s="43" t="s">
        <v>3596</v>
      </c>
    </row>
    <row r="2615" spans="1:5" x14ac:dyDescent="0.35">
      <c r="A2615" s="40">
        <v>44840</v>
      </c>
      <c r="B2615" s="38">
        <v>-96.31</v>
      </c>
      <c r="C2615" s="13" t="s">
        <v>2895</v>
      </c>
      <c r="D2615" s="36">
        <v>6507.16</v>
      </c>
      <c r="E2615" s="43" t="s">
        <v>3596</v>
      </c>
    </row>
    <row r="2616" spans="1:5" x14ac:dyDescent="0.35">
      <c r="A2616" s="40">
        <v>44839</v>
      </c>
      <c r="B2616" s="38">
        <v>-22.79</v>
      </c>
      <c r="C2616" s="13" t="s">
        <v>2894</v>
      </c>
      <c r="D2616" s="36">
        <v>6634.93</v>
      </c>
      <c r="E2616" s="43" t="s">
        <v>3596</v>
      </c>
    </row>
    <row r="2617" spans="1:5" x14ac:dyDescent="0.35">
      <c r="A2617" s="40">
        <v>44838</v>
      </c>
      <c r="B2617" s="38">
        <v>-26.09</v>
      </c>
      <c r="C2617" s="13" t="s">
        <v>2892</v>
      </c>
      <c r="D2617" s="36">
        <v>6850.49</v>
      </c>
      <c r="E2617" s="43" t="s">
        <v>3596</v>
      </c>
    </row>
    <row r="2618" spans="1:5" x14ac:dyDescent="0.35">
      <c r="A2618" s="40">
        <v>44838</v>
      </c>
      <c r="B2618" s="38">
        <v>-39.19</v>
      </c>
      <c r="C2618" s="13" t="s">
        <v>2892</v>
      </c>
      <c r="D2618" s="36">
        <v>6876.58</v>
      </c>
      <c r="E2618" s="43" t="s">
        <v>3596</v>
      </c>
    </row>
    <row r="2619" spans="1:5" x14ac:dyDescent="0.35">
      <c r="A2619" s="40">
        <v>44838</v>
      </c>
      <c r="B2619" s="38">
        <v>-41.1</v>
      </c>
      <c r="C2619" s="13" t="s">
        <v>2893</v>
      </c>
      <c r="D2619" s="36">
        <v>6915.77</v>
      </c>
      <c r="E2619" s="43" t="s">
        <v>3596</v>
      </c>
    </row>
    <row r="2620" spans="1:5" x14ac:dyDescent="0.35">
      <c r="A2620" s="40">
        <v>44838</v>
      </c>
      <c r="B2620" s="38">
        <v>-180.55</v>
      </c>
      <c r="C2620" s="13" t="s">
        <v>2891</v>
      </c>
      <c r="D2620" s="36">
        <v>6657.72</v>
      </c>
      <c r="E2620" s="43" t="s">
        <v>3596</v>
      </c>
    </row>
    <row r="2621" spans="1:5" x14ac:dyDescent="0.35">
      <c r="A2621" s="40">
        <v>44838</v>
      </c>
      <c r="B2621" s="38">
        <v>-4.24</v>
      </c>
      <c r="C2621" s="13" t="s">
        <v>1481</v>
      </c>
      <c r="D2621" s="36">
        <v>6838.27</v>
      </c>
      <c r="E2621" s="43" t="s">
        <v>3596</v>
      </c>
    </row>
    <row r="2622" spans="1:5" x14ac:dyDescent="0.35">
      <c r="A2622" s="40">
        <v>44838</v>
      </c>
      <c r="B2622" s="38">
        <v>-7.98</v>
      </c>
      <c r="C2622" s="13" t="s">
        <v>1481</v>
      </c>
      <c r="D2622" s="36">
        <v>6842.51</v>
      </c>
      <c r="E2622" s="43" t="s">
        <v>3596</v>
      </c>
    </row>
    <row r="2623" spans="1:5" x14ac:dyDescent="0.35">
      <c r="A2623" s="40">
        <v>44834</v>
      </c>
      <c r="B2623" s="38">
        <v>-9.65</v>
      </c>
      <c r="C2623" s="13" t="s">
        <v>2890</v>
      </c>
      <c r="D2623" s="36">
        <v>6977.82</v>
      </c>
      <c r="E2623" s="43" t="s">
        <v>3596</v>
      </c>
    </row>
    <row r="2624" spans="1:5" x14ac:dyDescent="0.35">
      <c r="A2624" s="40">
        <v>44834</v>
      </c>
      <c r="B2624" s="38">
        <v>-20.95</v>
      </c>
      <c r="C2624" s="13" t="s">
        <v>1584</v>
      </c>
      <c r="D2624" s="36">
        <v>6956.87</v>
      </c>
      <c r="E2624" s="43" t="s">
        <v>3596</v>
      </c>
    </row>
    <row r="2625" spans="1:5" x14ac:dyDescent="0.35">
      <c r="A2625" s="40">
        <v>44833</v>
      </c>
      <c r="B2625" s="38">
        <v>-500</v>
      </c>
      <c r="C2625" s="13" t="s">
        <v>1395</v>
      </c>
      <c r="D2625" s="36">
        <v>6996.27</v>
      </c>
      <c r="E2625" s="43" t="s">
        <v>3596</v>
      </c>
    </row>
    <row r="2626" spans="1:5" x14ac:dyDescent="0.35">
      <c r="A2626" s="40">
        <v>44833</v>
      </c>
      <c r="B2626" s="38">
        <v>2727.1</v>
      </c>
      <c r="C2626" s="13" t="s">
        <v>2889</v>
      </c>
      <c r="D2626" s="36">
        <v>7496.27</v>
      </c>
      <c r="E2626" s="43" t="s">
        <v>3596</v>
      </c>
    </row>
    <row r="2627" spans="1:5" x14ac:dyDescent="0.35">
      <c r="A2627" s="40">
        <v>44833</v>
      </c>
      <c r="B2627" s="38">
        <v>-8.8000000000000007</v>
      </c>
      <c r="C2627" s="13" t="s">
        <v>2888</v>
      </c>
      <c r="D2627" s="36">
        <v>6987.47</v>
      </c>
      <c r="E2627" s="43" t="s">
        <v>3596</v>
      </c>
    </row>
    <row r="2628" spans="1:5" x14ac:dyDescent="0.35">
      <c r="A2628" s="40">
        <v>44832</v>
      </c>
      <c r="B2628" s="38">
        <v>-23.89</v>
      </c>
      <c r="C2628" s="13" t="s">
        <v>2885</v>
      </c>
      <c r="D2628" s="36">
        <v>4785.67</v>
      </c>
      <c r="E2628" s="43" t="s">
        <v>3596</v>
      </c>
    </row>
    <row r="2629" spans="1:5" x14ac:dyDescent="0.35">
      <c r="A2629" s="40">
        <v>44832</v>
      </c>
      <c r="B2629" s="38">
        <v>-9.65</v>
      </c>
      <c r="C2629" s="13" t="s">
        <v>2887</v>
      </c>
      <c r="D2629" s="36">
        <v>4846.42</v>
      </c>
      <c r="E2629" s="43" t="s">
        <v>3596</v>
      </c>
    </row>
    <row r="2630" spans="1:5" x14ac:dyDescent="0.35">
      <c r="A2630" s="40">
        <v>44832</v>
      </c>
      <c r="B2630" s="38">
        <v>-3.3</v>
      </c>
      <c r="C2630" s="13" t="s">
        <v>2883</v>
      </c>
      <c r="D2630" s="36">
        <v>4769.17</v>
      </c>
      <c r="E2630" s="43" t="s">
        <v>3596</v>
      </c>
    </row>
    <row r="2631" spans="1:5" x14ac:dyDescent="0.35">
      <c r="A2631" s="40">
        <v>44832</v>
      </c>
      <c r="B2631" s="38">
        <v>-13.2</v>
      </c>
      <c r="C2631" s="13" t="s">
        <v>2884</v>
      </c>
      <c r="D2631" s="36">
        <v>4772.47</v>
      </c>
      <c r="E2631" s="43" t="s">
        <v>3596</v>
      </c>
    </row>
    <row r="2632" spans="1:5" x14ac:dyDescent="0.35">
      <c r="A2632" s="40">
        <v>44832</v>
      </c>
      <c r="B2632" s="38">
        <v>-36.86</v>
      </c>
      <c r="C2632" s="13" t="s">
        <v>2886</v>
      </c>
      <c r="D2632" s="36">
        <v>4809.5600000000004</v>
      </c>
      <c r="E2632" s="43" t="s">
        <v>3596</v>
      </c>
    </row>
    <row r="2633" spans="1:5" x14ac:dyDescent="0.35">
      <c r="A2633" s="40">
        <v>44831</v>
      </c>
      <c r="B2633" s="38">
        <v>-5</v>
      </c>
      <c r="C2633" s="13" t="s">
        <v>2532</v>
      </c>
      <c r="D2633" s="36">
        <v>4862.05</v>
      </c>
      <c r="E2633" s="43" t="s">
        <v>3596</v>
      </c>
    </row>
    <row r="2634" spans="1:5" x14ac:dyDescent="0.35">
      <c r="A2634" s="40">
        <v>44831</v>
      </c>
      <c r="B2634" s="38">
        <v>-32.33</v>
      </c>
      <c r="C2634" s="13" t="s">
        <v>2882</v>
      </c>
      <c r="D2634" s="36">
        <v>5036.05</v>
      </c>
      <c r="E2634" s="43" t="s">
        <v>3596</v>
      </c>
    </row>
    <row r="2635" spans="1:5" x14ac:dyDescent="0.35">
      <c r="A2635" s="40">
        <v>44831</v>
      </c>
      <c r="B2635" s="38">
        <v>-169</v>
      </c>
      <c r="C2635" s="13" t="s">
        <v>2881</v>
      </c>
      <c r="D2635" s="36">
        <v>4867.05</v>
      </c>
      <c r="E2635" s="43" t="s">
        <v>3596</v>
      </c>
    </row>
    <row r="2636" spans="1:5" x14ac:dyDescent="0.35">
      <c r="A2636" s="40">
        <v>44831</v>
      </c>
      <c r="B2636" s="38">
        <v>214</v>
      </c>
      <c r="C2636" s="13" t="s">
        <v>2879</v>
      </c>
      <c r="D2636" s="36">
        <v>5070.07</v>
      </c>
      <c r="E2636" s="43" t="s">
        <v>3596</v>
      </c>
    </row>
    <row r="2637" spans="1:5" x14ac:dyDescent="0.35">
      <c r="A2637" s="40">
        <v>44831</v>
      </c>
      <c r="B2637" s="38">
        <v>-5.98</v>
      </c>
      <c r="C2637" s="13" t="s">
        <v>2880</v>
      </c>
      <c r="D2637" s="36">
        <v>4856.07</v>
      </c>
      <c r="E2637" s="43" t="s">
        <v>3596</v>
      </c>
    </row>
    <row r="2638" spans="1:5" x14ac:dyDescent="0.35">
      <c r="A2638" s="40">
        <v>44831</v>
      </c>
      <c r="B2638" s="38">
        <v>150</v>
      </c>
      <c r="C2638" s="13" t="s">
        <v>2878</v>
      </c>
      <c r="D2638" s="36">
        <v>4856.07</v>
      </c>
      <c r="E2638" s="43" t="s">
        <v>3596</v>
      </c>
    </row>
    <row r="2639" spans="1:5" x14ac:dyDescent="0.35">
      <c r="A2639" s="40">
        <v>44831</v>
      </c>
      <c r="B2639" s="38">
        <v>-214</v>
      </c>
      <c r="C2639" s="13" t="s">
        <v>3646</v>
      </c>
      <c r="D2639" s="36">
        <v>4856.07</v>
      </c>
      <c r="E2639" s="43" t="s">
        <v>3596</v>
      </c>
    </row>
    <row r="2640" spans="1:5" x14ac:dyDescent="0.35">
      <c r="A2640" s="40">
        <v>44831</v>
      </c>
      <c r="B2640" s="38">
        <v>-150</v>
      </c>
      <c r="C2640" s="13" t="s">
        <v>3648</v>
      </c>
      <c r="D2640" s="36">
        <v>4706.07</v>
      </c>
      <c r="E2640" s="43" t="s">
        <v>3596</v>
      </c>
    </row>
    <row r="2641" spans="1:5" x14ac:dyDescent="0.35">
      <c r="A2641" s="40">
        <v>44828</v>
      </c>
      <c r="B2641" s="38">
        <v>-250</v>
      </c>
      <c r="C2641" s="13" t="s">
        <v>2872</v>
      </c>
      <c r="D2641" s="36">
        <v>5068.38</v>
      </c>
      <c r="E2641" s="43" t="s">
        <v>3596</v>
      </c>
    </row>
    <row r="2642" spans="1:5" x14ac:dyDescent="0.35">
      <c r="A2642" s="40">
        <v>44828</v>
      </c>
      <c r="B2642" s="38">
        <v>-28.5</v>
      </c>
      <c r="C2642" s="13" t="s">
        <v>2874</v>
      </c>
      <c r="D2642" s="36">
        <v>5398.37</v>
      </c>
      <c r="E2642" s="43" t="s">
        <v>3596</v>
      </c>
    </row>
    <row r="2643" spans="1:5" x14ac:dyDescent="0.35">
      <c r="A2643" s="40">
        <v>44828</v>
      </c>
      <c r="B2643" s="38">
        <v>-244</v>
      </c>
      <c r="C2643" s="13" t="s">
        <v>2875</v>
      </c>
      <c r="D2643" s="36">
        <v>5426.87</v>
      </c>
      <c r="E2643" s="43" t="s">
        <v>3596</v>
      </c>
    </row>
    <row r="2644" spans="1:5" x14ac:dyDescent="0.35">
      <c r="A2644" s="40">
        <v>44828</v>
      </c>
      <c r="B2644" s="38">
        <v>-13.75</v>
      </c>
      <c r="C2644" s="13" t="s">
        <v>2876</v>
      </c>
      <c r="D2644" s="36">
        <v>5670.87</v>
      </c>
      <c r="E2644" s="43" t="s">
        <v>3596</v>
      </c>
    </row>
    <row r="2645" spans="1:5" x14ac:dyDescent="0.35">
      <c r="A2645" s="40">
        <v>44828</v>
      </c>
      <c r="B2645" s="38">
        <v>-79.989999999999995</v>
      </c>
      <c r="C2645" s="13" t="s">
        <v>2873</v>
      </c>
      <c r="D2645" s="36">
        <v>5318.38</v>
      </c>
      <c r="E2645" s="43" t="s">
        <v>3596</v>
      </c>
    </row>
    <row r="2646" spans="1:5" x14ac:dyDescent="0.35">
      <c r="A2646" s="40">
        <v>44828</v>
      </c>
      <c r="B2646" s="38">
        <v>-214</v>
      </c>
      <c r="C2646" s="13" t="s">
        <v>2877</v>
      </c>
      <c r="D2646" s="36">
        <v>5684.62</v>
      </c>
      <c r="E2646" s="43" t="s">
        <v>3596</v>
      </c>
    </row>
    <row r="2647" spans="1:5" x14ac:dyDescent="0.35">
      <c r="A2647" s="40">
        <v>44827</v>
      </c>
      <c r="B2647" s="38">
        <v>-50</v>
      </c>
      <c r="C2647" s="13" t="s">
        <v>1632</v>
      </c>
      <c r="D2647" s="36">
        <v>5898.62</v>
      </c>
      <c r="E2647" s="43" t="s">
        <v>3596</v>
      </c>
    </row>
    <row r="2648" spans="1:5" x14ac:dyDescent="0.35">
      <c r="A2648" s="40">
        <v>44825</v>
      </c>
      <c r="B2648" s="38">
        <v>-70.3</v>
      </c>
      <c r="C2648" s="13" t="s">
        <v>2871</v>
      </c>
      <c r="D2648" s="36">
        <v>5948.62</v>
      </c>
      <c r="E2648" s="43" t="s">
        <v>3596</v>
      </c>
    </row>
    <row r="2649" spans="1:5" x14ac:dyDescent="0.35">
      <c r="A2649" s="40">
        <v>44824</v>
      </c>
      <c r="B2649" s="38">
        <v>-35.44</v>
      </c>
      <c r="C2649" s="13" t="s">
        <v>2870</v>
      </c>
      <c r="D2649" s="36">
        <v>6018.92</v>
      </c>
      <c r="E2649" s="43" t="s">
        <v>3596</v>
      </c>
    </row>
    <row r="2650" spans="1:5" x14ac:dyDescent="0.35">
      <c r="A2650" s="40">
        <v>44822</v>
      </c>
      <c r="B2650" s="38">
        <v>-15</v>
      </c>
      <c r="C2650" s="13" t="s">
        <v>2865</v>
      </c>
      <c r="D2650" s="36">
        <v>6054.36</v>
      </c>
      <c r="E2650" s="43" t="s">
        <v>3596</v>
      </c>
    </row>
    <row r="2651" spans="1:5" x14ac:dyDescent="0.35">
      <c r="A2651" s="40">
        <v>44821</v>
      </c>
      <c r="B2651" s="38">
        <v>-5.99</v>
      </c>
      <c r="C2651" s="13" t="s">
        <v>2869</v>
      </c>
      <c r="D2651" s="36">
        <v>6069.36</v>
      </c>
      <c r="E2651" s="43" t="s">
        <v>3596</v>
      </c>
    </row>
    <row r="2652" spans="1:5" x14ac:dyDescent="0.35">
      <c r="A2652" s="40">
        <v>44820</v>
      </c>
      <c r="B2652" s="38">
        <v>-9.65</v>
      </c>
      <c r="C2652" s="13" t="s">
        <v>2868</v>
      </c>
      <c r="D2652" s="36">
        <v>6174.85</v>
      </c>
      <c r="E2652" s="43" t="s">
        <v>3596</v>
      </c>
    </row>
    <row r="2653" spans="1:5" x14ac:dyDescent="0.35">
      <c r="A2653" s="40">
        <v>44820</v>
      </c>
      <c r="B2653" s="38">
        <v>-69</v>
      </c>
      <c r="C2653" s="13" t="s">
        <v>2867</v>
      </c>
      <c r="D2653" s="36">
        <v>6105.85</v>
      </c>
      <c r="E2653" s="43" t="s">
        <v>3596</v>
      </c>
    </row>
    <row r="2654" spans="1:5" x14ac:dyDescent="0.35">
      <c r="A2654" s="40">
        <v>44820</v>
      </c>
      <c r="B2654" s="38">
        <v>-13.5</v>
      </c>
      <c r="C2654" s="13" t="s">
        <v>2866</v>
      </c>
      <c r="D2654" s="36">
        <v>6092.35</v>
      </c>
      <c r="E2654" s="43" t="s">
        <v>3596</v>
      </c>
    </row>
    <row r="2655" spans="1:5" x14ac:dyDescent="0.35">
      <c r="A2655" s="40">
        <v>44820</v>
      </c>
      <c r="B2655" s="38">
        <v>-17</v>
      </c>
      <c r="C2655" s="13" t="s">
        <v>2865</v>
      </c>
      <c r="D2655" s="36">
        <v>6075.35</v>
      </c>
      <c r="E2655" s="43" t="s">
        <v>3596</v>
      </c>
    </row>
    <row r="2656" spans="1:5" x14ac:dyDescent="0.35">
      <c r="A2656" s="40">
        <v>44819</v>
      </c>
      <c r="B2656" s="38">
        <v>-500</v>
      </c>
      <c r="C2656" s="13" t="s">
        <v>1395</v>
      </c>
      <c r="D2656" s="36">
        <v>6208.15</v>
      </c>
      <c r="E2656" s="43" t="s">
        <v>3596</v>
      </c>
    </row>
    <row r="2657" spans="1:5" x14ac:dyDescent="0.35">
      <c r="A2657" s="40">
        <v>44819</v>
      </c>
      <c r="B2657" s="38">
        <v>-9.65</v>
      </c>
      <c r="C2657" s="13" t="s">
        <v>2863</v>
      </c>
      <c r="D2657" s="36">
        <v>6198.5</v>
      </c>
      <c r="E2657" s="43" t="s">
        <v>3596</v>
      </c>
    </row>
    <row r="2658" spans="1:5" x14ac:dyDescent="0.35">
      <c r="A2658" s="40">
        <v>44819</v>
      </c>
      <c r="B2658" s="38">
        <v>-14</v>
      </c>
      <c r="C2658" s="13" t="s">
        <v>2862</v>
      </c>
      <c r="D2658" s="36">
        <v>6184.5</v>
      </c>
      <c r="E2658" s="43" t="s">
        <v>3596</v>
      </c>
    </row>
    <row r="2659" spans="1:5" x14ac:dyDescent="0.35">
      <c r="A2659" s="40">
        <v>44819</v>
      </c>
      <c r="B2659" s="38">
        <v>2379.48</v>
      </c>
      <c r="C2659" s="13" t="s">
        <v>2864</v>
      </c>
      <c r="D2659" s="36">
        <v>6708.15</v>
      </c>
      <c r="E2659" s="43" t="s">
        <v>3596</v>
      </c>
    </row>
    <row r="2660" spans="1:5" x14ac:dyDescent="0.35">
      <c r="A2660" s="40">
        <v>44818</v>
      </c>
      <c r="B2660" s="38">
        <v>-58.17</v>
      </c>
      <c r="C2660" s="13" t="s">
        <v>2861</v>
      </c>
      <c r="D2660" s="36">
        <v>4328.67</v>
      </c>
      <c r="E2660" s="43" t="s">
        <v>3596</v>
      </c>
    </row>
    <row r="2661" spans="1:5" x14ac:dyDescent="0.35">
      <c r="A2661" s="40">
        <v>44817</v>
      </c>
      <c r="B2661" s="38">
        <v>-26.09</v>
      </c>
      <c r="C2661" s="13" t="s">
        <v>2860</v>
      </c>
      <c r="D2661" s="36">
        <v>4432.34</v>
      </c>
      <c r="E2661" s="43" t="s">
        <v>3596</v>
      </c>
    </row>
    <row r="2662" spans="1:5" x14ac:dyDescent="0.35">
      <c r="A2662" s="40">
        <v>44817</v>
      </c>
      <c r="B2662" s="38">
        <v>-29.05</v>
      </c>
      <c r="C2662" s="13" t="s">
        <v>2859</v>
      </c>
      <c r="D2662" s="36">
        <v>4403.29</v>
      </c>
      <c r="E2662" s="43" t="s">
        <v>3596</v>
      </c>
    </row>
    <row r="2663" spans="1:5" x14ac:dyDescent="0.35">
      <c r="A2663" s="40">
        <v>44817</v>
      </c>
      <c r="B2663" s="38">
        <v>-16.45</v>
      </c>
      <c r="C2663" s="13" t="s">
        <v>2858</v>
      </c>
      <c r="D2663" s="36">
        <v>4386.84</v>
      </c>
      <c r="E2663" s="43" t="s">
        <v>3596</v>
      </c>
    </row>
    <row r="2664" spans="1:5" x14ac:dyDescent="0.35">
      <c r="A2664" s="40">
        <v>44814</v>
      </c>
      <c r="B2664" s="38">
        <v>-18.170000000000002</v>
      </c>
      <c r="C2664" s="13" t="s">
        <v>2465</v>
      </c>
      <c r="D2664" s="36">
        <v>4796.43</v>
      </c>
      <c r="E2664" s="43" t="s">
        <v>3596</v>
      </c>
    </row>
    <row r="2665" spans="1:5" x14ac:dyDescent="0.35">
      <c r="A2665" s="40">
        <v>44814</v>
      </c>
      <c r="B2665" s="38">
        <v>-303</v>
      </c>
      <c r="C2665" s="13" t="s">
        <v>2857</v>
      </c>
      <c r="D2665" s="36">
        <v>4493.43</v>
      </c>
      <c r="E2665" s="43" t="s">
        <v>3596</v>
      </c>
    </row>
    <row r="2666" spans="1:5" x14ac:dyDescent="0.35">
      <c r="A2666" s="40">
        <v>44814</v>
      </c>
      <c r="B2666" s="38">
        <v>-35</v>
      </c>
      <c r="C2666" s="13" t="s">
        <v>2856</v>
      </c>
      <c r="D2666" s="36">
        <v>4458.43</v>
      </c>
      <c r="E2666" s="43" t="s">
        <v>3596</v>
      </c>
    </row>
    <row r="2667" spans="1:5" x14ac:dyDescent="0.35">
      <c r="A2667" s="40">
        <v>44812</v>
      </c>
      <c r="B2667" s="38">
        <v>-9.65</v>
      </c>
      <c r="C2667" s="13" t="s">
        <v>2855</v>
      </c>
      <c r="D2667" s="36">
        <v>4814.6000000000004</v>
      </c>
      <c r="E2667" s="43" t="s">
        <v>3596</v>
      </c>
    </row>
    <row r="2668" spans="1:5" x14ac:dyDescent="0.35">
      <c r="A2668" s="40">
        <v>44811</v>
      </c>
      <c r="B2668" s="38">
        <v>-9.65</v>
      </c>
      <c r="C2668" s="13" t="s">
        <v>2854</v>
      </c>
      <c r="D2668" s="36">
        <v>5683.52</v>
      </c>
      <c r="E2668" s="43" t="s">
        <v>3596</v>
      </c>
    </row>
    <row r="2669" spans="1:5" x14ac:dyDescent="0.35">
      <c r="A2669" s="40">
        <v>44811</v>
      </c>
      <c r="B2669" s="38">
        <v>-13.2</v>
      </c>
      <c r="C2669" s="13" t="s">
        <v>2850</v>
      </c>
      <c r="D2669" s="36">
        <v>4858.58</v>
      </c>
      <c r="E2669" s="43" t="s">
        <v>3596</v>
      </c>
    </row>
    <row r="2670" spans="1:5" x14ac:dyDescent="0.35">
      <c r="A2670" s="40">
        <v>44811</v>
      </c>
      <c r="B2670" s="38">
        <v>-31.82</v>
      </c>
      <c r="C2670" s="13" t="s">
        <v>2852</v>
      </c>
      <c r="D2670" s="36">
        <v>4880.78</v>
      </c>
      <c r="E2670" s="43" t="s">
        <v>3596</v>
      </c>
    </row>
    <row r="2671" spans="1:5" x14ac:dyDescent="0.35">
      <c r="A2671" s="40">
        <v>44811</v>
      </c>
      <c r="B2671" s="38">
        <v>-34.33</v>
      </c>
      <c r="C2671" s="13" t="s">
        <v>2849</v>
      </c>
      <c r="D2671" s="36">
        <v>4824.25</v>
      </c>
      <c r="E2671" s="43" t="s">
        <v>3596</v>
      </c>
    </row>
    <row r="2672" spans="1:5" x14ac:dyDescent="0.35">
      <c r="A2672" s="40">
        <v>44811</v>
      </c>
      <c r="B2672" s="38">
        <v>-770.92</v>
      </c>
      <c r="C2672" s="13" t="s">
        <v>2853</v>
      </c>
      <c r="D2672" s="36">
        <v>4912.6000000000004</v>
      </c>
      <c r="E2672" s="43" t="s">
        <v>3596</v>
      </c>
    </row>
    <row r="2673" spans="1:5" x14ac:dyDescent="0.35">
      <c r="A2673" s="40">
        <v>44811</v>
      </c>
      <c r="B2673" s="38">
        <v>-9</v>
      </c>
      <c r="C2673" s="13" t="s">
        <v>2851</v>
      </c>
      <c r="D2673" s="36">
        <v>4871.78</v>
      </c>
      <c r="E2673" s="43" t="s">
        <v>3596</v>
      </c>
    </row>
    <row r="2674" spans="1:5" x14ac:dyDescent="0.35">
      <c r="A2674" s="40">
        <v>44810</v>
      </c>
      <c r="B2674" s="38">
        <v>-3649</v>
      </c>
      <c r="C2674" s="13" t="s">
        <v>2848</v>
      </c>
      <c r="D2674" s="36">
        <v>5715.79</v>
      </c>
      <c r="E2674" s="43" t="s">
        <v>3596</v>
      </c>
    </row>
    <row r="2675" spans="1:5" x14ac:dyDescent="0.35">
      <c r="A2675" s="40">
        <v>44810</v>
      </c>
      <c r="B2675" s="38">
        <v>-22.62</v>
      </c>
      <c r="C2675" s="13" t="s">
        <v>1481</v>
      </c>
      <c r="D2675" s="36">
        <v>5693.17</v>
      </c>
      <c r="E2675" s="43" t="s">
        <v>3596</v>
      </c>
    </row>
    <row r="2676" spans="1:5" x14ac:dyDescent="0.35">
      <c r="A2676" s="40">
        <v>44809</v>
      </c>
      <c r="B2676" s="38">
        <v>-41.7</v>
      </c>
      <c r="C2676" s="13" t="s">
        <v>2847</v>
      </c>
      <c r="D2676" s="36">
        <v>9364.7900000000009</v>
      </c>
      <c r="E2676" s="43" t="s">
        <v>3596</v>
      </c>
    </row>
    <row r="2677" spans="1:5" x14ac:dyDescent="0.35">
      <c r="A2677" s="40">
        <v>44806</v>
      </c>
      <c r="B2677" s="38">
        <v>-9.65</v>
      </c>
      <c r="C2677" s="13" t="s">
        <v>2846</v>
      </c>
      <c r="D2677" s="36">
        <v>9484.91</v>
      </c>
      <c r="E2677" s="43" t="s">
        <v>3596</v>
      </c>
    </row>
    <row r="2678" spans="1:5" x14ac:dyDescent="0.35">
      <c r="A2678" s="40">
        <v>44806</v>
      </c>
      <c r="B2678" s="38">
        <v>-14.72</v>
      </c>
      <c r="C2678" s="13" t="s">
        <v>2845</v>
      </c>
      <c r="D2678" s="36">
        <v>9470.19</v>
      </c>
      <c r="E2678" s="43" t="s">
        <v>3596</v>
      </c>
    </row>
    <row r="2679" spans="1:5" x14ac:dyDescent="0.35">
      <c r="A2679" s="40">
        <v>44806</v>
      </c>
      <c r="B2679" s="38">
        <v>-63.7</v>
      </c>
      <c r="C2679" s="13" t="s">
        <v>2844</v>
      </c>
      <c r="D2679" s="36">
        <v>9406.49</v>
      </c>
      <c r="E2679" s="43" t="s">
        <v>3596</v>
      </c>
    </row>
    <row r="2680" spans="1:5" x14ac:dyDescent="0.35">
      <c r="A2680" s="40">
        <v>44805</v>
      </c>
      <c r="B2680" s="38">
        <v>-500</v>
      </c>
      <c r="C2680" s="13" t="s">
        <v>1395</v>
      </c>
      <c r="D2680" s="36">
        <v>9749.64</v>
      </c>
      <c r="E2680" s="43" t="s">
        <v>3596</v>
      </c>
    </row>
    <row r="2681" spans="1:5" x14ac:dyDescent="0.35">
      <c r="A2681" s="40">
        <v>44805</v>
      </c>
      <c r="B2681" s="38">
        <v>-9.65</v>
      </c>
      <c r="C2681" s="13" t="s">
        <v>2842</v>
      </c>
      <c r="D2681" s="36">
        <v>9739.99</v>
      </c>
      <c r="E2681" s="43" t="s">
        <v>3596</v>
      </c>
    </row>
    <row r="2682" spans="1:5" x14ac:dyDescent="0.35">
      <c r="A2682" s="40">
        <v>44805</v>
      </c>
      <c r="B2682" s="38">
        <v>-14</v>
      </c>
      <c r="C2682" s="13" t="s">
        <v>2840</v>
      </c>
      <c r="D2682" s="36">
        <v>9675.11</v>
      </c>
      <c r="E2682" s="43" t="s">
        <v>3596</v>
      </c>
    </row>
    <row r="2683" spans="1:5" x14ac:dyDescent="0.35">
      <c r="A2683" s="40">
        <v>44805</v>
      </c>
      <c r="B2683" s="38">
        <v>2325.65</v>
      </c>
      <c r="C2683" s="13" t="s">
        <v>2843</v>
      </c>
      <c r="D2683" s="36">
        <v>10249.64</v>
      </c>
      <c r="E2683" s="43" t="s">
        <v>3596</v>
      </c>
    </row>
    <row r="2684" spans="1:5" x14ac:dyDescent="0.35">
      <c r="A2684" s="40">
        <v>44805</v>
      </c>
      <c r="B2684" s="38">
        <v>-180.55</v>
      </c>
      <c r="C2684" s="13" t="s">
        <v>2839</v>
      </c>
      <c r="D2684" s="36">
        <v>9494.56</v>
      </c>
      <c r="E2684" s="43" t="s">
        <v>3596</v>
      </c>
    </row>
    <row r="2685" spans="1:5" x14ac:dyDescent="0.35">
      <c r="A2685" s="40">
        <v>44805</v>
      </c>
      <c r="B2685" s="38">
        <v>-50.88</v>
      </c>
      <c r="C2685" s="13" t="s">
        <v>2841</v>
      </c>
      <c r="D2685" s="36">
        <v>9689.11</v>
      </c>
      <c r="E2685" s="43" t="s">
        <v>3596</v>
      </c>
    </row>
    <row r="2686" spans="1:5" x14ac:dyDescent="0.35">
      <c r="A2686" s="40">
        <v>44804</v>
      </c>
      <c r="B2686" s="38">
        <v>-9.65</v>
      </c>
      <c r="C2686" s="13" t="s">
        <v>2838</v>
      </c>
      <c r="D2686" s="36">
        <v>8131.99</v>
      </c>
      <c r="E2686" s="43" t="s">
        <v>3596</v>
      </c>
    </row>
    <row r="2687" spans="1:5" x14ac:dyDescent="0.35">
      <c r="A2687" s="40">
        <v>44804</v>
      </c>
      <c r="B2687" s="38">
        <v>-208</v>
      </c>
      <c r="C2687" s="13" t="s">
        <v>2837</v>
      </c>
      <c r="D2687" s="36">
        <v>7923.99</v>
      </c>
      <c r="E2687" s="43" t="s">
        <v>3596</v>
      </c>
    </row>
    <row r="2688" spans="1:5" x14ac:dyDescent="0.35">
      <c r="A2688" s="40">
        <v>44803</v>
      </c>
      <c r="B2688" s="38">
        <v>-40.799999999999997</v>
      </c>
      <c r="C2688" s="13" t="s">
        <v>2836</v>
      </c>
      <c r="D2688" s="36">
        <v>8171.33</v>
      </c>
      <c r="E2688" s="43" t="s">
        <v>3596</v>
      </c>
    </row>
    <row r="2689" spans="1:5" x14ac:dyDescent="0.35">
      <c r="A2689" s="40">
        <v>44803</v>
      </c>
      <c r="B2689" s="38">
        <v>-29.69</v>
      </c>
      <c r="C2689" s="13" t="s">
        <v>2835</v>
      </c>
      <c r="D2689" s="36">
        <v>8141.64</v>
      </c>
      <c r="E2689" s="43" t="s">
        <v>3596</v>
      </c>
    </row>
    <row r="2690" spans="1:5" x14ac:dyDescent="0.35">
      <c r="A2690" s="40">
        <v>44802</v>
      </c>
      <c r="B2690" s="38">
        <v>-22.62</v>
      </c>
      <c r="C2690" s="13" t="s">
        <v>1481</v>
      </c>
      <c r="D2690" s="36">
        <v>8212.1299999999992</v>
      </c>
      <c r="E2690" s="43" t="s">
        <v>3596</v>
      </c>
    </row>
    <row r="2691" spans="1:5" x14ac:dyDescent="0.35">
      <c r="A2691" s="40">
        <v>44801</v>
      </c>
      <c r="B2691" s="38">
        <v>-150</v>
      </c>
      <c r="C2691" s="13" t="s">
        <v>2833</v>
      </c>
      <c r="D2691" s="36">
        <v>8252.08</v>
      </c>
      <c r="E2691" s="43" t="s">
        <v>3596</v>
      </c>
    </row>
    <row r="2692" spans="1:5" x14ac:dyDescent="0.35">
      <c r="A2692" s="40">
        <v>44801</v>
      </c>
      <c r="B2692" s="38">
        <v>-17.329999999999998</v>
      </c>
      <c r="C2692" s="13" t="s">
        <v>2832</v>
      </c>
      <c r="D2692" s="36">
        <v>8234.75</v>
      </c>
      <c r="E2692" s="43" t="s">
        <v>3596</v>
      </c>
    </row>
    <row r="2693" spans="1:5" x14ac:dyDescent="0.35">
      <c r="A2693" s="40">
        <v>44801</v>
      </c>
      <c r="B2693" s="38">
        <v>-5.5</v>
      </c>
      <c r="C2693" s="13" t="s">
        <v>2834</v>
      </c>
      <c r="D2693" s="36">
        <v>8402.08</v>
      </c>
      <c r="E2693" s="43" t="s">
        <v>3596</v>
      </c>
    </row>
    <row r="2694" spans="1:5" x14ac:dyDescent="0.35">
      <c r="A2694" s="40">
        <v>44801</v>
      </c>
      <c r="B2694" s="38">
        <v>-2.5</v>
      </c>
      <c r="C2694" s="13" t="s">
        <v>2834</v>
      </c>
      <c r="D2694" s="36">
        <v>8407.58</v>
      </c>
      <c r="E2694" s="43" t="s">
        <v>3596</v>
      </c>
    </row>
    <row r="2695" spans="1:5" x14ac:dyDescent="0.35">
      <c r="A2695" s="40">
        <v>44799</v>
      </c>
      <c r="B2695" s="38">
        <v>-55.53</v>
      </c>
      <c r="C2695" s="13" t="s">
        <v>2831</v>
      </c>
      <c r="D2695" s="36">
        <v>8427.08</v>
      </c>
      <c r="E2695" s="43" t="s">
        <v>3596</v>
      </c>
    </row>
    <row r="2696" spans="1:5" x14ac:dyDescent="0.35">
      <c r="A2696" s="40">
        <v>44799</v>
      </c>
      <c r="B2696" s="38">
        <v>-17</v>
      </c>
      <c r="C2696" s="13" t="s">
        <v>2691</v>
      </c>
      <c r="D2696" s="36">
        <v>8410.08</v>
      </c>
      <c r="E2696" s="43" t="s">
        <v>3596</v>
      </c>
    </row>
    <row r="2697" spans="1:5" x14ac:dyDescent="0.35">
      <c r="A2697" s="40">
        <v>44798</v>
      </c>
      <c r="B2697" s="38">
        <v>-6.22</v>
      </c>
      <c r="C2697" s="13" t="s">
        <v>2828</v>
      </c>
      <c r="D2697" s="36">
        <v>8532.51</v>
      </c>
      <c r="E2697" s="43" t="s">
        <v>3596</v>
      </c>
    </row>
    <row r="2698" spans="1:5" x14ac:dyDescent="0.35">
      <c r="A2698" s="40">
        <v>44798</v>
      </c>
      <c r="B2698" s="38">
        <v>-7.5</v>
      </c>
      <c r="C2698" s="13" t="s">
        <v>2828</v>
      </c>
      <c r="D2698" s="36">
        <v>8538.73</v>
      </c>
      <c r="E2698" s="43" t="s">
        <v>3596</v>
      </c>
    </row>
    <row r="2699" spans="1:5" x14ac:dyDescent="0.35">
      <c r="A2699" s="40">
        <v>44798</v>
      </c>
      <c r="B2699" s="38">
        <v>-10.9</v>
      </c>
      <c r="C2699" s="13" t="s">
        <v>2827</v>
      </c>
      <c r="D2699" s="36">
        <v>8521.61</v>
      </c>
      <c r="E2699" s="43" t="s">
        <v>3596</v>
      </c>
    </row>
    <row r="2700" spans="1:5" x14ac:dyDescent="0.35">
      <c r="A2700" s="40">
        <v>44798</v>
      </c>
      <c r="B2700" s="38">
        <v>-9.65</v>
      </c>
      <c r="C2700" s="13" t="s">
        <v>2830</v>
      </c>
      <c r="D2700" s="36">
        <v>8588.8799999999992</v>
      </c>
      <c r="E2700" s="43" t="s">
        <v>3596</v>
      </c>
    </row>
    <row r="2701" spans="1:5" x14ac:dyDescent="0.35">
      <c r="A2701" s="40">
        <v>44798</v>
      </c>
      <c r="B2701" s="38">
        <v>-42.65</v>
      </c>
      <c r="C2701" s="13" t="s">
        <v>2829</v>
      </c>
      <c r="D2701" s="36">
        <v>8546.23</v>
      </c>
      <c r="E2701" s="43" t="s">
        <v>3596</v>
      </c>
    </row>
    <row r="2702" spans="1:5" x14ac:dyDescent="0.35">
      <c r="A2702" s="40">
        <v>44798</v>
      </c>
      <c r="B2702" s="38">
        <v>-39</v>
      </c>
      <c r="C2702" s="13" t="s">
        <v>1584</v>
      </c>
      <c r="D2702" s="36">
        <v>8482.61</v>
      </c>
      <c r="E2702" s="43" t="s">
        <v>3596</v>
      </c>
    </row>
    <row r="2703" spans="1:5" x14ac:dyDescent="0.35">
      <c r="A2703" s="40">
        <v>44797</v>
      </c>
      <c r="B2703" s="38">
        <v>-10</v>
      </c>
      <c r="C2703" s="13" t="s">
        <v>2824</v>
      </c>
      <c r="D2703" s="36">
        <v>8650.32</v>
      </c>
      <c r="E2703" s="43" t="s">
        <v>3596</v>
      </c>
    </row>
    <row r="2704" spans="1:5" x14ac:dyDescent="0.35">
      <c r="A2704" s="40">
        <v>44797</v>
      </c>
      <c r="B2704" s="38">
        <v>-11.44</v>
      </c>
      <c r="C2704" s="13" t="s">
        <v>2826</v>
      </c>
      <c r="D2704" s="36">
        <v>8671.77</v>
      </c>
      <c r="E2704" s="43" t="s">
        <v>3596</v>
      </c>
    </row>
    <row r="2705" spans="1:5" x14ac:dyDescent="0.35">
      <c r="A2705" s="40">
        <v>44797</v>
      </c>
      <c r="B2705" s="38">
        <v>-13</v>
      </c>
      <c r="C2705" s="13" t="s">
        <v>2822</v>
      </c>
      <c r="D2705" s="36">
        <v>8610.93</v>
      </c>
      <c r="E2705" s="43" t="s">
        <v>3596</v>
      </c>
    </row>
    <row r="2706" spans="1:5" x14ac:dyDescent="0.35">
      <c r="A2706" s="40">
        <v>44797</v>
      </c>
      <c r="B2706" s="38">
        <v>-12.4</v>
      </c>
      <c r="C2706" s="13" t="s">
        <v>1584</v>
      </c>
      <c r="D2706" s="36">
        <v>8598.5300000000007</v>
      </c>
      <c r="E2706" s="43" t="s">
        <v>3596</v>
      </c>
    </row>
    <row r="2707" spans="1:5" x14ac:dyDescent="0.35">
      <c r="A2707" s="40">
        <v>44797</v>
      </c>
      <c r="B2707" s="38">
        <v>-11.45</v>
      </c>
      <c r="C2707" s="13" t="s">
        <v>2825</v>
      </c>
      <c r="D2707" s="36">
        <v>8660.32</v>
      </c>
      <c r="E2707" s="43" t="s">
        <v>3596</v>
      </c>
    </row>
    <row r="2708" spans="1:5" x14ac:dyDescent="0.35">
      <c r="A2708" s="40">
        <v>44797</v>
      </c>
      <c r="B2708" s="38">
        <v>-26.39</v>
      </c>
      <c r="C2708" s="13" t="s">
        <v>2823</v>
      </c>
      <c r="D2708" s="36">
        <v>8623.93</v>
      </c>
      <c r="E2708" s="43" t="s">
        <v>3596</v>
      </c>
    </row>
    <row r="2709" spans="1:5" x14ac:dyDescent="0.35">
      <c r="A2709" s="40">
        <v>44796</v>
      </c>
      <c r="B2709" s="38">
        <v>-199</v>
      </c>
      <c r="C2709" s="13" t="s">
        <v>2821</v>
      </c>
      <c r="D2709" s="36">
        <v>8694.7099999999991</v>
      </c>
      <c r="E2709" s="43" t="s">
        <v>3596</v>
      </c>
    </row>
    <row r="2710" spans="1:5" x14ac:dyDescent="0.35">
      <c r="A2710" s="40">
        <v>44796</v>
      </c>
      <c r="B2710" s="38">
        <v>-11.5</v>
      </c>
      <c r="C2710" s="13" t="s">
        <v>2820</v>
      </c>
      <c r="D2710" s="36">
        <v>8683.2099999999991</v>
      </c>
      <c r="E2710" s="43" t="s">
        <v>3596</v>
      </c>
    </row>
    <row r="2711" spans="1:5" x14ac:dyDescent="0.35">
      <c r="A2711" s="40">
        <v>44794</v>
      </c>
      <c r="B2711" s="38">
        <v>-21.5</v>
      </c>
      <c r="C2711" s="13" t="s">
        <v>1584</v>
      </c>
      <c r="D2711" s="36">
        <v>8889.01</v>
      </c>
      <c r="E2711" s="43" t="s">
        <v>3596</v>
      </c>
    </row>
    <row r="2712" spans="1:5" x14ac:dyDescent="0.35">
      <c r="A2712" s="40">
        <v>44794</v>
      </c>
      <c r="B2712" s="38">
        <v>4.7</v>
      </c>
      <c r="C2712" s="13" t="s">
        <v>2819</v>
      </c>
      <c r="D2712" s="36">
        <v>8893.7099999999991</v>
      </c>
      <c r="E2712" s="43" t="s">
        <v>3596</v>
      </c>
    </row>
    <row r="2713" spans="1:5" x14ac:dyDescent="0.35">
      <c r="A2713" s="40">
        <v>44793</v>
      </c>
      <c r="B2713" s="38">
        <v>-250</v>
      </c>
      <c r="C2713" s="13" t="s">
        <v>2818</v>
      </c>
      <c r="D2713" s="36">
        <v>8876.7099999999991</v>
      </c>
      <c r="E2713" s="43" t="s">
        <v>3596</v>
      </c>
    </row>
    <row r="2714" spans="1:5" x14ac:dyDescent="0.35">
      <c r="A2714" s="40">
        <v>44793</v>
      </c>
      <c r="B2714" s="38">
        <v>-16.2</v>
      </c>
      <c r="C2714" s="13" t="s">
        <v>1584</v>
      </c>
      <c r="D2714" s="36">
        <v>8910.51</v>
      </c>
      <c r="E2714" s="43" t="s">
        <v>3596</v>
      </c>
    </row>
    <row r="2715" spans="1:5" x14ac:dyDescent="0.35">
      <c r="A2715" s="40">
        <v>44793</v>
      </c>
      <c r="B2715" s="38">
        <v>50</v>
      </c>
      <c r="C2715" s="13" t="s">
        <v>2817</v>
      </c>
      <c r="D2715" s="36">
        <v>8926.7099999999991</v>
      </c>
      <c r="E2715" s="43" t="s">
        <v>3596</v>
      </c>
    </row>
    <row r="2716" spans="1:5" x14ac:dyDescent="0.35">
      <c r="A2716" s="40">
        <v>44792</v>
      </c>
      <c r="B2716" s="38">
        <v>-9.65</v>
      </c>
      <c r="C2716" s="13" t="s">
        <v>2816</v>
      </c>
      <c r="D2716" s="36">
        <v>9623.7199999999993</v>
      </c>
      <c r="E2716" s="43" t="s">
        <v>3596</v>
      </c>
    </row>
    <row r="2717" spans="1:5" x14ac:dyDescent="0.35">
      <c r="A2717" s="40">
        <v>44792</v>
      </c>
      <c r="B2717" s="38">
        <v>-98.15</v>
      </c>
      <c r="C2717" s="13" t="s">
        <v>2493</v>
      </c>
      <c r="D2717" s="36">
        <v>9131.7099999999991</v>
      </c>
      <c r="E2717" s="43" t="s">
        <v>3596</v>
      </c>
    </row>
    <row r="2718" spans="1:5" x14ac:dyDescent="0.35">
      <c r="A2718" s="40">
        <v>44792</v>
      </c>
      <c r="B2718" s="38">
        <v>-380.66</v>
      </c>
      <c r="C2718" s="13" t="s">
        <v>2815</v>
      </c>
      <c r="D2718" s="36">
        <v>9243.06</v>
      </c>
      <c r="E2718" s="43" t="s">
        <v>3596</v>
      </c>
    </row>
    <row r="2719" spans="1:5" x14ac:dyDescent="0.35">
      <c r="A2719" s="40">
        <v>44792</v>
      </c>
      <c r="B2719" s="38">
        <v>-13.2</v>
      </c>
      <c r="C2719" s="13" t="s">
        <v>2814</v>
      </c>
      <c r="D2719" s="36">
        <v>9229.86</v>
      </c>
      <c r="E2719" s="43" t="s">
        <v>3596</v>
      </c>
    </row>
    <row r="2720" spans="1:5" x14ac:dyDescent="0.35">
      <c r="A2720" s="40">
        <v>44792</v>
      </c>
      <c r="B2720" s="38">
        <v>-5</v>
      </c>
      <c r="C2720" s="13" t="s">
        <v>2813</v>
      </c>
      <c r="D2720" s="36">
        <v>9126.7099999999991</v>
      </c>
      <c r="E2720" s="43" t="s">
        <v>3596</v>
      </c>
    </row>
    <row r="2721" spans="1:5" x14ac:dyDescent="0.35">
      <c r="A2721" s="40">
        <v>44791</v>
      </c>
      <c r="B2721" s="38">
        <v>-500</v>
      </c>
      <c r="C2721" s="13" t="s">
        <v>1395</v>
      </c>
      <c r="D2721" s="36">
        <v>10458.14</v>
      </c>
      <c r="E2721" s="43" t="s">
        <v>3596</v>
      </c>
    </row>
    <row r="2722" spans="1:5" x14ac:dyDescent="0.35">
      <c r="A2722" s="40">
        <v>44791</v>
      </c>
      <c r="B2722" s="38">
        <v>-9.65</v>
      </c>
      <c r="C2722" s="13" t="s">
        <v>2811</v>
      </c>
      <c r="D2722" s="36">
        <v>10448.49</v>
      </c>
      <c r="E2722" s="43" t="s">
        <v>3596</v>
      </c>
    </row>
    <row r="2723" spans="1:5" x14ac:dyDescent="0.35">
      <c r="A2723" s="40">
        <v>44791</v>
      </c>
      <c r="B2723" s="38">
        <v>-69</v>
      </c>
      <c r="C2723" s="13" t="s">
        <v>2810</v>
      </c>
      <c r="D2723" s="36">
        <v>10379.49</v>
      </c>
      <c r="E2723" s="43" t="s">
        <v>3596</v>
      </c>
    </row>
    <row r="2724" spans="1:5" x14ac:dyDescent="0.35">
      <c r="A2724" s="40">
        <v>44791</v>
      </c>
      <c r="B2724" s="38">
        <v>-3.3</v>
      </c>
      <c r="C2724" s="13" t="s">
        <v>2806</v>
      </c>
      <c r="D2724" s="36">
        <v>9633.3700000000008</v>
      </c>
      <c r="E2724" s="43" t="s">
        <v>3596</v>
      </c>
    </row>
    <row r="2725" spans="1:5" x14ac:dyDescent="0.35">
      <c r="A2725" s="40">
        <v>44791</v>
      </c>
      <c r="B2725" s="38">
        <v>-5.99</v>
      </c>
      <c r="C2725" s="13" t="s">
        <v>2809</v>
      </c>
      <c r="D2725" s="36">
        <v>10373.5</v>
      </c>
      <c r="E2725" s="43" t="s">
        <v>3596</v>
      </c>
    </row>
    <row r="2726" spans="1:5" x14ac:dyDescent="0.35">
      <c r="A2726" s="40">
        <v>44791</v>
      </c>
      <c r="B2726" s="38">
        <v>2325.64</v>
      </c>
      <c r="C2726" s="13" t="s">
        <v>2812</v>
      </c>
      <c r="D2726" s="36">
        <v>10958.14</v>
      </c>
      <c r="E2726" s="43" t="s">
        <v>3596</v>
      </c>
    </row>
    <row r="2727" spans="1:5" x14ac:dyDescent="0.35">
      <c r="A2727" s="40">
        <v>44791</v>
      </c>
      <c r="B2727" s="38">
        <v>-13.2</v>
      </c>
      <c r="C2727" s="13" t="s">
        <v>2808</v>
      </c>
      <c r="D2727" s="36">
        <v>10360.299999999999</v>
      </c>
      <c r="E2727" s="43" t="s">
        <v>3596</v>
      </c>
    </row>
    <row r="2728" spans="1:5" x14ac:dyDescent="0.35">
      <c r="A2728" s="40">
        <v>44791</v>
      </c>
      <c r="B2728" s="38">
        <v>-723.63</v>
      </c>
      <c r="C2728" s="13" t="s">
        <v>2807</v>
      </c>
      <c r="D2728" s="36">
        <v>9636.67</v>
      </c>
      <c r="E2728" s="43" t="s">
        <v>3596</v>
      </c>
    </row>
    <row r="2729" spans="1:5" x14ac:dyDescent="0.35">
      <c r="A2729" s="40">
        <v>44790</v>
      </c>
      <c r="B2729" s="38">
        <v>-705.76</v>
      </c>
      <c r="C2729" s="13" t="s">
        <v>2804</v>
      </c>
      <c r="D2729" s="36">
        <v>8592.5</v>
      </c>
      <c r="E2729" s="43" t="s">
        <v>3596</v>
      </c>
    </row>
    <row r="2730" spans="1:5" x14ac:dyDescent="0.35">
      <c r="A2730" s="40">
        <v>44790</v>
      </c>
      <c r="B2730" s="38">
        <v>-124.31</v>
      </c>
      <c r="C2730" s="13" t="s">
        <v>2804</v>
      </c>
      <c r="D2730" s="36">
        <v>9413.7000000000007</v>
      </c>
      <c r="E2730" s="43" t="s">
        <v>3596</v>
      </c>
    </row>
    <row r="2731" spans="1:5" x14ac:dyDescent="0.35">
      <c r="A2731" s="40">
        <v>44790</v>
      </c>
      <c r="B2731" s="38">
        <v>40</v>
      </c>
      <c r="C2731" s="13" t="s">
        <v>2803</v>
      </c>
      <c r="D2731" s="36">
        <v>8632.5</v>
      </c>
      <c r="E2731" s="43" t="s">
        <v>3596</v>
      </c>
    </row>
    <row r="2732" spans="1:5" x14ac:dyDescent="0.35">
      <c r="A2732" s="40">
        <v>44790</v>
      </c>
      <c r="B2732" s="38">
        <v>-115.44</v>
      </c>
      <c r="C2732" s="13" t="s">
        <v>2805</v>
      </c>
      <c r="D2732" s="36">
        <v>9298.26</v>
      </c>
      <c r="E2732" s="43" t="s">
        <v>3596</v>
      </c>
    </row>
    <row r="2733" spans="1:5" x14ac:dyDescent="0.35">
      <c r="A2733" s="40">
        <v>44789</v>
      </c>
      <c r="B2733" s="38">
        <v>-5</v>
      </c>
      <c r="C2733" s="13" t="s">
        <v>2532</v>
      </c>
      <c r="D2733" s="36">
        <v>9458.01</v>
      </c>
      <c r="E2733" s="43" t="s">
        <v>3596</v>
      </c>
    </row>
    <row r="2734" spans="1:5" x14ac:dyDescent="0.35">
      <c r="A2734" s="40">
        <v>44789</v>
      </c>
      <c r="B2734" s="38">
        <v>-26.09</v>
      </c>
      <c r="C2734" s="13" t="s">
        <v>2802</v>
      </c>
      <c r="D2734" s="36">
        <v>9464.5</v>
      </c>
      <c r="E2734" s="43" t="s">
        <v>3596</v>
      </c>
    </row>
    <row r="2735" spans="1:5" x14ac:dyDescent="0.35">
      <c r="A2735" s="40">
        <v>44789</v>
      </c>
      <c r="B2735" s="38">
        <v>50</v>
      </c>
      <c r="C2735" s="13" t="s">
        <v>2799</v>
      </c>
      <c r="D2735" s="36">
        <v>9508.01</v>
      </c>
      <c r="E2735" s="43" t="s">
        <v>3596</v>
      </c>
    </row>
    <row r="2736" spans="1:5" x14ac:dyDescent="0.35">
      <c r="A2736" s="40">
        <v>44789</v>
      </c>
      <c r="B2736" s="38">
        <v>20</v>
      </c>
      <c r="C2736" s="13" t="s">
        <v>2800</v>
      </c>
      <c r="D2736" s="36">
        <v>9463.01</v>
      </c>
      <c r="E2736" s="43" t="s">
        <v>3596</v>
      </c>
    </row>
    <row r="2737" spans="1:5" x14ac:dyDescent="0.35">
      <c r="A2737" s="40">
        <v>44789</v>
      </c>
      <c r="B2737" s="38">
        <v>-21.49</v>
      </c>
      <c r="C2737" s="13" t="s">
        <v>2801</v>
      </c>
      <c r="D2737" s="36">
        <v>9443.01</v>
      </c>
      <c r="E2737" s="43" t="s">
        <v>3596</v>
      </c>
    </row>
    <row r="2738" spans="1:5" x14ac:dyDescent="0.35">
      <c r="A2738" s="40">
        <v>44789</v>
      </c>
      <c r="B2738" s="38">
        <v>30</v>
      </c>
      <c r="C2738" s="13" t="s">
        <v>2798</v>
      </c>
      <c r="D2738" s="36">
        <v>9538.01</v>
      </c>
      <c r="E2738" s="43" t="s">
        <v>3596</v>
      </c>
    </row>
    <row r="2739" spans="1:5" x14ac:dyDescent="0.35">
      <c r="A2739" s="40">
        <v>44788</v>
      </c>
      <c r="B2739" s="38">
        <v>40</v>
      </c>
      <c r="C2739" s="13" t="s">
        <v>2796</v>
      </c>
      <c r="D2739" s="36">
        <v>9490.59</v>
      </c>
      <c r="E2739" s="43" t="s">
        <v>3596</v>
      </c>
    </row>
    <row r="2740" spans="1:5" x14ac:dyDescent="0.35">
      <c r="A2740" s="40">
        <v>44788</v>
      </c>
      <c r="B2740" s="38">
        <v>20</v>
      </c>
      <c r="C2740" s="13" t="s">
        <v>2797</v>
      </c>
      <c r="D2740" s="36">
        <v>9450.59</v>
      </c>
      <c r="E2740" s="43" t="s">
        <v>3596</v>
      </c>
    </row>
    <row r="2741" spans="1:5" x14ac:dyDescent="0.35">
      <c r="A2741" s="40">
        <v>44787</v>
      </c>
      <c r="B2741" s="38">
        <v>-15.05</v>
      </c>
      <c r="C2741" s="13" t="s">
        <v>1584</v>
      </c>
      <c r="D2741" s="36">
        <v>9430.59</v>
      </c>
      <c r="E2741" s="43" t="s">
        <v>3596</v>
      </c>
    </row>
    <row r="2742" spans="1:5" x14ac:dyDescent="0.35">
      <c r="A2742" s="40">
        <v>44786</v>
      </c>
      <c r="B2742" s="38">
        <v>1300</v>
      </c>
      <c r="C2742" s="13" t="s">
        <v>3386</v>
      </c>
      <c r="D2742" s="36">
        <v>9463.64</v>
      </c>
      <c r="E2742" s="43" t="s">
        <v>3596</v>
      </c>
    </row>
    <row r="2743" spans="1:5" x14ac:dyDescent="0.35">
      <c r="A2743" s="40">
        <v>44786</v>
      </c>
      <c r="B2743" s="38">
        <v>-18</v>
      </c>
      <c r="C2743" s="13" t="s">
        <v>2759</v>
      </c>
      <c r="D2743" s="36">
        <v>9445.64</v>
      </c>
      <c r="E2743" s="43" t="s">
        <v>3596</v>
      </c>
    </row>
    <row r="2744" spans="1:5" x14ac:dyDescent="0.35">
      <c r="A2744" s="40">
        <v>44785</v>
      </c>
      <c r="B2744" s="38">
        <v>-41.92</v>
      </c>
      <c r="C2744" s="13" t="s">
        <v>1584</v>
      </c>
      <c r="D2744" s="36">
        <v>8150.64</v>
      </c>
      <c r="E2744" s="43" t="s">
        <v>3596</v>
      </c>
    </row>
    <row r="2745" spans="1:5" x14ac:dyDescent="0.35">
      <c r="A2745" s="40">
        <v>44785</v>
      </c>
      <c r="B2745" s="38">
        <v>13</v>
      </c>
      <c r="C2745" s="13" t="s">
        <v>2793</v>
      </c>
      <c r="D2745" s="36">
        <v>8163.64</v>
      </c>
      <c r="E2745" s="43" t="s">
        <v>3596</v>
      </c>
    </row>
    <row r="2746" spans="1:5" x14ac:dyDescent="0.35">
      <c r="A2746" s="40">
        <v>44785</v>
      </c>
      <c r="B2746" s="38">
        <v>-42.48</v>
      </c>
      <c r="C2746" s="13" t="s">
        <v>2795</v>
      </c>
      <c r="D2746" s="36">
        <v>8209.01</v>
      </c>
      <c r="E2746" s="43" t="s">
        <v>3596</v>
      </c>
    </row>
    <row r="2747" spans="1:5" x14ac:dyDescent="0.35">
      <c r="A2747" s="40">
        <v>44785</v>
      </c>
      <c r="B2747" s="38">
        <v>-16.45</v>
      </c>
      <c r="C2747" s="13" t="s">
        <v>2794</v>
      </c>
      <c r="D2747" s="36">
        <v>8192.56</v>
      </c>
      <c r="E2747" s="43" t="s">
        <v>3596</v>
      </c>
    </row>
    <row r="2748" spans="1:5" x14ac:dyDescent="0.35">
      <c r="A2748" s="40">
        <v>44784</v>
      </c>
      <c r="B2748" s="38">
        <v>-9.5</v>
      </c>
      <c r="C2748" s="13" t="s">
        <v>2789</v>
      </c>
      <c r="D2748" s="36">
        <v>8291.5499999999993</v>
      </c>
      <c r="E2748" s="43" t="s">
        <v>3596</v>
      </c>
    </row>
    <row r="2749" spans="1:5" x14ac:dyDescent="0.35">
      <c r="A2749" s="40">
        <v>44784</v>
      </c>
      <c r="B2749" s="38">
        <v>-9.65</v>
      </c>
      <c r="C2749" s="13" t="s">
        <v>2792</v>
      </c>
      <c r="D2749" s="36">
        <v>8318.91</v>
      </c>
      <c r="E2749" s="43" t="s">
        <v>3596</v>
      </c>
    </row>
    <row r="2750" spans="1:5" x14ac:dyDescent="0.35">
      <c r="A2750" s="40">
        <v>44784</v>
      </c>
      <c r="B2750" s="38">
        <v>-13.8</v>
      </c>
      <c r="C2750" s="13" t="s">
        <v>2791</v>
      </c>
      <c r="D2750" s="36">
        <v>8305.11</v>
      </c>
      <c r="E2750" s="43" t="s">
        <v>3596</v>
      </c>
    </row>
    <row r="2751" spans="1:5" x14ac:dyDescent="0.35">
      <c r="A2751" s="40">
        <v>44784</v>
      </c>
      <c r="B2751" s="38">
        <v>-4.0599999999999996</v>
      </c>
      <c r="C2751" s="13" t="s">
        <v>2790</v>
      </c>
      <c r="D2751" s="36">
        <v>8301.0499999999993</v>
      </c>
      <c r="E2751" s="43" t="s">
        <v>3596</v>
      </c>
    </row>
    <row r="2752" spans="1:5" x14ac:dyDescent="0.35">
      <c r="A2752" s="40">
        <v>44784</v>
      </c>
      <c r="B2752" s="38">
        <v>-40.06</v>
      </c>
      <c r="C2752" s="13" t="s">
        <v>2788</v>
      </c>
      <c r="D2752" s="36">
        <v>8251.49</v>
      </c>
      <c r="E2752" s="43" t="s">
        <v>3596</v>
      </c>
    </row>
    <row r="2753" spans="1:5" x14ac:dyDescent="0.35">
      <c r="A2753" s="40">
        <v>44783</v>
      </c>
      <c r="B2753" s="38">
        <v>-9.65</v>
      </c>
      <c r="C2753" s="13" t="s">
        <v>2787</v>
      </c>
      <c r="D2753" s="36">
        <v>8345.68</v>
      </c>
      <c r="E2753" s="43" t="s">
        <v>3596</v>
      </c>
    </row>
    <row r="2754" spans="1:5" x14ac:dyDescent="0.35">
      <c r="A2754" s="40">
        <v>44783</v>
      </c>
      <c r="B2754" s="38">
        <v>-17.12</v>
      </c>
      <c r="C2754" s="13" t="s">
        <v>2786</v>
      </c>
      <c r="D2754" s="36">
        <v>8328.56</v>
      </c>
      <c r="E2754" s="43" t="s">
        <v>3596</v>
      </c>
    </row>
    <row r="2755" spans="1:5" x14ac:dyDescent="0.35">
      <c r="A2755" s="40">
        <v>44782</v>
      </c>
      <c r="B2755" s="38">
        <v>-56.39</v>
      </c>
      <c r="C2755" s="13" t="s">
        <v>2784</v>
      </c>
      <c r="D2755" s="36">
        <v>9239.4500000000007</v>
      </c>
      <c r="E2755" s="43" t="s">
        <v>3596</v>
      </c>
    </row>
    <row r="2756" spans="1:5" x14ac:dyDescent="0.35">
      <c r="A2756" s="40">
        <v>44782</v>
      </c>
      <c r="B2756" s="38">
        <v>-29.18</v>
      </c>
      <c r="C2756" s="13" t="s">
        <v>2783</v>
      </c>
      <c r="D2756" s="36">
        <v>9210.27</v>
      </c>
      <c r="E2756" s="43" t="s">
        <v>3596</v>
      </c>
    </row>
    <row r="2757" spans="1:5" x14ac:dyDescent="0.35">
      <c r="A2757" s="40">
        <v>44782</v>
      </c>
      <c r="B2757" s="38">
        <v>-3.2</v>
      </c>
      <c r="C2757" s="13" t="s">
        <v>2785</v>
      </c>
      <c r="D2757" s="36">
        <v>9295.84</v>
      </c>
      <c r="E2757" s="43" t="s">
        <v>3596</v>
      </c>
    </row>
    <row r="2758" spans="1:5" x14ac:dyDescent="0.35">
      <c r="A2758" s="40">
        <v>44782</v>
      </c>
      <c r="B2758" s="38">
        <v>-854.94</v>
      </c>
      <c r="C2758" s="13" t="s">
        <v>2782</v>
      </c>
      <c r="D2758" s="36">
        <v>8355.33</v>
      </c>
      <c r="E2758" s="43" t="s">
        <v>3596</v>
      </c>
    </row>
    <row r="2759" spans="1:5" x14ac:dyDescent="0.35">
      <c r="A2759" s="40">
        <v>44781</v>
      </c>
      <c r="B2759" s="38">
        <v>-13.09</v>
      </c>
      <c r="C2759" s="13" t="s">
        <v>2487</v>
      </c>
      <c r="D2759" s="36">
        <v>9299.0400000000009</v>
      </c>
      <c r="E2759" s="43" t="s">
        <v>3596</v>
      </c>
    </row>
    <row r="2760" spans="1:5" x14ac:dyDescent="0.35">
      <c r="A2760" s="40">
        <v>44780</v>
      </c>
      <c r="B2760" s="38">
        <v>-350</v>
      </c>
      <c r="C2760" s="13" t="s">
        <v>2781</v>
      </c>
      <c r="D2760" s="36">
        <v>9459.1299999999992</v>
      </c>
      <c r="E2760" s="43" t="s">
        <v>3596</v>
      </c>
    </row>
    <row r="2761" spans="1:5" x14ac:dyDescent="0.35">
      <c r="A2761" s="40">
        <v>44780</v>
      </c>
      <c r="B2761" s="38">
        <v>-147</v>
      </c>
      <c r="C2761" s="13" t="s">
        <v>2780</v>
      </c>
      <c r="D2761" s="36">
        <v>9312.1299999999992</v>
      </c>
      <c r="E2761" s="43" t="s">
        <v>3596</v>
      </c>
    </row>
    <row r="2762" spans="1:5" x14ac:dyDescent="0.35">
      <c r="A2762" s="40">
        <v>44779</v>
      </c>
      <c r="B2762" s="38">
        <v>-3.2</v>
      </c>
      <c r="C2762" s="13" t="s">
        <v>2779</v>
      </c>
      <c r="D2762" s="36">
        <v>9835.52</v>
      </c>
      <c r="E2762" s="43" t="s">
        <v>3596</v>
      </c>
    </row>
    <row r="2763" spans="1:5" x14ac:dyDescent="0.35">
      <c r="A2763" s="40">
        <v>44779</v>
      </c>
      <c r="B2763" s="38">
        <v>-26.39</v>
      </c>
      <c r="C2763" s="13" t="s">
        <v>2778</v>
      </c>
      <c r="D2763" s="36">
        <v>9809.1299999999992</v>
      </c>
      <c r="E2763" s="43" t="s">
        <v>3596</v>
      </c>
    </row>
    <row r="2764" spans="1:5" x14ac:dyDescent="0.35">
      <c r="A2764" s="40">
        <v>44778</v>
      </c>
      <c r="B2764" s="38">
        <v>-362.91</v>
      </c>
      <c r="C2764" s="13" t="s">
        <v>2777</v>
      </c>
      <c r="D2764" s="36">
        <v>9898.82</v>
      </c>
      <c r="E2764" s="43" t="s">
        <v>3596</v>
      </c>
    </row>
    <row r="2765" spans="1:5" x14ac:dyDescent="0.35">
      <c r="A2765" s="40">
        <v>44778</v>
      </c>
      <c r="B2765" s="38">
        <v>-17.190000000000001</v>
      </c>
      <c r="C2765" s="13" t="s">
        <v>2775</v>
      </c>
      <c r="D2765" s="36">
        <v>9838.7199999999993</v>
      </c>
      <c r="E2765" s="43" t="s">
        <v>3596</v>
      </c>
    </row>
    <row r="2766" spans="1:5" x14ac:dyDescent="0.35">
      <c r="A2766" s="40">
        <v>44778</v>
      </c>
      <c r="B2766" s="38">
        <v>-42.91</v>
      </c>
      <c r="C2766" s="13" t="s">
        <v>2776</v>
      </c>
      <c r="D2766" s="36">
        <v>9855.91</v>
      </c>
      <c r="E2766" s="43" t="s">
        <v>3596</v>
      </c>
    </row>
    <row r="2767" spans="1:5" x14ac:dyDescent="0.35">
      <c r="A2767" s="40">
        <v>44777</v>
      </c>
      <c r="B2767" s="38">
        <v>-500</v>
      </c>
      <c r="C2767" s="13" t="s">
        <v>1395</v>
      </c>
      <c r="D2767" s="36">
        <v>10261.73</v>
      </c>
      <c r="E2767" s="43" t="s">
        <v>3596</v>
      </c>
    </row>
    <row r="2768" spans="1:5" x14ac:dyDescent="0.35">
      <c r="A2768" s="40">
        <v>44777</v>
      </c>
      <c r="B2768" s="38">
        <v>2325.65</v>
      </c>
      <c r="C2768" s="13" t="s">
        <v>2774</v>
      </c>
      <c r="D2768" s="36">
        <v>10761.73</v>
      </c>
      <c r="E2768" s="43" t="s">
        <v>3596</v>
      </c>
    </row>
    <row r="2769" spans="1:5" x14ac:dyDescent="0.35">
      <c r="A2769" s="40">
        <v>44776</v>
      </c>
      <c r="B2769" s="38">
        <v>-7.86</v>
      </c>
      <c r="C2769" s="13" t="s">
        <v>2773</v>
      </c>
      <c r="D2769" s="36">
        <v>8528.86</v>
      </c>
      <c r="E2769" s="43" t="s">
        <v>3596</v>
      </c>
    </row>
    <row r="2770" spans="1:5" x14ac:dyDescent="0.35">
      <c r="A2770" s="40">
        <v>44776</v>
      </c>
      <c r="B2770" s="38">
        <v>-12.18</v>
      </c>
      <c r="C2770" s="13" t="s">
        <v>2772</v>
      </c>
      <c r="D2770" s="36">
        <v>8516.68</v>
      </c>
      <c r="E2770" s="43" t="s">
        <v>3596</v>
      </c>
    </row>
    <row r="2771" spans="1:5" x14ac:dyDescent="0.35">
      <c r="A2771" s="40">
        <v>44776</v>
      </c>
      <c r="B2771" s="38">
        <v>-80.599999999999994</v>
      </c>
      <c r="C2771" s="13" t="s">
        <v>2771</v>
      </c>
      <c r="D2771" s="36">
        <v>8436.08</v>
      </c>
      <c r="E2771" s="43" t="s">
        <v>3596</v>
      </c>
    </row>
    <row r="2772" spans="1:5" x14ac:dyDescent="0.35">
      <c r="A2772" s="40">
        <v>44775</v>
      </c>
      <c r="B2772" s="38">
        <v>-14.42</v>
      </c>
      <c r="C2772" s="13" t="s">
        <v>2770</v>
      </c>
      <c r="D2772" s="36">
        <v>8724.2199999999993</v>
      </c>
      <c r="E2772" s="43" t="s">
        <v>3596</v>
      </c>
    </row>
    <row r="2773" spans="1:5" x14ac:dyDescent="0.35">
      <c r="A2773" s="40">
        <v>44775</v>
      </c>
      <c r="B2773" s="38">
        <v>-55</v>
      </c>
      <c r="C2773" s="13" t="s">
        <v>2767</v>
      </c>
      <c r="D2773" s="36">
        <v>8536.7199999999993</v>
      </c>
      <c r="E2773" s="43" t="s">
        <v>3596</v>
      </c>
    </row>
    <row r="2774" spans="1:5" x14ac:dyDescent="0.35">
      <c r="A2774" s="40">
        <v>44775</v>
      </c>
      <c r="B2774" s="38">
        <v>-22.4</v>
      </c>
      <c r="C2774" s="13" t="s">
        <v>2768</v>
      </c>
      <c r="D2774" s="36">
        <v>8591.7199999999993</v>
      </c>
      <c r="E2774" s="43" t="s">
        <v>3596</v>
      </c>
    </row>
    <row r="2775" spans="1:5" x14ac:dyDescent="0.35">
      <c r="A2775" s="40">
        <v>44775</v>
      </c>
      <c r="B2775" s="38">
        <v>-21.4</v>
      </c>
      <c r="C2775" s="13" t="s">
        <v>2768</v>
      </c>
      <c r="D2775" s="36">
        <v>8614.1200000000008</v>
      </c>
      <c r="E2775" s="43" t="s">
        <v>3596</v>
      </c>
    </row>
    <row r="2776" spans="1:5" x14ac:dyDescent="0.35">
      <c r="A2776" s="40">
        <v>44775</v>
      </c>
      <c r="B2776" s="38">
        <v>-10.7</v>
      </c>
      <c r="C2776" s="13" t="s">
        <v>2768</v>
      </c>
      <c r="D2776" s="36">
        <v>8635.52</v>
      </c>
      <c r="E2776" s="43" t="s">
        <v>3596</v>
      </c>
    </row>
    <row r="2777" spans="1:5" x14ac:dyDescent="0.35">
      <c r="A2777" s="40">
        <v>44775</v>
      </c>
      <c r="B2777" s="38">
        <v>-11</v>
      </c>
      <c r="C2777" s="13" t="s">
        <v>2769</v>
      </c>
      <c r="D2777" s="36">
        <v>8646.2199999999993</v>
      </c>
      <c r="E2777" s="43" t="s">
        <v>3596</v>
      </c>
    </row>
    <row r="2778" spans="1:5" x14ac:dyDescent="0.35">
      <c r="A2778" s="40">
        <v>44775</v>
      </c>
      <c r="B2778" s="38">
        <v>-23</v>
      </c>
      <c r="C2778" s="13" t="s">
        <v>2769</v>
      </c>
      <c r="D2778" s="36">
        <v>8657.2199999999993</v>
      </c>
      <c r="E2778" s="43" t="s">
        <v>3596</v>
      </c>
    </row>
    <row r="2779" spans="1:5" x14ac:dyDescent="0.35">
      <c r="A2779" s="40">
        <v>44775</v>
      </c>
      <c r="B2779" s="38">
        <v>-22</v>
      </c>
      <c r="C2779" s="13" t="s">
        <v>2769</v>
      </c>
      <c r="D2779" s="36">
        <v>8680.2199999999993</v>
      </c>
      <c r="E2779" s="43" t="s">
        <v>3596</v>
      </c>
    </row>
    <row r="2780" spans="1:5" x14ac:dyDescent="0.35">
      <c r="A2780" s="40">
        <v>44775</v>
      </c>
      <c r="B2780" s="38">
        <v>-22</v>
      </c>
      <c r="C2780" s="13" t="s">
        <v>2769</v>
      </c>
      <c r="D2780" s="36">
        <v>8702.2199999999993</v>
      </c>
      <c r="E2780" s="43" t="s">
        <v>3596</v>
      </c>
    </row>
    <row r="2781" spans="1:5" x14ac:dyDescent="0.35">
      <c r="A2781" s="40">
        <v>44774</v>
      </c>
      <c r="B2781" s="38">
        <v>-3.3</v>
      </c>
      <c r="C2781" s="13" t="s">
        <v>2766</v>
      </c>
      <c r="D2781" s="36">
        <v>8919.19</v>
      </c>
      <c r="E2781" s="43" t="s">
        <v>3596</v>
      </c>
    </row>
    <row r="2782" spans="1:5" x14ac:dyDescent="0.35">
      <c r="A2782" s="40">
        <v>44774</v>
      </c>
      <c r="B2782" s="38">
        <v>-180.55</v>
      </c>
      <c r="C2782" s="13" t="s">
        <v>2765</v>
      </c>
      <c r="D2782" s="36">
        <v>8738.64</v>
      </c>
      <c r="E2782" s="43" t="s">
        <v>3596</v>
      </c>
    </row>
    <row r="2783" spans="1:5" x14ac:dyDescent="0.35">
      <c r="A2783" s="40">
        <v>44773</v>
      </c>
      <c r="B2783" s="38">
        <v>-50</v>
      </c>
      <c r="C2783" s="13" t="s">
        <v>2764</v>
      </c>
      <c r="D2783" s="36">
        <v>8885.2900000000009</v>
      </c>
      <c r="E2783" s="43" t="s">
        <v>3596</v>
      </c>
    </row>
    <row r="2784" spans="1:5" x14ac:dyDescent="0.35">
      <c r="A2784" s="40">
        <v>44773</v>
      </c>
      <c r="B2784" s="38">
        <v>-100</v>
      </c>
      <c r="C2784" s="13" t="s">
        <v>2764</v>
      </c>
      <c r="D2784" s="36">
        <v>8938.09</v>
      </c>
      <c r="E2784" s="43" t="s">
        <v>3596</v>
      </c>
    </row>
    <row r="2785" spans="1:5" x14ac:dyDescent="0.35">
      <c r="A2785" s="40">
        <v>44773</v>
      </c>
      <c r="B2785" s="38">
        <v>-2.8</v>
      </c>
      <c r="C2785" s="13" t="s">
        <v>24</v>
      </c>
      <c r="D2785" s="36">
        <v>8882.49</v>
      </c>
      <c r="E2785" s="43" t="s">
        <v>3596</v>
      </c>
    </row>
    <row r="2786" spans="1:5" x14ac:dyDescent="0.35">
      <c r="A2786" s="40">
        <v>44773</v>
      </c>
      <c r="B2786" s="38">
        <v>-2.8</v>
      </c>
      <c r="C2786" s="13" t="s">
        <v>24</v>
      </c>
      <c r="D2786" s="36">
        <v>8935.2900000000009</v>
      </c>
      <c r="E2786" s="43" t="s">
        <v>3596</v>
      </c>
    </row>
    <row r="2787" spans="1:5" x14ac:dyDescent="0.35">
      <c r="A2787" s="40">
        <v>44773</v>
      </c>
      <c r="B2787" s="38">
        <v>40</v>
      </c>
      <c r="C2787" s="13" t="s">
        <v>2763</v>
      </c>
      <c r="D2787" s="36">
        <v>8922.49</v>
      </c>
      <c r="E2787" s="43" t="s">
        <v>3596</v>
      </c>
    </row>
    <row r="2788" spans="1:5" x14ac:dyDescent="0.35">
      <c r="A2788" s="40">
        <v>44772</v>
      </c>
      <c r="B2788" s="38">
        <v>-4.45</v>
      </c>
      <c r="C2788" s="13" t="s">
        <v>1584</v>
      </c>
      <c r="D2788" s="36">
        <v>9038.09</v>
      </c>
      <c r="E2788" s="43" t="s">
        <v>3596</v>
      </c>
    </row>
    <row r="2789" spans="1:5" x14ac:dyDescent="0.35">
      <c r="A2789" s="40">
        <v>44771</v>
      </c>
      <c r="B2789" s="38">
        <v>-14.01</v>
      </c>
      <c r="C2789" s="13" t="s">
        <v>2761</v>
      </c>
      <c r="D2789" s="36">
        <v>9075.34</v>
      </c>
      <c r="E2789" s="43" t="s">
        <v>3596</v>
      </c>
    </row>
    <row r="2790" spans="1:5" x14ac:dyDescent="0.35">
      <c r="A2790" s="40">
        <v>44771</v>
      </c>
      <c r="B2790" s="38">
        <v>-9.65</v>
      </c>
      <c r="C2790" s="13" t="s">
        <v>2762</v>
      </c>
      <c r="D2790" s="36">
        <v>9089.35</v>
      </c>
      <c r="E2790" s="43" t="s">
        <v>3596</v>
      </c>
    </row>
    <row r="2791" spans="1:5" x14ac:dyDescent="0.35">
      <c r="A2791" s="40">
        <v>44771</v>
      </c>
      <c r="B2791" s="38">
        <v>-8.8000000000000007</v>
      </c>
      <c r="C2791" s="13" t="s">
        <v>2760</v>
      </c>
      <c r="D2791" s="36">
        <v>9066.5400000000009</v>
      </c>
      <c r="E2791" s="43" t="s">
        <v>3596</v>
      </c>
    </row>
    <row r="2792" spans="1:5" x14ac:dyDescent="0.35">
      <c r="A2792" s="40">
        <v>44771</v>
      </c>
      <c r="B2792" s="38">
        <v>-24</v>
      </c>
      <c r="C2792" s="13" t="s">
        <v>2759</v>
      </c>
      <c r="D2792" s="36">
        <v>9042.5400000000009</v>
      </c>
      <c r="E2792" s="43" t="s">
        <v>3596</v>
      </c>
    </row>
    <row r="2793" spans="1:5" x14ac:dyDescent="0.35">
      <c r="A2793" s="40">
        <v>44770</v>
      </c>
      <c r="B2793" s="38">
        <v>-5.85</v>
      </c>
      <c r="C2793" s="13" t="s">
        <v>2757</v>
      </c>
      <c r="D2793" s="36">
        <v>9099</v>
      </c>
      <c r="E2793" s="43" t="s">
        <v>3596</v>
      </c>
    </row>
    <row r="2794" spans="1:5" x14ac:dyDescent="0.35">
      <c r="A2794" s="40">
        <v>44770</v>
      </c>
      <c r="B2794" s="38">
        <v>-9.65</v>
      </c>
      <c r="C2794" s="13" t="s">
        <v>2758</v>
      </c>
      <c r="D2794" s="36">
        <v>9104.85</v>
      </c>
      <c r="E2794" s="43" t="s">
        <v>3596</v>
      </c>
    </row>
    <row r="2795" spans="1:5" x14ac:dyDescent="0.35">
      <c r="A2795" s="40">
        <v>44769</v>
      </c>
      <c r="B2795" s="38">
        <v>-9.65</v>
      </c>
      <c r="C2795" s="13" t="s">
        <v>2756</v>
      </c>
      <c r="D2795" s="36">
        <v>9170.68</v>
      </c>
      <c r="E2795" s="43" t="s">
        <v>3596</v>
      </c>
    </row>
    <row r="2796" spans="1:5" x14ac:dyDescent="0.35">
      <c r="A2796" s="40">
        <v>44769</v>
      </c>
      <c r="B2796" s="38">
        <v>-24.4</v>
      </c>
      <c r="C2796" s="13" t="s">
        <v>2755</v>
      </c>
      <c r="D2796" s="36">
        <v>9146.2800000000007</v>
      </c>
      <c r="E2796" s="43" t="s">
        <v>3596</v>
      </c>
    </row>
    <row r="2797" spans="1:5" x14ac:dyDescent="0.35">
      <c r="A2797" s="40">
        <v>44769</v>
      </c>
      <c r="B2797" s="38">
        <v>-12.99</v>
      </c>
      <c r="C2797" s="13" t="s">
        <v>2752</v>
      </c>
      <c r="D2797" s="36">
        <v>9114.5</v>
      </c>
      <c r="E2797" s="43" t="s">
        <v>3596</v>
      </c>
    </row>
    <row r="2798" spans="1:5" x14ac:dyDescent="0.35">
      <c r="A2798" s="40">
        <v>44769</v>
      </c>
      <c r="B2798" s="38">
        <v>-9.99</v>
      </c>
      <c r="C2798" s="13" t="s">
        <v>2753</v>
      </c>
      <c r="D2798" s="36">
        <v>9127.49</v>
      </c>
      <c r="E2798" s="43" t="s">
        <v>3596</v>
      </c>
    </row>
    <row r="2799" spans="1:5" x14ac:dyDescent="0.35">
      <c r="A2799" s="40">
        <v>44769</v>
      </c>
      <c r="B2799" s="38">
        <v>-8.8000000000000007</v>
      </c>
      <c r="C2799" s="13" t="s">
        <v>2754</v>
      </c>
      <c r="D2799" s="36">
        <v>9137.48</v>
      </c>
      <c r="E2799" s="43" t="s">
        <v>3596</v>
      </c>
    </row>
    <row r="2800" spans="1:5" x14ac:dyDescent="0.35">
      <c r="A2800" s="40">
        <v>44768</v>
      </c>
      <c r="B2800" s="38">
        <v>-5.3</v>
      </c>
      <c r="C2800" s="13" t="s">
        <v>2503</v>
      </c>
      <c r="D2800" s="36">
        <v>9202.33</v>
      </c>
      <c r="E2800" s="43" t="s">
        <v>3596</v>
      </c>
    </row>
    <row r="2801" spans="1:5" x14ac:dyDescent="0.35">
      <c r="A2801" s="40">
        <v>44768</v>
      </c>
      <c r="B2801" s="38">
        <v>-45.22</v>
      </c>
      <c r="C2801" s="13" t="s">
        <v>2750</v>
      </c>
      <c r="D2801" s="36">
        <v>9262.4699999999993</v>
      </c>
      <c r="E2801" s="43" t="s">
        <v>3596</v>
      </c>
    </row>
    <row r="2802" spans="1:5" x14ac:dyDescent="0.35">
      <c r="A2802" s="40">
        <v>44768</v>
      </c>
      <c r="B2802" s="38">
        <v>-4</v>
      </c>
      <c r="C2802" s="13" t="s">
        <v>2749</v>
      </c>
      <c r="D2802" s="36">
        <v>9258.4699999999993</v>
      </c>
      <c r="E2802" s="43" t="s">
        <v>3596</v>
      </c>
    </row>
    <row r="2803" spans="1:5" x14ac:dyDescent="0.35">
      <c r="A2803" s="40">
        <v>44768</v>
      </c>
      <c r="B2803" s="38">
        <v>-22</v>
      </c>
      <c r="C2803" s="13" t="s">
        <v>2745</v>
      </c>
      <c r="D2803" s="36">
        <v>9180.33</v>
      </c>
      <c r="E2803" s="43" t="s">
        <v>3596</v>
      </c>
    </row>
    <row r="2804" spans="1:5" x14ac:dyDescent="0.35">
      <c r="A2804" s="40">
        <v>44768</v>
      </c>
      <c r="B2804" s="38">
        <v>-22.56</v>
      </c>
      <c r="C2804" s="13" t="s">
        <v>2751</v>
      </c>
      <c r="D2804" s="36">
        <v>9307.69</v>
      </c>
      <c r="E2804" s="43" t="s">
        <v>3596</v>
      </c>
    </row>
    <row r="2805" spans="1:5" x14ac:dyDescent="0.35">
      <c r="A2805" s="40">
        <v>44768</v>
      </c>
      <c r="B2805" s="38">
        <v>-21.49</v>
      </c>
      <c r="C2805" s="13" t="s">
        <v>2746</v>
      </c>
      <c r="D2805" s="36">
        <v>9207.6299999999992</v>
      </c>
      <c r="E2805" s="43" t="s">
        <v>3596</v>
      </c>
    </row>
    <row r="2806" spans="1:5" x14ac:dyDescent="0.35">
      <c r="A2806" s="40">
        <v>44768</v>
      </c>
      <c r="B2806" s="38">
        <v>-21.46</v>
      </c>
      <c r="C2806" s="13" t="s">
        <v>2747</v>
      </c>
      <c r="D2806" s="36">
        <v>9229.1200000000008</v>
      </c>
      <c r="E2806" s="43" t="s">
        <v>3596</v>
      </c>
    </row>
    <row r="2807" spans="1:5" x14ac:dyDescent="0.35">
      <c r="A2807" s="40">
        <v>44768</v>
      </c>
      <c r="B2807" s="38">
        <v>-7.89</v>
      </c>
      <c r="C2807" s="13" t="s">
        <v>2748</v>
      </c>
      <c r="D2807" s="36">
        <v>9250.58</v>
      </c>
      <c r="E2807" s="43" t="s">
        <v>3596</v>
      </c>
    </row>
    <row r="2808" spans="1:5" x14ac:dyDescent="0.35">
      <c r="A2808" s="40">
        <v>44767</v>
      </c>
      <c r="B2808" s="38">
        <v>-5</v>
      </c>
      <c r="C2808" s="13" t="s">
        <v>2532</v>
      </c>
      <c r="D2808" s="36">
        <v>9330.25</v>
      </c>
      <c r="E2808" s="43" t="s">
        <v>3596</v>
      </c>
    </row>
    <row r="2809" spans="1:5" x14ac:dyDescent="0.35">
      <c r="A2809" s="40">
        <v>44767</v>
      </c>
      <c r="B2809" s="38">
        <v>-15.12</v>
      </c>
      <c r="C2809" s="13" t="s">
        <v>2487</v>
      </c>
      <c r="D2809" s="36">
        <v>9335.25</v>
      </c>
      <c r="E2809" s="43" t="s">
        <v>3596</v>
      </c>
    </row>
    <row r="2810" spans="1:5" x14ac:dyDescent="0.35">
      <c r="A2810" s="40">
        <v>44763</v>
      </c>
      <c r="B2810" s="38">
        <v>-500</v>
      </c>
      <c r="C2810" s="13" t="s">
        <v>1395</v>
      </c>
      <c r="D2810" s="36">
        <v>9389.25</v>
      </c>
      <c r="E2810" s="43" t="s">
        <v>3596</v>
      </c>
    </row>
    <row r="2811" spans="1:5" x14ac:dyDescent="0.35">
      <c r="A2811" s="40">
        <v>44763</v>
      </c>
      <c r="B2811" s="38">
        <v>-38.880000000000003</v>
      </c>
      <c r="C2811" s="13" t="s">
        <v>2743</v>
      </c>
      <c r="D2811" s="36">
        <v>9350.3700000000008</v>
      </c>
      <c r="E2811" s="43" t="s">
        <v>3596</v>
      </c>
    </row>
    <row r="2812" spans="1:5" x14ac:dyDescent="0.35">
      <c r="A2812" s="40">
        <v>44763</v>
      </c>
      <c r="B2812" s="38">
        <v>2307.44</v>
      </c>
      <c r="C2812" s="13" t="s">
        <v>2744</v>
      </c>
      <c r="D2812" s="36">
        <v>9889.25</v>
      </c>
      <c r="E2812" s="43" t="s">
        <v>3596</v>
      </c>
    </row>
    <row r="2813" spans="1:5" x14ac:dyDescent="0.35">
      <c r="A2813" s="40">
        <v>44762</v>
      </c>
      <c r="B2813" s="38">
        <v>-59.9</v>
      </c>
      <c r="C2813" s="13" t="s">
        <v>2742</v>
      </c>
      <c r="D2813" s="36">
        <v>7581.81</v>
      </c>
      <c r="E2813" s="43" t="s">
        <v>3596</v>
      </c>
    </row>
    <row r="2814" spans="1:5" x14ac:dyDescent="0.35">
      <c r="A2814" s="40">
        <v>44761</v>
      </c>
      <c r="B2814" s="38">
        <v>-69</v>
      </c>
      <c r="C2814" s="13" t="s">
        <v>2740</v>
      </c>
      <c r="D2814" s="36">
        <v>7641.71</v>
      </c>
      <c r="E2814" s="43" t="s">
        <v>3596</v>
      </c>
    </row>
    <row r="2815" spans="1:5" x14ac:dyDescent="0.35">
      <c r="A2815" s="40">
        <v>44761</v>
      </c>
      <c r="B2815" s="38">
        <v>-5.99</v>
      </c>
      <c r="C2815" s="13" t="s">
        <v>2741</v>
      </c>
      <c r="D2815" s="36">
        <v>7710.71</v>
      </c>
      <c r="E2815" s="43" t="s">
        <v>3596</v>
      </c>
    </row>
    <row r="2816" spans="1:5" x14ac:dyDescent="0.35">
      <c r="A2816" s="40">
        <v>44760</v>
      </c>
      <c r="B2816" s="38">
        <v>-226.67</v>
      </c>
      <c r="C2816" s="13" t="s">
        <v>2739</v>
      </c>
      <c r="D2816" s="36">
        <v>7716.7</v>
      </c>
      <c r="E2816" s="43" t="s">
        <v>3596</v>
      </c>
    </row>
    <row r="2817" spans="1:5" x14ac:dyDescent="0.35">
      <c r="A2817" s="40">
        <v>44759</v>
      </c>
      <c r="B2817" s="38">
        <v>27</v>
      </c>
      <c r="C2817" s="13" t="s">
        <v>2737</v>
      </c>
      <c r="D2817" s="36">
        <v>7943.37</v>
      </c>
      <c r="E2817" s="43" t="s">
        <v>3596</v>
      </c>
    </row>
    <row r="2818" spans="1:5" x14ac:dyDescent="0.35">
      <c r="A2818" s="40">
        <v>44759</v>
      </c>
      <c r="B2818" s="38">
        <v>-14</v>
      </c>
      <c r="C2818" s="13" t="s">
        <v>2738</v>
      </c>
      <c r="D2818" s="36">
        <v>7916.37</v>
      </c>
      <c r="E2818" s="43" t="s">
        <v>3596</v>
      </c>
    </row>
    <row r="2819" spans="1:5" x14ac:dyDescent="0.35">
      <c r="A2819" s="40">
        <v>44758</v>
      </c>
      <c r="B2819" s="38">
        <v>-5.5</v>
      </c>
      <c r="C2819" s="13" t="s">
        <v>1506</v>
      </c>
      <c r="D2819" s="36">
        <v>7930.37</v>
      </c>
      <c r="E2819" s="43" t="s">
        <v>3596</v>
      </c>
    </row>
    <row r="2820" spans="1:5" x14ac:dyDescent="0.35">
      <c r="A2820" s="40">
        <v>44755</v>
      </c>
      <c r="B2820" s="38">
        <v>-27.18</v>
      </c>
      <c r="C2820" s="13" t="s">
        <v>2736</v>
      </c>
      <c r="D2820" s="36">
        <v>7935.87</v>
      </c>
      <c r="E2820" s="43" t="s">
        <v>3596</v>
      </c>
    </row>
    <row r="2821" spans="1:5" x14ac:dyDescent="0.35">
      <c r="A2821" s="40">
        <v>44754</v>
      </c>
      <c r="B2821" s="38">
        <v>-80.94</v>
      </c>
      <c r="C2821" s="13" t="s">
        <v>2734</v>
      </c>
      <c r="D2821" s="36">
        <v>7963.05</v>
      </c>
      <c r="E2821" s="43" t="s">
        <v>3596</v>
      </c>
    </row>
    <row r="2822" spans="1:5" x14ac:dyDescent="0.35">
      <c r="A2822" s="40">
        <v>44754</v>
      </c>
      <c r="B2822" s="38">
        <v>-16.45</v>
      </c>
      <c r="C2822" s="13" t="s">
        <v>2735</v>
      </c>
      <c r="D2822" s="36">
        <v>8043.99</v>
      </c>
      <c r="E2822" s="43" t="s">
        <v>3596</v>
      </c>
    </row>
    <row r="2823" spans="1:5" x14ac:dyDescent="0.35">
      <c r="A2823" s="40">
        <v>44751</v>
      </c>
      <c r="B2823" s="38">
        <v>-8.5</v>
      </c>
      <c r="C2823" s="13" t="s">
        <v>2733</v>
      </c>
      <c r="D2823" s="36">
        <v>8060.44</v>
      </c>
      <c r="E2823" s="43" t="s">
        <v>3596</v>
      </c>
    </row>
    <row r="2824" spans="1:5" x14ac:dyDescent="0.35">
      <c r="A2824" s="40">
        <v>44750</v>
      </c>
      <c r="B2824" s="38">
        <v>-52.21</v>
      </c>
      <c r="C2824" s="13" t="s">
        <v>2281</v>
      </c>
      <c r="D2824" s="36">
        <v>8068.94</v>
      </c>
      <c r="E2824" s="43" t="s">
        <v>3596</v>
      </c>
    </row>
    <row r="2825" spans="1:5" x14ac:dyDescent="0.35">
      <c r="A2825" s="40">
        <v>44749</v>
      </c>
      <c r="B2825" s="38">
        <v>-500</v>
      </c>
      <c r="C2825" s="13" t="s">
        <v>1395</v>
      </c>
      <c r="D2825" s="36">
        <v>8239.7800000000007</v>
      </c>
      <c r="E2825" s="43" t="s">
        <v>3596</v>
      </c>
    </row>
    <row r="2826" spans="1:5" x14ac:dyDescent="0.35">
      <c r="A2826" s="40">
        <v>44749</v>
      </c>
      <c r="B2826" s="38">
        <v>2259.67</v>
      </c>
      <c r="C2826" s="13" t="s">
        <v>2732</v>
      </c>
      <c r="D2826" s="36">
        <v>8739.7800000000007</v>
      </c>
      <c r="E2826" s="43" t="s">
        <v>3596</v>
      </c>
    </row>
    <row r="2827" spans="1:5" x14ac:dyDescent="0.35">
      <c r="A2827" s="40">
        <v>44749</v>
      </c>
      <c r="B2827" s="38">
        <v>-39.82</v>
      </c>
      <c r="C2827" s="13" t="s">
        <v>2269</v>
      </c>
      <c r="D2827" s="36">
        <v>8121.15</v>
      </c>
      <c r="E2827" s="43" t="s">
        <v>3596</v>
      </c>
    </row>
    <row r="2828" spans="1:5" x14ac:dyDescent="0.35">
      <c r="A2828" s="40">
        <v>44749</v>
      </c>
      <c r="B2828" s="38">
        <v>-78.81</v>
      </c>
      <c r="C2828" s="13" t="s">
        <v>2731</v>
      </c>
      <c r="D2828" s="36">
        <v>8160.97</v>
      </c>
      <c r="E2828" s="43" t="s">
        <v>3596</v>
      </c>
    </row>
    <row r="2829" spans="1:5" x14ac:dyDescent="0.35">
      <c r="A2829" s="40">
        <v>44747</v>
      </c>
      <c r="B2829" s="38">
        <v>-21</v>
      </c>
      <c r="C2829" s="13" t="s">
        <v>2730</v>
      </c>
      <c r="D2829" s="36">
        <v>6488.4</v>
      </c>
      <c r="E2829" s="43" t="s">
        <v>3596</v>
      </c>
    </row>
    <row r="2830" spans="1:5" x14ac:dyDescent="0.35">
      <c r="A2830" s="40">
        <v>44747</v>
      </c>
      <c r="B2830" s="38">
        <v>-0.99</v>
      </c>
      <c r="C2830" s="13" t="s">
        <v>2275</v>
      </c>
      <c r="D2830" s="36">
        <v>6480.11</v>
      </c>
      <c r="E2830" s="43" t="s">
        <v>3596</v>
      </c>
    </row>
    <row r="2831" spans="1:5" x14ac:dyDescent="0.35">
      <c r="A2831" s="40">
        <v>44747</v>
      </c>
      <c r="B2831" s="38">
        <v>-7.3</v>
      </c>
      <c r="C2831" s="13" t="s">
        <v>2275</v>
      </c>
      <c r="D2831" s="36">
        <v>6481.1</v>
      </c>
      <c r="E2831" s="43" t="s">
        <v>3596</v>
      </c>
    </row>
    <row r="2832" spans="1:5" x14ac:dyDescent="0.35">
      <c r="A2832" s="40">
        <v>44745</v>
      </c>
      <c r="B2832" s="38">
        <v>-16.8</v>
      </c>
      <c r="C2832" s="13" t="s">
        <v>2729</v>
      </c>
      <c r="D2832" s="36">
        <v>6523.4</v>
      </c>
      <c r="E2832" s="43" t="s">
        <v>3596</v>
      </c>
    </row>
    <row r="2833" spans="1:5" x14ac:dyDescent="0.35">
      <c r="A2833" s="40">
        <v>44745</v>
      </c>
      <c r="B2833" s="38">
        <v>-14</v>
      </c>
      <c r="C2833" s="13" t="s">
        <v>2691</v>
      </c>
      <c r="D2833" s="36">
        <v>6509.4</v>
      </c>
      <c r="E2833" s="43" t="s">
        <v>3596</v>
      </c>
    </row>
    <row r="2834" spans="1:5" x14ac:dyDescent="0.35">
      <c r="A2834" s="40">
        <v>44744</v>
      </c>
      <c r="B2834" s="38">
        <v>-22</v>
      </c>
      <c r="C2834" s="13" t="s">
        <v>2728</v>
      </c>
      <c r="D2834" s="36">
        <v>6540.2</v>
      </c>
      <c r="E2834" s="43" t="s">
        <v>3596</v>
      </c>
    </row>
    <row r="2835" spans="1:5" x14ac:dyDescent="0.35">
      <c r="A2835" s="40">
        <v>44743</v>
      </c>
      <c r="B2835" s="38">
        <v>-180.55</v>
      </c>
      <c r="C2835" s="13" t="s">
        <v>2727</v>
      </c>
      <c r="D2835" s="36">
        <v>6562.2</v>
      </c>
      <c r="E2835" s="43" t="s">
        <v>3596</v>
      </c>
    </row>
    <row r="2836" spans="1:5" x14ac:dyDescent="0.35">
      <c r="A2836" s="40">
        <v>44740</v>
      </c>
      <c r="B2836" s="38">
        <v>-8.15</v>
      </c>
      <c r="C2836" s="13" t="s">
        <v>2726</v>
      </c>
      <c r="D2836" s="36">
        <v>6876.64</v>
      </c>
      <c r="E2836" s="43" t="s">
        <v>3596</v>
      </c>
    </row>
    <row r="2837" spans="1:5" x14ac:dyDescent="0.35">
      <c r="A2837" s="40">
        <v>44740</v>
      </c>
      <c r="B2837" s="38">
        <v>-31.99</v>
      </c>
      <c r="C2837" s="13" t="s">
        <v>2722</v>
      </c>
      <c r="D2837" s="36">
        <v>6742.75</v>
      </c>
      <c r="E2837" s="43" t="s">
        <v>3596</v>
      </c>
    </row>
    <row r="2838" spans="1:5" x14ac:dyDescent="0.35">
      <c r="A2838" s="40">
        <v>44740</v>
      </c>
      <c r="B2838" s="38">
        <v>-7.5</v>
      </c>
      <c r="C2838" s="13" t="s">
        <v>2724</v>
      </c>
      <c r="D2838" s="36">
        <v>6796.99</v>
      </c>
      <c r="E2838" s="43" t="s">
        <v>3596</v>
      </c>
    </row>
    <row r="2839" spans="1:5" x14ac:dyDescent="0.35">
      <c r="A2839" s="40">
        <v>44740</v>
      </c>
      <c r="B2839" s="38">
        <v>-22.25</v>
      </c>
      <c r="C2839" s="13" t="s">
        <v>2723</v>
      </c>
      <c r="D2839" s="36">
        <v>6774.74</v>
      </c>
      <c r="E2839" s="43" t="s">
        <v>3596</v>
      </c>
    </row>
    <row r="2840" spans="1:5" x14ac:dyDescent="0.35">
      <c r="A2840" s="40">
        <v>44740</v>
      </c>
      <c r="B2840" s="38">
        <v>-72.150000000000006</v>
      </c>
      <c r="C2840" s="13" t="s">
        <v>2725</v>
      </c>
      <c r="D2840" s="36">
        <v>6804.49</v>
      </c>
      <c r="E2840" s="43" t="s">
        <v>3596</v>
      </c>
    </row>
    <row r="2841" spans="1:5" x14ac:dyDescent="0.35">
      <c r="A2841" s="40">
        <v>44739</v>
      </c>
      <c r="B2841" s="38">
        <v>-62.5</v>
      </c>
      <c r="C2841" s="13" t="s">
        <v>2400</v>
      </c>
      <c r="D2841" s="36">
        <v>6884.79</v>
      </c>
      <c r="E2841" s="43" t="s">
        <v>3596</v>
      </c>
    </row>
    <row r="2842" spans="1:5" x14ac:dyDescent="0.35">
      <c r="A2842" s="40">
        <v>44737</v>
      </c>
      <c r="B2842" s="38">
        <v>-6</v>
      </c>
      <c r="C2842" s="13" t="s">
        <v>2721</v>
      </c>
      <c r="D2842" s="36">
        <v>6947.29</v>
      </c>
      <c r="E2842" s="43" t="s">
        <v>3596</v>
      </c>
    </row>
    <row r="2843" spans="1:5" x14ac:dyDescent="0.35">
      <c r="A2843" s="40">
        <v>44736</v>
      </c>
      <c r="B2843" s="38">
        <v>50</v>
      </c>
      <c r="C2843" s="13" t="s">
        <v>2720</v>
      </c>
      <c r="D2843" s="36">
        <v>6953.29</v>
      </c>
      <c r="E2843" s="43" t="s">
        <v>3596</v>
      </c>
    </row>
    <row r="2844" spans="1:5" x14ac:dyDescent="0.35">
      <c r="A2844" s="40">
        <v>44735</v>
      </c>
      <c r="B2844" s="38">
        <v>-500</v>
      </c>
      <c r="C2844" s="13" t="s">
        <v>1395</v>
      </c>
      <c r="D2844" s="36">
        <v>7261.95</v>
      </c>
      <c r="E2844" s="43" t="s">
        <v>3596</v>
      </c>
    </row>
    <row r="2845" spans="1:5" x14ac:dyDescent="0.35">
      <c r="A2845" s="40">
        <v>44735</v>
      </c>
      <c r="B2845" s="38">
        <v>70</v>
      </c>
      <c r="C2845" s="13" t="s">
        <v>2718</v>
      </c>
      <c r="D2845" s="36">
        <v>7331.95</v>
      </c>
      <c r="E2845" s="43" t="s">
        <v>3596</v>
      </c>
    </row>
    <row r="2846" spans="1:5" x14ac:dyDescent="0.35">
      <c r="A2846" s="40">
        <v>44735</v>
      </c>
      <c r="B2846" s="38">
        <v>2325.65</v>
      </c>
      <c r="C2846" s="13" t="s">
        <v>2719</v>
      </c>
      <c r="D2846" s="36">
        <v>7761.95</v>
      </c>
      <c r="E2846" s="43" t="s">
        <v>3596</v>
      </c>
    </row>
    <row r="2847" spans="1:5" x14ac:dyDescent="0.35">
      <c r="A2847" s="40">
        <v>44735</v>
      </c>
      <c r="B2847" s="38">
        <v>-428.66</v>
      </c>
      <c r="C2847" s="13" t="s">
        <v>2404</v>
      </c>
      <c r="D2847" s="36">
        <v>6903.29</v>
      </c>
      <c r="E2847" s="43" t="s">
        <v>3596</v>
      </c>
    </row>
    <row r="2848" spans="1:5" x14ac:dyDescent="0.35">
      <c r="A2848" s="40">
        <v>44734</v>
      </c>
      <c r="B2848" s="38">
        <v>-53.88</v>
      </c>
      <c r="C2848" s="13" t="s">
        <v>2717</v>
      </c>
      <c r="D2848" s="36">
        <v>5474.17</v>
      </c>
      <c r="E2848" s="43" t="s">
        <v>3596</v>
      </c>
    </row>
    <row r="2849" spans="1:5" x14ac:dyDescent="0.35">
      <c r="A2849" s="40">
        <v>44734</v>
      </c>
      <c r="B2849" s="38">
        <v>-37.869999999999997</v>
      </c>
      <c r="C2849" s="13" t="s">
        <v>2716</v>
      </c>
      <c r="D2849" s="36">
        <v>5436.3</v>
      </c>
      <c r="E2849" s="43" t="s">
        <v>3596</v>
      </c>
    </row>
    <row r="2850" spans="1:5" x14ac:dyDescent="0.35">
      <c r="A2850" s="40">
        <v>44733</v>
      </c>
      <c r="B2850" s="38">
        <v>-5.99</v>
      </c>
      <c r="C2850" s="13" t="s">
        <v>2715</v>
      </c>
      <c r="D2850" s="36">
        <v>5181.25</v>
      </c>
      <c r="E2850" s="43" t="s">
        <v>3596</v>
      </c>
    </row>
    <row r="2851" spans="1:5" x14ac:dyDescent="0.35">
      <c r="A2851" s="40">
        <v>44733</v>
      </c>
      <c r="B2851" s="38">
        <v>365.8</v>
      </c>
      <c r="C2851" s="13" t="s">
        <v>2713</v>
      </c>
      <c r="D2851" s="36">
        <v>5528.05</v>
      </c>
      <c r="E2851" s="43" t="s">
        <v>3596</v>
      </c>
    </row>
    <row r="2852" spans="1:5" x14ac:dyDescent="0.35">
      <c r="A2852" s="40">
        <v>44733</v>
      </c>
      <c r="B2852" s="38">
        <v>-19</v>
      </c>
      <c r="C2852" s="13" t="s">
        <v>2714</v>
      </c>
      <c r="D2852" s="36">
        <v>5162.25</v>
      </c>
      <c r="E2852" s="43" t="s">
        <v>3596</v>
      </c>
    </row>
    <row r="2853" spans="1:5" x14ac:dyDescent="0.35">
      <c r="A2853" s="40">
        <v>44732</v>
      </c>
      <c r="B2853" s="38">
        <v>-176</v>
      </c>
      <c r="C2853" s="13" t="s">
        <v>2711</v>
      </c>
      <c r="D2853" s="36">
        <v>5187.24</v>
      </c>
      <c r="E2853" s="43" t="s">
        <v>3596</v>
      </c>
    </row>
    <row r="2854" spans="1:5" x14ac:dyDescent="0.35">
      <c r="A2854" s="40">
        <v>44732</v>
      </c>
      <c r="B2854" s="38">
        <v>1520</v>
      </c>
      <c r="C2854" s="13" t="s">
        <v>2712</v>
      </c>
      <c r="D2854" s="36">
        <v>5363.24</v>
      </c>
      <c r="E2854" s="43" t="s">
        <v>3596</v>
      </c>
    </row>
    <row r="2855" spans="1:5" x14ac:dyDescent="0.35">
      <c r="A2855" s="40">
        <v>44730</v>
      </c>
      <c r="B2855" s="38">
        <v>-6.44</v>
      </c>
      <c r="C2855" s="13" t="s">
        <v>2710</v>
      </c>
      <c r="D2855" s="36">
        <v>3992.72</v>
      </c>
      <c r="E2855" s="43" t="s">
        <v>3596</v>
      </c>
    </row>
    <row r="2856" spans="1:5" x14ac:dyDescent="0.35">
      <c r="A2856" s="40">
        <v>44730</v>
      </c>
      <c r="B2856" s="38">
        <v>-11.65</v>
      </c>
      <c r="C2856" s="13" t="s">
        <v>2707</v>
      </c>
      <c r="D2856" s="36">
        <v>3843.24</v>
      </c>
      <c r="E2856" s="43" t="s">
        <v>3596</v>
      </c>
    </row>
    <row r="2857" spans="1:5" x14ac:dyDescent="0.35">
      <c r="A2857" s="40">
        <v>44730</v>
      </c>
      <c r="B2857" s="38">
        <v>-110.74</v>
      </c>
      <c r="C2857" s="13" t="s">
        <v>2709</v>
      </c>
      <c r="D2857" s="36">
        <v>3881.98</v>
      </c>
      <c r="E2857" s="43" t="s">
        <v>3596</v>
      </c>
    </row>
    <row r="2858" spans="1:5" x14ac:dyDescent="0.35">
      <c r="A2858" s="40">
        <v>44730</v>
      </c>
      <c r="B2858" s="38">
        <v>-27.09</v>
      </c>
      <c r="C2858" s="13" t="s">
        <v>2708</v>
      </c>
      <c r="D2858" s="36">
        <v>3854.89</v>
      </c>
      <c r="E2858" s="43" t="s">
        <v>3596</v>
      </c>
    </row>
    <row r="2859" spans="1:5" x14ac:dyDescent="0.35">
      <c r="A2859" s="40">
        <v>44729</v>
      </c>
      <c r="B2859" s="38">
        <v>-87.4</v>
      </c>
      <c r="C2859" s="13" t="s">
        <v>2705</v>
      </c>
      <c r="D2859" s="36">
        <v>3999.16</v>
      </c>
      <c r="E2859" s="43" t="s">
        <v>3596</v>
      </c>
    </row>
    <row r="2860" spans="1:5" x14ac:dyDescent="0.35">
      <c r="A2860" s="40">
        <v>44729</v>
      </c>
      <c r="B2860" s="38">
        <v>-69</v>
      </c>
      <c r="C2860" s="13" t="s">
        <v>2706</v>
      </c>
      <c r="D2860" s="36">
        <v>4086.56</v>
      </c>
      <c r="E2860" s="43" t="s">
        <v>3596</v>
      </c>
    </row>
    <row r="2861" spans="1:5" x14ac:dyDescent="0.35">
      <c r="A2861" s="40">
        <v>44728</v>
      </c>
      <c r="B2861" s="38">
        <v>-22.79</v>
      </c>
      <c r="C2861" s="13" t="s">
        <v>2704</v>
      </c>
      <c r="D2861" s="36">
        <v>4272.5600000000004</v>
      </c>
      <c r="E2861" s="43" t="s">
        <v>3596</v>
      </c>
    </row>
    <row r="2862" spans="1:5" x14ac:dyDescent="0.35">
      <c r="A2862" s="40">
        <v>44728</v>
      </c>
      <c r="B2862" s="38">
        <v>-15</v>
      </c>
      <c r="C2862" s="13" t="s">
        <v>2701</v>
      </c>
      <c r="D2862" s="36">
        <v>4228.5600000000004</v>
      </c>
      <c r="E2862" s="43" t="s">
        <v>3596</v>
      </c>
    </row>
    <row r="2863" spans="1:5" x14ac:dyDescent="0.35">
      <c r="A2863" s="40">
        <v>44728</v>
      </c>
      <c r="B2863" s="38">
        <v>-12</v>
      </c>
      <c r="C2863" s="13" t="s">
        <v>2703</v>
      </c>
      <c r="D2863" s="36">
        <v>4260.5600000000004</v>
      </c>
      <c r="E2863" s="43" t="s">
        <v>3596</v>
      </c>
    </row>
    <row r="2864" spans="1:5" x14ac:dyDescent="0.35">
      <c r="A2864" s="40">
        <v>44728</v>
      </c>
      <c r="B2864" s="38">
        <v>-17</v>
      </c>
      <c r="C2864" s="13" t="s">
        <v>2702</v>
      </c>
      <c r="D2864" s="36">
        <v>4243.5600000000004</v>
      </c>
      <c r="E2864" s="43" t="s">
        <v>3596</v>
      </c>
    </row>
    <row r="2865" spans="1:5" x14ac:dyDescent="0.35">
      <c r="A2865" s="40">
        <v>44728</v>
      </c>
      <c r="B2865" s="38">
        <v>-18</v>
      </c>
      <c r="C2865" s="13" t="s">
        <v>2700</v>
      </c>
      <c r="D2865" s="36">
        <v>4210.5600000000004</v>
      </c>
      <c r="E2865" s="43" t="s">
        <v>3596</v>
      </c>
    </row>
    <row r="2866" spans="1:5" x14ac:dyDescent="0.35">
      <c r="A2866" s="40">
        <v>44728</v>
      </c>
      <c r="B2866" s="38">
        <v>-55</v>
      </c>
      <c r="C2866" s="13" t="s">
        <v>2699</v>
      </c>
      <c r="D2866" s="36">
        <v>4155.5600000000004</v>
      </c>
      <c r="E2866" s="43" t="s">
        <v>3596</v>
      </c>
    </row>
    <row r="2867" spans="1:5" x14ac:dyDescent="0.35">
      <c r="A2867" s="40">
        <v>44727</v>
      </c>
      <c r="B2867" s="38">
        <v>10</v>
      </c>
      <c r="C2867" s="13" t="s">
        <v>2697</v>
      </c>
      <c r="D2867" s="36">
        <v>4295.3500000000004</v>
      </c>
      <c r="E2867" s="43" t="s">
        <v>3596</v>
      </c>
    </row>
    <row r="2868" spans="1:5" x14ac:dyDescent="0.35">
      <c r="A2868" s="40">
        <v>44727</v>
      </c>
      <c r="B2868" s="38">
        <v>-24</v>
      </c>
      <c r="C2868" s="13" t="s">
        <v>2698</v>
      </c>
      <c r="D2868" s="36">
        <v>4285.3500000000004</v>
      </c>
      <c r="E2868" s="43" t="s">
        <v>3596</v>
      </c>
    </row>
    <row r="2869" spans="1:5" x14ac:dyDescent="0.35">
      <c r="A2869" s="40">
        <v>44726</v>
      </c>
      <c r="B2869" s="38">
        <v>-5.3</v>
      </c>
      <c r="C2869" s="13" t="s">
        <v>2696</v>
      </c>
      <c r="D2869" s="36">
        <v>4418.93</v>
      </c>
      <c r="E2869" s="43" t="s">
        <v>3596</v>
      </c>
    </row>
    <row r="2870" spans="1:5" x14ac:dyDescent="0.35">
      <c r="A2870" s="40">
        <v>44726</v>
      </c>
      <c r="B2870" s="38">
        <v>-68</v>
      </c>
      <c r="C2870" s="13" t="s">
        <v>2695</v>
      </c>
      <c r="D2870" s="36">
        <v>4350.93</v>
      </c>
      <c r="E2870" s="43" t="s">
        <v>3596</v>
      </c>
    </row>
    <row r="2871" spans="1:5" x14ac:dyDescent="0.35">
      <c r="A2871" s="40">
        <v>44726</v>
      </c>
      <c r="B2871" s="38">
        <v>-2.63</v>
      </c>
      <c r="C2871" s="13" t="s">
        <v>2693</v>
      </c>
      <c r="D2871" s="36">
        <v>4325.8</v>
      </c>
      <c r="E2871" s="43" t="s">
        <v>3596</v>
      </c>
    </row>
    <row r="2872" spans="1:5" x14ac:dyDescent="0.35">
      <c r="A2872" s="40">
        <v>44726</v>
      </c>
      <c r="B2872" s="38">
        <v>-16.45</v>
      </c>
      <c r="C2872" s="13" t="s">
        <v>2692</v>
      </c>
      <c r="D2872" s="36">
        <v>4309.3500000000004</v>
      </c>
      <c r="E2872" s="43" t="s">
        <v>3596</v>
      </c>
    </row>
    <row r="2873" spans="1:5" x14ac:dyDescent="0.35">
      <c r="A2873" s="40">
        <v>44726</v>
      </c>
      <c r="B2873" s="38">
        <v>-22.5</v>
      </c>
      <c r="C2873" s="13" t="s">
        <v>2694</v>
      </c>
      <c r="D2873" s="36">
        <v>4328.43</v>
      </c>
      <c r="E2873" s="43" t="s">
        <v>3596</v>
      </c>
    </row>
    <row r="2874" spans="1:5" x14ac:dyDescent="0.35">
      <c r="A2874" s="40">
        <v>44725</v>
      </c>
      <c r="B2874" s="38">
        <v>-10</v>
      </c>
      <c r="C2874" s="13" t="s">
        <v>2691</v>
      </c>
      <c r="D2874" s="36">
        <v>4424.2299999999996</v>
      </c>
      <c r="E2874" s="43" t="s">
        <v>3596</v>
      </c>
    </row>
    <row r="2875" spans="1:5" x14ac:dyDescent="0.35">
      <c r="A2875" s="40">
        <v>44724</v>
      </c>
      <c r="B2875" s="38">
        <v>40</v>
      </c>
      <c r="C2875" s="13" t="s">
        <v>1885</v>
      </c>
      <c r="D2875" s="36">
        <v>4434.2299999999996</v>
      </c>
      <c r="E2875" s="43" t="s">
        <v>3596</v>
      </c>
    </row>
    <row r="2876" spans="1:5" x14ac:dyDescent="0.35">
      <c r="A2876" s="40">
        <v>44723</v>
      </c>
      <c r="B2876" s="38">
        <v>-3.99</v>
      </c>
      <c r="C2876" s="13" t="s">
        <v>2360</v>
      </c>
      <c r="D2876" s="36">
        <v>4434.2299999999996</v>
      </c>
      <c r="E2876" s="43" t="s">
        <v>3596</v>
      </c>
    </row>
    <row r="2877" spans="1:5" x14ac:dyDescent="0.35">
      <c r="A2877" s="40">
        <v>44723</v>
      </c>
      <c r="B2877" s="38">
        <v>-38.54</v>
      </c>
      <c r="C2877" s="13" t="s">
        <v>2269</v>
      </c>
      <c r="D2877" s="36">
        <v>4438.22</v>
      </c>
      <c r="E2877" s="43" t="s">
        <v>3596</v>
      </c>
    </row>
    <row r="2878" spans="1:5" x14ac:dyDescent="0.35">
      <c r="A2878" s="40">
        <v>44723</v>
      </c>
      <c r="B2878" s="38">
        <v>-40</v>
      </c>
      <c r="C2878" s="13" t="s">
        <v>2690</v>
      </c>
      <c r="D2878" s="36">
        <v>4394.2299999999996</v>
      </c>
      <c r="E2878" s="43" t="s">
        <v>3596</v>
      </c>
    </row>
    <row r="2879" spans="1:5" x14ac:dyDescent="0.35">
      <c r="A2879" s="40">
        <v>44722</v>
      </c>
      <c r="B2879" s="38">
        <v>-9.24</v>
      </c>
      <c r="C2879" s="13" t="s">
        <v>2689</v>
      </c>
      <c r="D2879" s="36">
        <v>4758.8500000000004</v>
      </c>
      <c r="E2879" s="43" t="s">
        <v>3596</v>
      </c>
    </row>
    <row r="2880" spans="1:5" x14ac:dyDescent="0.35">
      <c r="A2880" s="40">
        <v>44722</v>
      </c>
      <c r="B2880" s="38">
        <v>-2.4</v>
      </c>
      <c r="C2880" s="13" t="s">
        <v>2687</v>
      </c>
      <c r="D2880" s="36">
        <v>4480.76</v>
      </c>
      <c r="E2880" s="43" t="s">
        <v>3596</v>
      </c>
    </row>
    <row r="2881" spans="1:5" x14ac:dyDescent="0.35">
      <c r="A2881" s="40">
        <v>44722</v>
      </c>
      <c r="B2881" s="38">
        <v>-275.69</v>
      </c>
      <c r="C2881" s="13" t="s">
        <v>2688</v>
      </c>
      <c r="D2881" s="36">
        <v>4483.16</v>
      </c>
      <c r="E2881" s="43" t="s">
        <v>3596</v>
      </c>
    </row>
    <row r="2882" spans="1:5" x14ac:dyDescent="0.35">
      <c r="A2882" s="40">
        <v>44722</v>
      </c>
      <c r="B2882" s="38">
        <v>-4</v>
      </c>
      <c r="C2882" s="13" t="s">
        <v>2686</v>
      </c>
      <c r="D2882" s="36">
        <v>4476.76</v>
      </c>
      <c r="E2882" s="43" t="s">
        <v>3596</v>
      </c>
    </row>
    <row r="2883" spans="1:5" x14ac:dyDescent="0.35">
      <c r="A2883" s="40">
        <v>44721</v>
      </c>
      <c r="B2883" s="38">
        <v>-500</v>
      </c>
      <c r="C2883" s="13" t="s">
        <v>1395</v>
      </c>
      <c r="D2883" s="36">
        <v>4597.8599999999997</v>
      </c>
      <c r="E2883" s="43" t="s">
        <v>3596</v>
      </c>
    </row>
    <row r="2884" spans="1:5" x14ac:dyDescent="0.35">
      <c r="A2884" s="40">
        <v>44721</v>
      </c>
      <c r="B2884" s="38">
        <v>-7.58</v>
      </c>
      <c r="C2884" s="13" t="s">
        <v>2684</v>
      </c>
      <c r="D2884" s="36">
        <v>4590.28</v>
      </c>
      <c r="E2884" s="43" t="s">
        <v>3596</v>
      </c>
    </row>
    <row r="2885" spans="1:5" x14ac:dyDescent="0.35">
      <c r="A2885" s="40">
        <v>44721</v>
      </c>
      <c r="B2885" s="38">
        <v>2325.65</v>
      </c>
      <c r="C2885" s="13" t="s">
        <v>2685</v>
      </c>
      <c r="D2885" s="36">
        <v>5097.8599999999997</v>
      </c>
      <c r="E2885" s="43" t="s">
        <v>3596</v>
      </c>
    </row>
    <row r="2886" spans="1:5" x14ac:dyDescent="0.35">
      <c r="A2886" s="40">
        <v>44721</v>
      </c>
      <c r="B2886" s="38">
        <v>189.81</v>
      </c>
      <c r="C2886" s="13" t="s">
        <v>2683</v>
      </c>
      <c r="D2886" s="36">
        <v>4768.09</v>
      </c>
      <c r="E2886" s="43" t="s">
        <v>3596</v>
      </c>
    </row>
    <row r="2887" spans="1:5" x14ac:dyDescent="0.35">
      <c r="A2887" s="40">
        <v>44721</v>
      </c>
      <c r="B2887" s="38">
        <v>-12</v>
      </c>
      <c r="C2887" s="13" t="s">
        <v>2679</v>
      </c>
      <c r="D2887" s="36">
        <v>4578.28</v>
      </c>
      <c r="E2887" s="43" t="s">
        <v>3596</v>
      </c>
    </row>
    <row r="2888" spans="1:5" x14ac:dyDescent="0.35">
      <c r="A2888" s="40">
        <v>44720</v>
      </c>
      <c r="B2888" s="38">
        <v>-9.24</v>
      </c>
      <c r="C2888" s="13" t="s">
        <v>2682</v>
      </c>
      <c r="D2888" s="36">
        <v>2905.21</v>
      </c>
      <c r="E2888" s="43" t="s">
        <v>3596</v>
      </c>
    </row>
    <row r="2889" spans="1:5" x14ac:dyDescent="0.35">
      <c r="A2889" s="40">
        <v>44720</v>
      </c>
      <c r="B2889" s="38">
        <v>-11.9</v>
      </c>
      <c r="C2889" s="13" t="s">
        <v>2680</v>
      </c>
      <c r="D2889" s="36">
        <v>2880.11</v>
      </c>
      <c r="E2889" s="43" t="s">
        <v>3596</v>
      </c>
    </row>
    <row r="2890" spans="1:5" x14ac:dyDescent="0.35">
      <c r="A2890" s="40">
        <v>44720</v>
      </c>
      <c r="B2890" s="38">
        <v>-107.9</v>
      </c>
      <c r="C2890" s="13" t="s">
        <v>2679</v>
      </c>
      <c r="D2890" s="36">
        <v>2772.21</v>
      </c>
      <c r="E2890" s="43" t="s">
        <v>3596</v>
      </c>
    </row>
    <row r="2891" spans="1:5" x14ac:dyDescent="0.35">
      <c r="A2891" s="40">
        <v>44720</v>
      </c>
      <c r="B2891" s="38">
        <v>-13.2</v>
      </c>
      <c r="C2891" s="13" t="s">
        <v>2681</v>
      </c>
      <c r="D2891" s="36">
        <v>2892.01</v>
      </c>
      <c r="E2891" s="43" t="s">
        <v>3596</v>
      </c>
    </row>
    <row r="2892" spans="1:5" x14ac:dyDescent="0.35">
      <c r="A2892" s="40">
        <v>44719</v>
      </c>
      <c r="B2892" s="38">
        <v>-26.09</v>
      </c>
      <c r="C2892" s="13" t="s">
        <v>2678</v>
      </c>
      <c r="D2892" s="36">
        <v>3409.24</v>
      </c>
      <c r="E2892" s="43" t="s">
        <v>3596</v>
      </c>
    </row>
    <row r="2893" spans="1:5" x14ac:dyDescent="0.35">
      <c r="A2893" s="40">
        <v>44719</v>
      </c>
      <c r="B2893" s="38">
        <v>-470.17</v>
      </c>
      <c r="C2893" s="13" t="s">
        <v>2675</v>
      </c>
      <c r="D2893" s="36">
        <v>2914.45</v>
      </c>
      <c r="E2893" s="43" t="s">
        <v>3596</v>
      </c>
    </row>
    <row r="2894" spans="1:5" x14ac:dyDescent="0.35">
      <c r="A2894" s="40">
        <v>44719</v>
      </c>
      <c r="B2894" s="38">
        <v>-18.62</v>
      </c>
      <c r="C2894" s="13" t="s">
        <v>2677</v>
      </c>
      <c r="D2894" s="36">
        <v>3390.62</v>
      </c>
      <c r="E2894" s="43" t="s">
        <v>3596</v>
      </c>
    </row>
    <row r="2895" spans="1:5" x14ac:dyDescent="0.35">
      <c r="A2895" s="40">
        <v>44719</v>
      </c>
      <c r="B2895" s="38">
        <v>-6</v>
      </c>
      <c r="C2895" s="13" t="s">
        <v>2676</v>
      </c>
      <c r="D2895" s="36">
        <v>3384.62</v>
      </c>
      <c r="E2895" s="43" t="s">
        <v>3596</v>
      </c>
    </row>
    <row r="2896" spans="1:5" x14ac:dyDescent="0.35">
      <c r="A2896" s="40">
        <v>44718</v>
      </c>
      <c r="B2896" s="38">
        <v>-5</v>
      </c>
      <c r="C2896" s="13" t="s">
        <v>2532</v>
      </c>
      <c r="D2896" s="36">
        <v>3435.33</v>
      </c>
      <c r="E2896" s="43" t="s">
        <v>3596</v>
      </c>
    </row>
    <row r="2897" spans="1:5" x14ac:dyDescent="0.35">
      <c r="A2897" s="40">
        <v>44717</v>
      </c>
      <c r="B2897" s="38">
        <v>-24.1</v>
      </c>
      <c r="C2897" s="13" t="s">
        <v>1584</v>
      </c>
      <c r="D2897" s="36">
        <v>3440.33</v>
      </c>
      <c r="E2897" s="43" t="s">
        <v>3596</v>
      </c>
    </row>
    <row r="2898" spans="1:5" x14ac:dyDescent="0.35">
      <c r="A2898" s="40">
        <v>44716</v>
      </c>
      <c r="B2898" s="38">
        <v>-24.5</v>
      </c>
      <c r="C2898" s="13" t="s">
        <v>2673</v>
      </c>
      <c r="D2898" s="36">
        <v>3464.43</v>
      </c>
      <c r="E2898" s="43" t="s">
        <v>3596</v>
      </c>
    </row>
    <row r="2899" spans="1:5" x14ac:dyDescent="0.35">
      <c r="A2899" s="40">
        <v>44716</v>
      </c>
      <c r="B2899" s="38">
        <v>-13.65</v>
      </c>
      <c r="C2899" s="13" t="s">
        <v>2674</v>
      </c>
      <c r="D2899" s="36">
        <v>3488.93</v>
      </c>
      <c r="E2899" s="43" t="s">
        <v>3596</v>
      </c>
    </row>
    <row r="2900" spans="1:5" x14ac:dyDescent="0.35">
      <c r="A2900" s="40">
        <v>44715</v>
      </c>
      <c r="B2900" s="38">
        <v>-9.24</v>
      </c>
      <c r="C2900" s="13" t="s">
        <v>2672</v>
      </c>
      <c r="D2900" s="36">
        <v>3556.68</v>
      </c>
      <c r="E2900" s="43" t="s">
        <v>3596</v>
      </c>
    </row>
    <row r="2901" spans="1:5" x14ac:dyDescent="0.35">
      <c r="A2901" s="40">
        <v>44715</v>
      </c>
      <c r="B2901" s="38">
        <v>-54.1</v>
      </c>
      <c r="C2901" s="13" t="s">
        <v>2671</v>
      </c>
      <c r="D2901" s="36">
        <v>3502.58</v>
      </c>
      <c r="E2901" s="43" t="s">
        <v>3596</v>
      </c>
    </row>
    <row r="2902" spans="1:5" x14ac:dyDescent="0.35">
      <c r="A2902" s="40">
        <v>44714</v>
      </c>
      <c r="B2902" s="38">
        <v>-25.52</v>
      </c>
      <c r="C2902" s="13" t="s">
        <v>2667</v>
      </c>
      <c r="D2902" s="36">
        <v>2839.51</v>
      </c>
      <c r="E2902" s="43" t="s">
        <v>3596</v>
      </c>
    </row>
    <row r="2903" spans="1:5" x14ac:dyDescent="0.35">
      <c r="A2903" s="40">
        <v>44714</v>
      </c>
      <c r="B2903" s="38">
        <v>-60.99</v>
      </c>
      <c r="C2903" s="13" t="s">
        <v>2669</v>
      </c>
      <c r="D2903" s="36">
        <v>2900.03</v>
      </c>
      <c r="E2903" s="43" t="s">
        <v>3596</v>
      </c>
    </row>
    <row r="2904" spans="1:5" x14ac:dyDescent="0.35">
      <c r="A2904" s="40">
        <v>44714</v>
      </c>
      <c r="B2904" s="38">
        <v>-33.590000000000003</v>
      </c>
      <c r="C2904" s="13" t="s">
        <v>2665</v>
      </c>
      <c r="D2904" s="36">
        <v>3565.92</v>
      </c>
      <c r="E2904" s="43" t="s">
        <v>3596</v>
      </c>
    </row>
    <row r="2905" spans="1:5" x14ac:dyDescent="0.35">
      <c r="A2905" s="40">
        <v>44714</v>
      </c>
      <c r="B2905" s="38">
        <v>-35</v>
      </c>
      <c r="C2905" s="13" t="s">
        <v>2668</v>
      </c>
      <c r="D2905" s="36">
        <v>2865.03</v>
      </c>
      <c r="E2905" s="43" t="s">
        <v>3596</v>
      </c>
    </row>
    <row r="2906" spans="1:5" x14ac:dyDescent="0.35">
      <c r="A2906" s="40">
        <v>44714</v>
      </c>
      <c r="B2906" s="38">
        <v>-14.07</v>
      </c>
      <c r="C2906" s="13" t="s">
        <v>2670</v>
      </c>
      <c r="D2906" s="36">
        <v>2961.02</v>
      </c>
      <c r="E2906" s="43" t="s">
        <v>3596</v>
      </c>
    </row>
    <row r="2907" spans="1:5" x14ac:dyDescent="0.35">
      <c r="A2907" s="40">
        <v>44714</v>
      </c>
      <c r="B2907" s="38">
        <v>-7.04</v>
      </c>
      <c r="C2907" s="13" t="s">
        <v>2670</v>
      </c>
      <c r="D2907" s="36">
        <v>2975.09</v>
      </c>
      <c r="E2907" s="43" t="s">
        <v>3596</v>
      </c>
    </row>
    <row r="2908" spans="1:5" x14ac:dyDescent="0.35">
      <c r="A2908" s="40">
        <v>44714</v>
      </c>
      <c r="B2908" s="38">
        <v>760</v>
      </c>
      <c r="C2908" s="13" t="s">
        <v>2666</v>
      </c>
      <c r="D2908" s="36">
        <v>3599.51</v>
      </c>
      <c r="E2908" s="43" t="s">
        <v>3596</v>
      </c>
    </row>
    <row r="2909" spans="1:5" x14ac:dyDescent="0.35">
      <c r="A2909" s="40">
        <v>44713</v>
      </c>
      <c r="B2909" s="38">
        <v>-11.42</v>
      </c>
      <c r="C2909" s="13" t="s">
        <v>2662</v>
      </c>
      <c r="D2909" s="36">
        <v>3148.34</v>
      </c>
      <c r="E2909" s="43" t="s">
        <v>3596</v>
      </c>
    </row>
    <row r="2910" spans="1:5" x14ac:dyDescent="0.35">
      <c r="A2910" s="40">
        <v>44713</v>
      </c>
      <c r="B2910" s="38">
        <v>-32.19</v>
      </c>
      <c r="C2910" s="13" t="s">
        <v>2664</v>
      </c>
      <c r="D2910" s="36">
        <v>3163.76</v>
      </c>
      <c r="E2910" s="43" t="s">
        <v>3596</v>
      </c>
    </row>
    <row r="2911" spans="1:5" x14ac:dyDescent="0.35">
      <c r="A2911" s="40">
        <v>44713</v>
      </c>
      <c r="B2911" s="38">
        <v>75</v>
      </c>
      <c r="C2911" s="13" t="s">
        <v>2661</v>
      </c>
      <c r="D2911" s="36">
        <v>3162.68</v>
      </c>
      <c r="E2911" s="43" t="s">
        <v>3596</v>
      </c>
    </row>
    <row r="2912" spans="1:5" x14ac:dyDescent="0.35">
      <c r="A2912" s="40">
        <v>44713</v>
      </c>
      <c r="B2912" s="38">
        <v>-60.66</v>
      </c>
      <c r="C2912" s="13" t="s">
        <v>2404</v>
      </c>
      <c r="D2912" s="36">
        <v>3087.68</v>
      </c>
      <c r="E2912" s="43" t="s">
        <v>3596</v>
      </c>
    </row>
    <row r="2913" spans="1:5" x14ac:dyDescent="0.35">
      <c r="A2913" s="40">
        <v>44713</v>
      </c>
      <c r="B2913" s="38">
        <v>-4</v>
      </c>
      <c r="C2913" s="13" t="s">
        <v>2663</v>
      </c>
      <c r="D2913" s="36">
        <v>3159.76</v>
      </c>
      <c r="E2913" s="43" t="s">
        <v>3596</v>
      </c>
    </row>
    <row r="2914" spans="1:5" x14ac:dyDescent="0.35">
      <c r="A2914" s="40">
        <v>44713</v>
      </c>
      <c r="B2914" s="38">
        <v>-180.55</v>
      </c>
      <c r="C2914" s="13" t="s">
        <v>2660</v>
      </c>
      <c r="D2914" s="36">
        <v>2982.13</v>
      </c>
      <c r="E2914" s="43" t="s">
        <v>3596</v>
      </c>
    </row>
    <row r="2915" spans="1:5" x14ac:dyDescent="0.35">
      <c r="A2915" s="40">
        <v>44712</v>
      </c>
      <c r="B2915" s="38">
        <v>-61.79</v>
      </c>
      <c r="C2915" s="13" t="s">
        <v>2659</v>
      </c>
      <c r="D2915" s="36">
        <v>3246.32</v>
      </c>
      <c r="E2915" s="43" t="s">
        <v>3596</v>
      </c>
    </row>
    <row r="2916" spans="1:5" x14ac:dyDescent="0.35">
      <c r="A2916" s="40">
        <v>44712</v>
      </c>
      <c r="B2916" s="38">
        <v>-7.99</v>
      </c>
      <c r="C2916" s="13" t="s">
        <v>2658</v>
      </c>
      <c r="D2916" s="36">
        <v>3238.33</v>
      </c>
      <c r="E2916" s="43" t="s">
        <v>3596</v>
      </c>
    </row>
    <row r="2917" spans="1:5" x14ac:dyDescent="0.35">
      <c r="A2917" s="40">
        <v>44712</v>
      </c>
      <c r="B2917" s="38">
        <v>-10</v>
      </c>
      <c r="C2917" s="13" t="s">
        <v>2656</v>
      </c>
      <c r="D2917" s="36">
        <v>3218.35</v>
      </c>
      <c r="E2917" s="43" t="s">
        <v>3596</v>
      </c>
    </row>
    <row r="2918" spans="1:5" x14ac:dyDescent="0.35">
      <c r="A2918" s="40">
        <v>44712</v>
      </c>
      <c r="B2918" s="38">
        <v>-22.4</v>
      </c>
      <c r="C2918" s="13" t="s">
        <v>1481</v>
      </c>
      <c r="D2918" s="36">
        <v>3195.95</v>
      </c>
      <c r="E2918" s="43" t="s">
        <v>3596</v>
      </c>
    </row>
    <row r="2919" spans="1:5" x14ac:dyDescent="0.35">
      <c r="A2919" s="40">
        <v>44712</v>
      </c>
      <c r="B2919" s="38">
        <v>-9.98</v>
      </c>
      <c r="C2919" s="13" t="s">
        <v>2657</v>
      </c>
      <c r="D2919" s="36">
        <v>3228.35</v>
      </c>
      <c r="E2919" s="43" t="s">
        <v>3596</v>
      </c>
    </row>
    <row r="2920" spans="1:5" x14ac:dyDescent="0.35">
      <c r="A2920" s="40">
        <v>44711</v>
      </c>
      <c r="B2920" s="38">
        <v>-500</v>
      </c>
      <c r="C2920" s="13" t="s">
        <v>2654</v>
      </c>
      <c r="D2920" s="36">
        <v>3308.11</v>
      </c>
      <c r="E2920" s="43" t="s">
        <v>3596</v>
      </c>
    </row>
    <row r="2921" spans="1:5" x14ac:dyDescent="0.35">
      <c r="A2921" s="40">
        <v>44711</v>
      </c>
      <c r="B2921" s="38">
        <v>-12.04</v>
      </c>
      <c r="C2921" s="13" t="s">
        <v>2655</v>
      </c>
      <c r="D2921" s="36">
        <v>3808.11</v>
      </c>
      <c r="E2921" s="43" t="s">
        <v>3596</v>
      </c>
    </row>
    <row r="2922" spans="1:5" x14ac:dyDescent="0.35">
      <c r="A2922" s="40">
        <v>44709</v>
      </c>
      <c r="B2922" s="38">
        <v>-7.05</v>
      </c>
      <c r="C2922" s="13" t="s">
        <v>2650</v>
      </c>
      <c r="D2922" s="36">
        <v>3885.15</v>
      </c>
      <c r="E2922" s="43" t="s">
        <v>3596</v>
      </c>
    </row>
    <row r="2923" spans="1:5" x14ac:dyDescent="0.35">
      <c r="A2923" s="40">
        <v>44709</v>
      </c>
      <c r="B2923" s="38">
        <v>-47.32</v>
      </c>
      <c r="C2923" s="13" t="s">
        <v>2653</v>
      </c>
      <c r="D2923" s="36">
        <v>3918.63</v>
      </c>
      <c r="E2923" s="43" t="s">
        <v>3596</v>
      </c>
    </row>
    <row r="2924" spans="1:5" x14ac:dyDescent="0.35">
      <c r="A2924" s="40">
        <v>44709</v>
      </c>
      <c r="B2924" s="38">
        <v>-22.23</v>
      </c>
      <c r="C2924" s="13" t="s">
        <v>2652</v>
      </c>
      <c r="D2924" s="36">
        <v>3896.4</v>
      </c>
      <c r="E2924" s="43" t="s">
        <v>3596</v>
      </c>
    </row>
    <row r="2925" spans="1:5" x14ac:dyDescent="0.35">
      <c r="A2925" s="40">
        <v>44709</v>
      </c>
      <c r="B2925" s="38">
        <v>-4.2</v>
      </c>
      <c r="C2925" s="13" t="s">
        <v>2651</v>
      </c>
      <c r="D2925" s="36">
        <v>3892.2</v>
      </c>
      <c r="E2925" s="43" t="s">
        <v>3596</v>
      </c>
    </row>
    <row r="2926" spans="1:5" x14ac:dyDescent="0.35">
      <c r="A2926" s="40">
        <v>44709</v>
      </c>
      <c r="B2926" s="38">
        <v>-65</v>
      </c>
      <c r="C2926" s="13" t="s">
        <v>1476</v>
      </c>
      <c r="D2926" s="36">
        <v>3820.15</v>
      </c>
      <c r="E2926" s="43" t="s">
        <v>3596</v>
      </c>
    </row>
    <row r="2927" spans="1:5" x14ac:dyDescent="0.35">
      <c r="A2927" s="40">
        <v>44708</v>
      </c>
      <c r="B2927" s="38">
        <v>-15</v>
      </c>
      <c r="C2927" s="13" t="s">
        <v>2648</v>
      </c>
      <c r="D2927" s="36">
        <v>4003.55</v>
      </c>
      <c r="E2927" s="43" t="s">
        <v>3596</v>
      </c>
    </row>
    <row r="2928" spans="1:5" x14ac:dyDescent="0.35">
      <c r="A2928" s="40">
        <v>44708</v>
      </c>
      <c r="B2928" s="38">
        <v>-9.24</v>
      </c>
      <c r="C2928" s="13" t="s">
        <v>2649</v>
      </c>
      <c r="D2928" s="36">
        <v>4018.55</v>
      </c>
      <c r="E2928" s="43" t="s">
        <v>3596</v>
      </c>
    </row>
    <row r="2929" spans="1:5" x14ac:dyDescent="0.35">
      <c r="A2929" s="40">
        <v>44708</v>
      </c>
      <c r="B2929" s="38">
        <v>-9.3000000000000007</v>
      </c>
      <c r="C2929" s="13" t="s">
        <v>2647</v>
      </c>
      <c r="D2929" s="36">
        <v>3994.25</v>
      </c>
      <c r="E2929" s="43" t="s">
        <v>3596</v>
      </c>
    </row>
    <row r="2930" spans="1:5" x14ac:dyDescent="0.35">
      <c r="A2930" s="40">
        <v>44708</v>
      </c>
      <c r="B2930" s="38">
        <v>-28.3</v>
      </c>
      <c r="C2930" s="13" t="s">
        <v>2646</v>
      </c>
      <c r="D2930" s="36">
        <v>3965.95</v>
      </c>
      <c r="E2930" s="43" t="s">
        <v>3596</v>
      </c>
    </row>
    <row r="2931" spans="1:5" x14ac:dyDescent="0.35">
      <c r="A2931" s="40">
        <v>44707</v>
      </c>
      <c r="B2931" s="38">
        <v>-760</v>
      </c>
      <c r="C2931" s="13" t="s">
        <v>1395</v>
      </c>
      <c r="D2931" s="36">
        <v>4044.18</v>
      </c>
      <c r="E2931" s="43" t="s">
        <v>3596</v>
      </c>
    </row>
    <row r="2932" spans="1:5" x14ac:dyDescent="0.35">
      <c r="A2932" s="40">
        <v>44707</v>
      </c>
      <c r="B2932" s="38">
        <v>-7.15</v>
      </c>
      <c r="C2932" s="13" t="s">
        <v>2643</v>
      </c>
      <c r="D2932" s="36">
        <v>4027.79</v>
      </c>
      <c r="E2932" s="43" t="s">
        <v>3596</v>
      </c>
    </row>
    <row r="2933" spans="1:5" x14ac:dyDescent="0.35">
      <c r="A2933" s="40">
        <v>44707</v>
      </c>
      <c r="B2933" s="38">
        <v>-9.24</v>
      </c>
      <c r="C2933" s="13" t="s">
        <v>2644</v>
      </c>
      <c r="D2933" s="36">
        <v>4034.94</v>
      </c>
      <c r="E2933" s="43" t="s">
        <v>3596</v>
      </c>
    </row>
    <row r="2934" spans="1:5" x14ac:dyDescent="0.35">
      <c r="A2934" s="40">
        <v>44707</v>
      </c>
      <c r="B2934" s="38">
        <v>2325.66</v>
      </c>
      <c r="C2934" s="13" t="s">
        <v>2645</v>
      </c>
      <c r="D2934" s="36">
        <v>4804.18</v>
      </c>
      <c r="E2934" s="43" t="s">
        <v>3596</v>
      </c>
    </row>
    <row r="2935" spans="1:5" x14ac:dyDescent="0.35">
      <c r="A2935" s="40">
        <v>44706</v>
      </c>
      <c r="B2935" s="38">
        <v>-16.3</v>
      </c>
      <c r="C2935" s="13" t="s">
        <v>2638</v>
      </c>
      <c r="D2935" s="36">
        <v>2528.62</v>
      </c>
      <c r="E2935" s="43" t="s">
        <v>3596</v>
      </c>
    </row>
    <row r="2936" spans="1:5" x14ac:dyDescent="0.35">
      <c r="A2936" s="40">
        <v>44706</v>
      </c>
      <c r="B2936" s="38">
        <v>-8.1</v>
      </c>
      <c r="C2936" s="13" t="s">
        <v>2642</v>
      </c>
      <c r="D2936" s="36">
        <v>2713.43</v>
      </c>
      <c r="E2936" s="43" t="s">
        <v>3596</v>
      </c>
    </row>
    <row r="2937" spans="1:5" x14ac:dyDescent="0.35">
      <c r="A2937" s="40">
        <v>44706</v>
      </c>
      <c r="B2937" s="38">
        <v>-119.6</v>
      </c>
      <c r="C2937" s="13" t="s">
        <v>2639</v>
      </c>
      <c r="D2937" s="36">
        <v>2544.92</v>
      </c>
      <c r="E2937" s="43" t="s">
        <v>3596</v>
      </c>
    </row>
    <row r="2938" spans="1:5" x14ac:dyDescent="0.35">
      <c r="A2938" s="40">
        <v>44706</v>
      </c>
      <c r="B2938" s="38">
        <v>-25.7</v>
      </c>
      <c r="C2938" s="13" t="s">
        <v>1584</v>
      </c>
      <c r="D2938" s="36">
        <v>2478.52</v>
      </c>
      <c r="E2938" s="43" t="s">
        <v>3596</v>
      </c>
    </row>
    <row r="2939" spans="1:5" x14ac:dyDescent="0.35">
      <c r="A2939" s="40">
        <v>44706</v>
      </c>
      <c r="B2939" s="38">
        <v>-6.8</v>
      </c>
      <c r="C2939" s="13" t="s">
        <v>2641</v>
      </c>
      <c r="D2939" s="36">
        <v>2706.63</v>
      </c>
      <c r="E2939" s="43" t="s">
        <v>3596</v>
      </c>
    </row>
    <row r="2940" spans="1:5" x14ac:dyDescent="0.35">
      <c r="A2940" s="40">
        <v>44706</v>
      </c>
      <c r="B2940" s="38">
        <v>-24.4</v>
      </c>
      <c r="C2940" s="13" t="s">
        <v>1481</v>
      </c>
      <c r="D2940" s="36">
        <v>2504.2199999999998</v>
      </c>
      <c r="E2940" s="43" t="s">
        <v>3596</v>
      </c>
    </row>
    <row r="2941" spans="1:5" x14ac:dyDescent="0.35">
      <c r="A2941" s="40">
        <v>44706</v>
      </c>
      <c r="B2941" s="38">
        <v>-42.11</v>
      </c>
      <c r="C2941" s="13" t="s">
        <v>2640</v>
      </c>
      <c r="D2941" s="36">
        <v>2664.52</v>
      </c>
      <c r="E2941" s="43" t="s">
        <v>3596</v>
      </c>
    </row>
    <row r="2942" spans="1:5" x14ac:dyDescent="0.35">
      <c r="A2942" s="40">
        <v>44705</v>
      </c>
      <c r="B2942" s="38">
        <v>-5</v>
      </c>
      <c r="C2942" s="13" t="s">
        <v>2532</v>
      </c>
      <c r="D2942" s="36">
        <v>2721.53</v>
      </c>
      <c r="E2942" s="43" t="s">
        <v>3596</v>
      </c>
    </row>
    <row r="2943" spans="1:5" x14ac:dyDescent="0.35">
      <c r="A2943" s="40">
        <v>44705</v>
      </c>
      <c r="B2943" s="38">
        <v>-4.8</v>
      </c>
      <c r="C2943" s="13" t="s">
        <v>2532</v>
      </c>
      <c r="D2943" s="36">
        <v>2726.53</v>
      </c>
      <c r="E2943" s="43" t="s">
        <v>3596</v>
      </c>
    </row>
    <row r="2944" spans="1:5" x14ac:dyDescent="0.35">
      <c r="A2944" s="40">
        <v>44705</v>
      </c>
      <c r="B2944" s="38">
        <v>-40.19</v>
      </c>
      <c r="C2944" s="13" t="s">
        <v>2637</v>
      </c>
      <c r="D2944" s="36">
        <v>2937.28</v>
      </c>
      <c r="E2944" s="43" t="s">
        <v>3596</v>
      </c>
    </row>
    <row r="2945" spans="1:5" x14ac:dyDescent="0.35">
      <c r="A2945" s="40">
        <v>44705</v>
      </c>
      <c r="B2945" s="38">
        <v>-60.79</v>
      </c>
      <c r="C2945" s="13" t="s">
        <v>2632</v>
      </c>
      <c r="D2945" s="36">
        <v>2731.33</v>
      </c>
      <c r="E2945" s="43" t="s">
        <v>3596</v>
      </c>
    </row>
    <row r="2946" spans="1:5" x14ac:dyDescent="0.35">
      <c r="A2946" s="40">
        <v>44705</v>
      </c>
      <c r="B2946" s="38">
        <v>-8.65</v>
      </c>
      <c r="C2946" s="13" t="s">
        <v>2633</v>
      </c>
      <c r="D2946" s="36">
        <v>2792.12</v>
      </c>
      <c r="E2946" s="43" t="s">
        <v>3596</v>
      </c>
    </row>
    <row r="2947" spans="1:5" x14ac:dyDescent="0.35">
      <c r="A2947" s="40">
        <v>44705</v>
      </c>
      <c r="B2947" s="38">
        <v>-113.5</v>
      </c>
      <c r="C2947" s="13" t="s">
        <v>2634</v>
      </c>
      <c r="D2947" s="36">
        <v>2800.77</v>
      </c>
      <c r="E2947" s="43" t="s">
        <v>3596</v>
      </c>
    </row>
    <row r="2948" spans="1:5" x14ac:dyDescent="0.35">
      <c r="A2948" s="40">
        <v>44705</v>
      </c>
      <c r="B2948" s="38">
        <v>-3.5</v>
      </c>
      <c r="C2948" s="13" t="s">
        <v>2636</v>
      </c>
      <c r="D2948" s="36">
        <v>2933.78</v>
      </c>
      <c r="E2948" s="43" t="s">
        <v>3596</v>
      </c>
    </row>
    <row r="2949" spans="1:5" x14ac:dyDescent="0.35">
      <c r="A2949" s="40">
        <v>44705</v>
      </c>
      <c r="B2949" s="38">
        <v>-19.510000000000002</v>
      </c>
      <c r="C2949" s="13" t="s">
        <v>2635</v>
      </c>
      <c r="D2949" s="36">
        <v>2914.27</v>
      </c>
      <c r="E2949" s="43" t="s">
        <v>3596</v>
      </c>
    </row>
    <row r="2950" spans="1:5" x14ac:dyDescent="0.35">
      <c r="A2950" s="40">
        <v>44704</v>
      </c>
      <c r="B2950" s="38">
        <v>-5</v>
      </c>
      <c r="C2950" s="13" t="s">
        <v>2503</v>
      </c>
      <c r="D2950" s="36">
        <v>3001.37</v>
      </c>
      <c r="E2950" s="43" t="s">
        <v>3596</v>
      </c>
    </row>
    <row r="2951" spans="1:5" x14ac:dyDescent="0.35">
      <c r="A2951" s="40">
        <v>44704</v>
      </c>
      <c r="B2951" s="38">
        <v>-23.9</v>
      </c>
      <c r="C2951" s="13" t="s">
        <v>2631</v>
      </c>
      <c r="D2951" s="36">
        <v>2977.47</v>
      </c>
      <c r="E2951" s="43" t="s">
        <v>3596</v>
      </c>
    </row>
    <row r="2952" spans="1:5" x14ac:dyDescent="0.35">
      <c r="A2952" s="40">
        <v>44702</v>
      </c>
      <c r="B2952" s="38">
        <v>30</v>
      </c>
      <c r="C2952" s="13" t="s">
        <v>2628</v>
      </c>
      <c r="D2952" s="36">
        <v>3006.37</v>
      </c>
      <c r="E2952" s="43" t="s">
        <v>3596</v>
      </c>
    </row>
    <row r="2953" spans="1:5" x14ac:dyDescent="0.35">
      <c r="A2953" s="40">
        <v>44702</v>
      </c>
      <c r="B2953" s="38">
        <v>-17.71</v>
      </c>
      <c r="C2953" s="13" t="s">
        <v>2629</v>
      </c>
      <c r="D2953" s="36">
        <v>2976.37</v>
      </c>
      <c r="E2953" s="43" t="s">
        <v>3596</v>
      </c>
    </row>
    <row r="2954" spans="1:5" x14ac:dyDescent="0.35">
      <c r="A2954" s="40">
        <v>44702</v>
      </c>
      <c r="B2954" s="38">
        <v>-21.63</v>
      </c>
      <c r="C2954" s="13" t="s">
        <v>2630</v>
      </c>
      <c r="D2954" s="36">
        <v>2994.08</v>
      </c>
      <c r="E2954" s="43" t="s">
        <v>3596</v>
      </c>
    </row>
    <row r="2955" spans="1:5" x14ac:dyDescent="0.35">
      <c r="A2955" s="40">
        <v>44701</v>
      </c>
      <c r="B2955" s="38">
        <v>-5.99</v>
      </c>
      <c r="C2955" s="13" t="s">
        <v>2627</v>
      </c>
      <c r="D2955" s="36">
        <v>3027.86</v>
      </c>
      <c r="E2955" s="43" t="s">
        <v>3596</v>
      </c>
    </row>
    <row r="2956" spans="1:5" x14ac:dyDescent="0.35">
      <c r="A2956" s="40">
        <v>44701</v>
      </c>
      <c r="B2956" s="38">
        <v>-12.15</v>
      </c>
      <c r="C2956" s="13" t="s">
        <v>1584</v>
      </c>
      <c r="D2956" s="36">
        <v>3015.71</v>
      </c>
      <c r="E2956" s="43" t="s">
        <v>3596</v>
      </c>
    </row>
    <row r="2957" spans="1:5" x14ac:dyDescent="0.35">
      <c r="A2957" s="40">
        <v>44700</v>
      </c>
      <c r="B2957" s="38">
        <v>100</v>
      </c>
      <c r="C2957" s="13" t="s">
        <v>2625</v>
      </c>
      <c r="D2957" s="36">
        <v>3033.85</v>
      </c>
      <c r="E2957" s="43" t="s">
        <v>3596</v>
      </c>
    </row>
    <row r="2958" spans="1:5" x14ac:dyDescent="0.35">
      <c r="A2958" s="40">
        <v>44700</v>
      </c>
      <c r="B2958" s="38">
        <v>-69</v>
      </c>
      <c r="C2958" s="13" t="s">
        <v>2626</v>
      </c>
      <c r="D2958" s="36">
        <v>2947.98</v>
      </c>
      <c r="E2958" s="43" t="s">
        <v>3596</v>
      </c>
    </row>
    <row r="2959" spans="1:5" x14ac:dyDescent="0.35">
      <c r="A2959" s="40">
        <v>44700</v>
      </c>
      <c r="B2959" s="38">
        <v>-14.13</v>
      </c>
      <c r="C2959" s="13" t="s">
        <v>2465</v>
      </c>
      <c r="D2959" s="36">
        <v>2933.85</v>
      </c>
      <c r="E2959" s="43" t="s">
        <v>3596</v>
      </c>
    </row>
    <row r="2960" spans="1:5" x14ac:dyDescent="0.35">
      <c r="A2960" s="40">
        <v>44699</v>
      </c>
      <c r="B2960" s="38">
        <v>-218</v>
      </c>
      <c r="C2960" s="13" t="s">
        <v>2621</v>
      </c>
      <c r="D2960" s="36">
        <v>3016.98</v>
      </c>
      <c r="E2960" s="43" t="s">
        <v>3596</v>
      </c>
    </row>
    <row r="2961" spans="1:5" x14ac:dyDescent="0.35">
      <c r="A2961" s="40">
        <v>44699</v>
      </c>
      <c r="B2961" s="38">
        <v>-23.89</v>
      </c>
      <c r="C2961" s="13" t="s">
        <v>2622</v>
      </c>
      <c r="D2961" s="36">
        <v>3248.98</v>
      </c>
      <c r="E2961" s="43" t="s">
        <v>3596</v>
      </c>
    </row>
    <row r="2962" spans="1:5" x14ac:dyDescent="0.35">
      <c r="A2962" s="40">
        <v>44699</v>
      </c>
      <c r="B2962" s="38">
        <v>-9.24</v>
      </c>
      <c r="C2962" s="13" t="s">
        <v>2624</v>
      </c>
      <c r="D2962" s="36">
        <v>3300.28</v>
      </c>
      <c r="E2962" s="43" t="s">
        <v>3596</v>
      </c>
    </row>
    <row r="2963" spans="1:5" x14ac:dyDescent="0.35">
      <c r="A2963" s="40">
        <v>44699</v>
      </c>
      <c r="B2963" s="38">
        <v>-14</v>
      </c>
      <c r="C2963" s="13" t="s">
        <v>2465</v>
      </c>
      <c r="D2963" s="36">
        <v>3234.98</v>
      </c>
      <c r="E2963" s="43" t="s">
        <v>3596</v>
      </c>
    </row>
    <row r="2964" spans="1:5" x14ac:dyDescent="0.35">
      <c r="A2964" s="40">
        <v>44699</v>
      </c>
      <c r="B2964" s="38">
        <v>-27.41</v>
      </c>
      <c r="C2964" s="13" t="s">
        <v>2623</v>
      </c>
      <c r="D2964" s="36">
        <v>3272.87</v>
      </c>
      <c r="E2964" s="43" t="s">
        <v>3596</v>
      </c>
    </row>
    <row r="2965" spans="1:5" x14ac:dyDescent="0.35">
      <c r="A2965" s="40">
        <v>44698</v>
      </c>
      <c r="B2965" s="38">
        <v>-26.87</v>
      </c>
      <c r="C2965" s="13" t="s">
        <v>2619</v>
      </c>
      <c r="D2965" s="36">
        <v>3532.51</v>
      </c>
      <c r="E2965" s="43" t="s">
        <v>3596</v>
      </c>
    </row>
    <row r="2966" spans="1:5" x14ac:dyDescent="0.35">
      <c r="A2966" s="40">
        <v>44698</v>
      </c>
      <c r="B2966" s="38">
        <v>-30.82</v>
      </c>
      <c r="C2966" s="13" t="s">
        <v>2620</v>
      </c>
      <c r="D2966" s="36">
        <v>3559.38</v>
      </c>
      <c r="E2966" s="43" t="s">
        <v>3596</v>
      </c>
    </row>
    <row r="2967" spans="1:5" x14ac:dyDescent="0.35">
      <c r="A2967" s="40">
        <v>44698</v>
      </c>
      <c r="B2967" s="38">
        <v>-21.45</v>
      </c>
      <c r="C2967" s="13" t="s">
        <v>2620</v>
      </c>
      <c r="D2967" s="36">
        <v>3590.2</v>
      </c>
      <c r="E2967" s="43" t="s">
        <v>3596</v>
      </c>
    </row>
    <row r="2968" spans="1:5" x14ac:dyDescent="0.35">
      <c r="A2968" s="40">
        <v>44698</v>
      </c>
      <c r="B2968" s="38">
        <v>-54.99</v>
      </c>
      <c r="C2968" s="13" t="s">
        <v>2618</v>
      </c>
      <c r="D2968" s="36">
        <v>3477.52</v>
      </c>
      <c r="E2968" s="43" t="s">
        <v>3596</v>
      </c>
    </row>
    <row r="2969" spans="1:5" x14ac:dyDescent="0.35">
      <c r="A2969" s="40">
        <v>44698</v>
      </c>
      <c r="B2969" s="38">
        <v>-18.899999999999999</v>
      </c>
      <c r="C2969" s="13" t="s">
        <v>1584</v>
      </c>
      <c r="D2969" s="36">
        <v>3364.52</v>
      </c>
      <c r="E2969" s="43" t="s">
        <v>3596</v>
      </c>
    </row>
    <row r="2970" spans="1:5" x14ac:dyDescent="0.35">
      <c r="A2970" s="40">
        <v>44698</v>
      </c>
      <c r="B2970" s="38">
        <v>-43.45</v>
      </c>
      <c r="C2970" s="13" t="s">
        <v>2617</v>
      </c>
      <c r="D2970" s="36">
        <v>3383.42</v>
      </c>
      <c r="E2970" s="43" t="s">
        <v>3596</v>
      </c>
    </row>
    <row r="2971" spans="1:5" x14ac:dyDescent="0.35">
      <c r="A2971" s="40">
        <v>44698</v>
      </c>
      <c r="B2971" s="38">
        <v>-50.65</v>
      </c>
      <c r="C2971" s="13" t="s">
        <v>2617</v>
      </c>
      <c r="D2971" s="36">
        <v>3426.87</v>
      </c>
      <c r="E2971" s="43" t="s">
        <v>3596</v>
      </c>
    </row>
    <row r="2972" spans="1:5" x14ac:dyDescent="0.35">
      <c r="A2972" s="40">
        <v>44698</v>
      </c>
      <c r="B2972" s="38">
        <v>-55</v>
      </c>
      <c r="C2972" s="13" t="s">
        <v>2616</v>
      </c>
      <c r="D2972" s="36">
        <v>3309.52</v>
      </c>
      <c r="E2972" s="43" t="s">
        <v>3596</v>
      </c>
    </row>
    <row r="2973" spans="1:5" x14ac:dyDescent="0.35">
      <c r="A2973" s="40">
        <v>44697</v>
      </c>
      <c r="B2973" s="38">
        <v>-5.3</v>
      </c>
      <c r="C2973" s="13" t="s">
        <v>2503</v>
      </c>
      <c r="D2973" s="36">
        <v>3611.65</v>
      </c>
      <c r="E2973" s="43" t="s">
        <v>3596</v>
      </c>
    </row>
    <row r="2974" spans="1:5" x14ac:dyDescent="0.35">
      <c r="A2974" s="40">
        <v>44696</v>
      </c>
      <c r="B2974" s="38">
        <v>-50</v>
      </c>
      <c r="C2974" s="13" t="s">
        <v>2615</v>
      </c>
      <c r="D2974" s="36">
        <v>3621.95</v>
      </c>
      <c r="E2974" s="43" t="s">
        <v>3596</v>
      </c>
    </row>
    <row r="2975" spans="1:5" x14ac:dyDescent="0.35">
      <c r="A2975" s="40">
        <v>44696</v>
      </c>
      <c r="B2975" s="38">
        <v>-5</v>
      </c>
      <c r="C2975" s="13" t="s">
        <v>24</v>
      </c>
      <c r="D2975" s="36">
        <v>3616.95</v>
      </c>
      <c r="E2975" s="43" t="s">
        <v>3596</v>
      </c>
    </row>
    <row r="2976" spans="1:5" x14ac:dyDescent="0.35">
      <c r="A2976" s="40">
        <v>44695</v>
      </c>
      <c r="B2976" s="38">
        <v>-150</v>
      </c>
      <c r="C2976" s="13" t="s">
        <v>2612</v>
      </c>
      <c r="D2976" s="36">
        <v>3676.95</v>
      </c>
      <c r="E2976" s="43" t="s">
        <v>3596</v>
      </c>
    </row>
    <row r="2977" spans="1:5" x14ac:dyDescent="0.35">
      <c r="A2977" s="40">
        <v>44695</v>
      </c>
      <c r="B2977" s="38">
        <v>-5</v>
      </c>
      <c r="C2977" s="13" t="s">
        <v>2611</v>
      </c>
      <c r="D2977" s="36">
        <v>3671.95</v>
      </c>
      <c r="E2977" s="43" t="s">
        <v>3596</v>
      </c>
    </row>
    <row r="2978" spans="1:5" x14ac:dyDescent="0.35">
      <c r="A2978" s="40">
        <v>44695</v>
      </c>
      <c r="B2978" s="38">
        <v>-13.9</v>
      </c>
      <c r="C2978" s="13" t="s">
        <v>2614</v>
      </c>
      <c r="D2978" s="36">
        <v>3853.2</v>
      </c>
      <c r="E2978" s="43" t="s">
        <v>3596</v>
      </c>
    </row>
    <row r="2979" spans="1:5" x14ac:dyDescent="0.35">
      <c r="A2979" s="40">
        <v>44695</v>
      </c>
      <c r="B2979" s="38">
        <v>-26.25</v>
      </c>
      <c r="C2979" s="13" t="s">
        <v>2613</v>
      </c>
      <c r="D2979" s="36">
        <v>3826.95</v>
      </c>
      <c r="E2979" s="43" t="s">
        <v>3596</v>
      </c>
    </row>
    <row r="2980" spans="1:5" x14ac:dyDescent="0.35">
      <c r="A2980" s="40">
        <v>44694</v>
      </c>
      <c r="B2980" s="38">
        <v>40</v>
      </c>
      <c r="C2980" s="13" t="s">
        <v>2610</v>
      </c>
      <c r="D2980" s="36">
        <v>3867.1</v>
      </c>
      <c r="E2980" s="43" t="s">
        <v>3596</v>
      </c>
    </row>
    <row r="2981" spans="1:5" x14ac:dyDescent="0.35">
      <c r="A2981" s="40">
        <v>44693</v>
      </c>
      <c r="B2981" s="38">
        <v>-760</v>
      </c>
      <c r="C2981" s="13" t="s">
        <v>1395</v>
      </c>
      <c r="D2981" s="36">
        <v>3837.17</v>
      </c>
      <c r="E2981" s="43" t="s">
        <v>3596</v>
      </c>
    </row>
    <row r="2982" spans="1:5" x14ac:dyDescent="0.35">
      <c r="A2982" s="40">
        <v>44693</v>
      </c>
      <c r="B2982" s="38">
        <v>2468.7199999999998</v>
      </c>
      <c r="C2982" s="13" t="s">
        <v>2609</v>
      </c>
      <c r="D2982" s="36">
        <v>4597.17</v>
      </c>
      <c r="E2982" s="43" t="s">
        <v>3596</v>
      </c>
    </row>
    <row r="2983" spans="1:5" x14ac:dyDescent="0.35">
      <c r="A2983" s="40">
        <v>44693</v>
      </c>
      <c r="B2983" s="38">
        <v>-2.0699999999999998</v>
      </c>
      <c r="C2983" s="13" t="s">
        <v>2607</v>
      </c>
      <c r="D2983" s="36">
        <v>3827.1</v>
      </c>
      <c r="E2983" s="43" t="s">
        <v>3596</v>
      </c>
    </row>
    <row r="2984" spans="1:5" x14ac:dyDescent="0.35">
      <c r="A2984" s="40">
        <v>44693</v>
      </c>
      <c r="B2984" s="38">
        <v>-8</v>
      </c>
      <c r="C2984" s="13" t="s">
        <v>2608</v>
      </c>
      <c r="D2984" s="36">
        <v>3829.17</v>
      </c>
      <c r="E2984" s="43" t="s">
        <v>3596</v>
      </c>
    </row>
    <row r="2985" spans="1:5" x14ac:dyDescent="0.35">
      <c r="A2985" s="40">
        <v>44692</v>
      </c>
      <c r="B2985" s="38">
        <v>-7.45</v>
      </c>
      <c r="C2985" s="13" t="s">
        <v>2606</v>
      </c>
      <c r="D2985" s="36">
        <v>2128.4499999999998</v>
      </c>
      <c r="E2985" s="43" t="s">
        <v>3596</v>
      </c>
    </row>
    <row r="2986" spans="1:5" x14ac:dyDescent="0.35">
      <c r="A2986" s="40">
        <v>44691</v>
      </c>
      <c r="B2986" s="38">
        <v>-110</v>
      </c>
      <c r="C2986" s="13" t="s">
        <v>2604</v>
      </c>
      <c r="D2986" s="36">
        <v>2135.9</v>
      </c>
      <c r="E2986" s="43" t="s">
        <v>3596</v>
      </c>
    </row>
    <row r="2987" spans="1:5" x14ac:dyDescent="0.35">
      <c r="A2987" s="40">
        <v>44691</v>
      </c>
      <c r="B2987" s="38">
        <v>-17.27</v>
      </c>
      <c r="C2987" s="13" t="s">
        <v>2605</v>
      </c>
      <c r="D2987" s="36">
        <v>2267.0100000000002</v>
      </c>
      <c r="E2987" s="43" t="s">
        <v>3596</v>
      </c>
    </row>
    <row r="2988" spans="1:5" x14ac:dyDescent="0.35">
      <c r="A2988" s="40">
        <v>44691</v>
      </c>
      <c r="B2988" s="38">
        <v>-21.11</v>
      </c>
      <c r="C2988" s="13" t="s">
        <v>2275</v>
      </c>
      <c r="D2988" s="36">
        <v>2245.9</v>
      </c>
      <c r="E2988" s="43" t="s">
        <v>3596</v>
      </c>
    </row>
    <row r="2989" spans="1:5" x14ac:dyDescent="0.35">
      <c r="A2989" s="40">
        <v>44690</v>
      </c>
      <c r="B2989" s="38">
        <v>9.5</v>
      </c>
      <c r="C2989" s="13" t="s">
        <v>2515</v>
      </c>
      <c r="D2989" s="36">
        <v>2284.2800000000002</v>
      </c>
      <c r="E2989" s="43" t="s">
        <v>3596</v>
      </c>
    </row>
    <row r="2990" spans="1:5" x14ac:dyDescent="0.35">
      <c r="A2990" s="40">
        <v>44690</v>
      </c>
      <c r="B2990" s="38">
        <v>-10</v>
      </c>
      <c r="C2990" s="13" t="s">
        <v>2503</v>
      </c>
      <c r="D2990" s="36">
        <v>2274.7800000000002</v>
      </c>
      <c r="E2990" s="43" t="s">
        <v>3596</v>
      </c>
    </row>
    <row r="2991" spans="1:5" x14ac:dyDescent="0.35">
      <c r="A2991" s="40">
        <v>44689</v>
      </c>
      <c r="B2991" s="38">
        <v>-50</v>
      </c>
      <c r="C2991" s="13" t="s">
        <v>2603</v>
      </c>
      <c r="D2991" s="36">
        <v>2284.7800000000002</v>
      </c>
      <c r="E2991" s="43" t="s">
        <v>3596</v>
      </c>
    </row>
    <row r="2992" spans="1:5" x14ac:dyDescent="0.35">
      <c r="A2992" s="40">
        <v>44688</v>
      </c>
      <c r="B2992" s="38">
        <v>-4.46</v>
      </c>
      <c r="C2992" s="13" t="s">
        <v>2602</v>
      </c>
      <c r="D2992" s="36">
        <v>2334.7800000000002</v>
      </c>
      <c r="E2992" s="43" t="s">
        <v>3596</v>
      </c>
    </row>
    <row r="2993" spans="1:5" x14ac:dyDescent="0.35">
      <c r="A2993" s="40">
        <v>44687</v>
      </c>
      <c r="B2993" s="38">
        <v>-103.79</v>
      </c>
      <c r="C2993" s="13" t="s">
        <v>2601</v>
      </c>
      <c r="D2993" s="36">
        <v>2351.7399999999998</v>
      </c>
      <c r="E2993" s="43" t="s">
        <v>3596</v>
      </c>
    </row>
    <row r="2994" spans="1:5" x14ac:dyDescent="0.35">
      <c r="A2994" s="40">
        <v>44687</v>
      </c>
      <c r="B2994" s="38">
        <v>-12.5</v>
      </c>
      <c r="C2994" s="13" t="s">
        <v>2600</v>
      </c>
      <c r="D2994" s="36">
        <v>2339.2399999999998</v>
      </c>
      <c r="E2994" s="43" t="s">
        <v>3596</v>
      </c>
    </row>
    <row r="2995" spans="1:5" x14ac:dyDescent="0.35">
      <c r="A2995" s="40">
        <v>44686</v>
      </c>
      <c r="B2995" s="38">
        <v>-18.79</v>
      </c>
      <c r="C2995" s="13" t="s">
        <v>2599</v>
      </c>
      <c r="D2995" s="36">
        <v>2455.5300000000002</v>
      </c>
      <c r="E2995" s="43" t="s">
        <v>3596</v>
      </c>
    </row>
    <row r="2996" spans="1:5" x14ac:dyDescent="0.35">
      <c r="A2996" s="40">
        <v>44685</v>
      </c>
      <c r="B2996" s="38">
        <v>-90</v>
      </c>
      <c r="C2996" s="13" t="s">
        <v>2598</v>
      </c>
      <c r="D2996" s="36">
        <v>2474.3200000000002</v>
      </c>
      <c r="E2996" s="43" t="s">
        <v>3596</v>
      </c>
    </row>
    <row r="2997" spans="1:5" x14ac:dyDescent="0.35">
      <c r="A2997" s="40">
        <v>44684</v>
      </c>
      <c r="B2997" s="38">
        <v>15</v>
      </c>
      <c r="C2997" s="13" t="s">
        <v>2597</v>
      </c>
      <c r="D2997" s="36">
        <v>2564.3200000000002</v>
      </c>
      <c r="E2997" s="43" t="s">
        <v>3596</v>
      </c>
    </row>
    <row r="2998" spans="1:5" x14ac:dyDescent="0.35">
      <c r="A2998" s="40">
        <v>44683</v>
      </c>
      <c r="B2998" s="38">
        <v>-22.15</v>
      </c>
      <c r="C2998" s="13" t="s">
        <v>1584</v>
      </c>
      <c r="D2998" s="36">
        <v>2729.87</v>
      </c>
      <c r="E2998" s="43" t="s">
        <v>3596</v>
      </c>
    </row>
    <row r="2999" spans="1:5" x14ac:dyDescent="0.35">
      <c r="A2999" s="40">
        <v>44683</v>
      </c>
      <c r="B2999" s="38">
        <v>-180.55</v>
      </c>
      <c r="C2999" s="13" t="s">
        <v>2596</v>
      </c>
      <c r="D2999" s="36">
        <v>2549.3200000000002</v>
      </c>
      <c r="E2999" s="43" t="s">
        <v>3596</v>
      </c>
    </row>
    <row r="3000" spans="1:5" x14ac:dyDescent="0.35">
      <c r="A3000" s="40">
        <v>44680</v>
      </c>
      <c r="B3000" s="38">
        <v>-70.209999999999994</v>
      </c>
      <c r="C3000" s="13" t="s">
        <v>2594</v>
      </c>
      <c r="D3000" s="36">
        <v>2752.02</v>
      </c>
      <c r="E3000" s="43" t="s">
        <v>3596</v>
      </c>
    </row>
    <row r="3001" spans="1:5" x14ac:dyDescent="0.35">
      <c r="A3001" s="40">
        <v>44680</v>
      </c>
      <c r="B3001" s="38">
        <v>-7.5</v>
      </c>
      <c r="C3001" s="13" t="s">
        <v>2595</v>
      </c>
      <c r="D3001" s="36">
        <v>2822.23</v>
      </c>
      <c r="E3001" s="43" t="s">
        <v>3596</v>
      </c>
    </row>
    <row r="3002" spans="1:5" x14ac:dyDescent="0.35">
      <c r="A3002" s="40">
        <v>44679</v>
      </c>
      <c r="B3002" s="38">
        <v>-760</v>
      </c>
      <c r="C3002" s="13" t="s">
        <v>1395</v>
      </c>
      <c r="D3002" s="36">
        <v>2849.73</v>
      </c>
      <c r="E3002" s="43" t="s">
        <v>3596</v>
      </c>
    </row>
    <row r="3003" spans="1:5" x14ac:dyDescent="0.35">
      <c r="A3003" s="40">
        <v>44679</v>
      </c>
      <c r="B3003" s="38">
        <v>2248.56</v>
      </c>
      <c r="C3003" s="13" t="s">
        <v>2593</v>
      </c>
      <c r="D3003" s="36">
        <v>3609.73</v>
      </c>
      <c r="E3003" s="43" t="s">
        <v>3596</v>
      </c>
    </row>
    <row r="3004" spans="1:5" x14ac:dyDescent="0.35">
      <c r="A3004" s="40">
        <v>44679</v>
      </c>
      <c r="B3004" s="38">
        <v>-20</v>
      </c>
      <c r="C3004" s="13" t="s">
        <v>2592</v>
      </c>
      <c r="D3004" s="36">
        <v>2829.73</v>
      </c>
      <c r="E3004" s="43" t="s">
        <v>3596</v>
      </c>
    </row>
    <row r="3005" spans="1:5" x14ac:dyDescent="0.35">
      <c r="A3005" s="40">
        <v>44678</v>
      </c>
      <c r="B3005" s="38">
        <v>-11.71</v>
      </c>
      <c r="C3005" s="13" t="s">
        <v>2588</v>
      </c>
      <c r="D3005" s="36">
        <v>1612.61</v>
      </c>
      <c r="E3005" s="43" t="s">
        <v>3596</v>
      </c>
    </row>
    <row r="3006" spans="1:5" x14ac:dyDescent="0.35">
      <c r="A3006" s="40">
        <v>44678</v>
      </c>
      <c r="B3006" s="38">
        <v>-10</v>
      </c>
      <c r="C3006" s="13" t="s">
        <v>2588</v>
      </c>
      <c r="D3006" s="36">
        <v>1624.32</v>
      </c>
      <c r="E3006" s="43" t="s">
        <v>3596</v>
      </c>
    </row>
    <row r="3007" spans="1:5" x14ac:dyDescent="0.35">
      <c r="A3007" s="40">
        <v>44678</v>
      </c>
      <c r="B3007" s="38">
        <v>-25.85</v>
      </c>
      <c r="C3007" s="13" t="s">
        <v>2585</v>
      </c>
      <c r="D3007" s="36">
        <v>1379.77</v>
      </c>
      <c r="E3007" s="43" t="s">
        <v>3596</v>
      </c>
    </row>
    <row r="3008" spans="1:5" x14ac:dyDescent="0.35">
      <c r="A3008" s="40">
        <v>44678</v>
      </c>
      <c r="B3008" s="38">
        <v>-39.090000000000003</v>
      </c>
      <c r="C3008" s="13" t="s">
        <v>2585</v>
      </c>
      <c r="D3008" s="36">
        <v>1573.52</v>
      </c>
      <c r="E3008" s="43" t="s">
        <v>3596</v>
      </c>
    </row>
    <row r="3009" spans="1:5" x14ac:dyDescent="0.35">
      <c r="A3009" s="40">
        <v>44678</v>
      </c>
      <c r="B3009" s="38">
        <v>-11.05</v>
      </c>
      <c r="C3009" s="13" t="s">
        <v>2434</v>
      </c>
      <c r="D3009" s="36">
        <v>1361.17</v>
      </c>
      <c r="E3009" s="43" t="s">
        <v>3596</v>
      </c>
    </row>
    <row r="3010" spans="1:5" x14ac:dyDescent="0.35">
      <c r="A3010" s="40">
        <v>44678</v>
      </c>
      <c r="B3010" s="38">
        <v>-33.65</v>
      </c>
      <c r="C3010" s="13" t="s">
        <v>2591</v>
      </c>
      <c r="D3010" s="36">
        <v>1713.69</v>
      </c>
      <c r="E3010" s="43" t="s">
        <v>3596</v>
      </c>
    </row>
    <row r="3011" spans="1:5" x14ac:dyDescent="0.35">
      <c r="A3011" s="40">
        <v>44678</v>
      </c>
      <c r="B3011" s="38">
        <v>-35</v>
      </c>
      <c r="C3011" s="13" t="s">
        <v>2590</v>
      </c>
      <c r="D3011" s="36">
        <v>1678.69</v>
      </c>
      <c r="E3011" s="43" t="s">
        <v>3596</v>
      </c>
    </row>
    <row r="3012" spans="1:5" x14ac:dyDescent="0.35">
      <c r="A3012" s="40">
        <v>44678</v>
      </c>
      <c r="B3012" s="38">
        <v>-7.55</v>
      </c>
      <c r="C3012" s="13" t="s">
        <v>2584</v>
      </c>
      <c r="D3012" s="36">
        <v>1372.22</v>
      </c>
      <c r="E3012" s="43" t="s">
        <v>3596</v>
      </c>
    </row>
    <row r="3013" spans="1:5" x14ac:dyDescent="0.35">
      <c r="A3013" s="40">
        <v>44678</v>
      </c>
      <c r="B3013" s="38">
        <v>-44.37</v>
      </c>
      <c r="C3013" s="13" t="s">
        <v>2589</v>
      </c>
      <c r="D3013" s="36">
        <v>1634.32</v>
      </c>
      <c r="E3013" s="43" t="s">
        <v>3596</v>
      </c>
    </row>
    <row r="3014" spans="1:5" x14ac:dyDescent="0.35">
      <c r="A3014" s="40">
        <v>44678</v>
      </c>
      <c r="B3014" s="38">
        <v>-26.9</v>
      </c>
      <c r="C3014" s="13" t="s">
        <v>2586</v>
      </c>
      <c r="D3014" s="36">
        <v>1405.62</v>
      </c>
      <c r="E3014" s="43" t="s">
        <v>3596</v>
      </c>
    </row>
    <row r="3015" spans="1:5" x14ac:dyDescent="0.35">
      <c r="A3015" s="40">
        <v>44678</v>
      </c>
      <c r="B3015" s="38">
        <v>-33</v>
      </c>
      <c r="C3015" s="13" t="s">
        <v>2587</v>
      </c>
      <c r="D3015" s="36">
        <v>1432.52</v>
      </c>
      <c r="E3015" s="43" t="s">
        <v>3596</v>
      </c>
    </row>
    <row r="3016" spans="1:5" x14ac:dyDescent="0.35">
      <c r="A3016" s="40">
        <v>44678</v>
      </c>
      <c r="B3016" s="38">
        <v>-24</v>
      </c>
      <c r="C3016" s="13" t="s">
        <v>2587</v>
      </c>
      <c r="D3016" s="36">
        <v>1465.52</v>
      </c>
      <c r="E3016" s="43" t="s">
        <v>3596</v>
      </c>
    </row>
    <row r="3017" spans="1:5" x14ac:dyDescent="0.35">
      <c r="A3017" s="40">
        <v>44678</v>
      </c>
      <c r="B3017" s="38">
        <v>-34</v>
      </c>
      <c r="C3017" s="13" t="s">
        <v>2587</v>
      </c>
      <c r="D3017" s="36">
        <v>1489.52</v>
      </c>
      <c r="E3017" s="43" t="s">
        <v>3596</v>
      </c>
    </row>
    <row r="3018" spans="1:5" x14ac:dyDescent="0.35">
      <c r="A3018" s="40">
        <v>44678</v>
      </c>
      <c r="B3018" s="38">
        <v>-28</v>
      </c>
      <c r="C3018" s="13" t="s">
        <v>2587</v>
      </c>
      <c r="D3018" s="36">
        <v>1523.52</v>
      </c>
      <c r="E3018" s="43" t="s">
        <v>3596</v>
      </c>
    </row>
    <row r="3019" spans="1:5" x14ac:dyDescent="0.35">
      <c r="A3019" s="40">
        <v>44678</v>
      </c>
      <c r="B3019" s="38">
        <v>-22</v>
      </c>
      <c r="C3019" s="13" t="s">
        <v>2587</v>
      </c>
      <c r="D3019" s="36">
        <v>1551.52</v>
      </c>
      <c r="E3019" s="43" t="s">
        <v>3596</v>
      </c>
    </row>
    <row r="3020" spans="1:5" x14ac:dyDescent="0.35">
      <c r="A3020" s="40">
        <v>44676</v>
      </c>
      <c r="B3020" s="38">
        <v>-72.17</v>
      </c>
      <c r="C3020" s="13" t="s">
        <v>2583</v>
      </c>
      <c r="D3020" s="36">
        <v>1747.34</v>
      </c>
      <c r="E3020" s="43" t="s">
        <v>3596</v>
      </c>
    </row>
    <row r="3021" spans="1:5" x14ac:dyDescent="0.35">
      <c r="A3021" s="40">
        <v>44674</v>
      </c>
      <c r="B3021" s="38">
        <v>-13.65</v>
      </c>
      <c r="C3021" s="13" t="s">
        <v>2582</v>
      </c>
      <c r="D3021" s="36">
        <v>1825.41</v>
      </c>
      <c r="E3021" s="43" t="s">
        <v>3596</v>
      </c>
    </row>
    <row r="3022" spans="1:5" x14ac:dyDescent="0.35">
      <c r="A3022" s="40">
        <v>44674</v>
      </c>
      <c r="B3022" s="38">
        <v>-5.9</v>
      </c>
      <c r="C3022" s="13" t="s">
        <v>2581</v>
      </c>
      <c r="D3022" s="36">
        <v>1819.51</v>
      </c>
      <c r="E3022" s="43" t="s">
        <v>3596</v>
      </c>
    </row>
    <row r="3023" spans="1:5" x14ac:dyDescent="0.35">
      <c r="A3023" s="40">
        <v>44673</v>
      </c>
      <c r="B3023" s="38">
        <v>-72.45</v>
      </c>
      <c r="C3023" s="13" t="s">
        <v>2577</v>
      </c>
      <c r="D3023" s="36">
        <v>1839.06</v>
      </c>
      <c r="E3023" s="43" t="s">
        <v>3596</v>
      </c>
    </row>
    <row r="3024" spans="1:5" x14ac:dyDescent="0.35">
      <c r="A3024" s="40">
        <v>44673</v>
      </c>
      <c r="B3024" s="38">
        <v>-69</v>
      </c>
      <c r="C3024" s="13" t="s">
        <v>2578</v>
      </c>
      <c r="D3024" s="36">
        <v>1911.51</v>
      </c>
      <c r="E3024" s="43" t="s">
        <v>3596</v>
      </c>
    </row>
    <row r="3025" spans="1:5" x14ac:dyDescent="0.35">
      <c r="A3025" s="40">
        <v>44673</v>
      </c>
      <c r="B3025" s="38">
        <v>-12.7</v>
      </c>
      <c r="C3025" s="13" t="s">
        <v>2580</v>
      </c>
      <c r="D3025" s="36">
        <v>2090.87</v>
      </c>
      <c r="E3025" s="43" t="s">
        <v>3596</v>
      </c>
    </row>
    <row r="3026" spans="1:5" x14ac:dyDescent="0.35">
      <c r="A3026" s="40">
        <v>44673</v>
      </c>
      <c r="B3026" s="38">
        <v>-57.12</v>
      </c>
      <c r="C3026" s="13" t="s">
        <v>2579</v>
      </c>
      <c r="D3026" s="36">
        <v>1980.51</v>
      </c>
      <c r="E3026" s="43" t="s">
        <v>3596</v>
      </c>
    </row>
    <row r="3027" spans="1:5" x14ac:dyDescent="0.35">
      <c r="A3027" s="40">
        <v>44673</v>
      </c>
      <c r="B3027" s="38">
        <v>-53.24</v>
      </c>
      <c r="C3027" s="13" t="s">
        <v>2579</v>
      </c>
      <c r="D3027" s="36">
        <v>2037.63</v>
      </c>
      <c r="E3027" s="43" t="s">
        <v>3596</v>
      </c>
    </row>
    <row r="3028" spans="1:5" x14ac:dyDescent="0.35">
      <c r="A3028" s="40">
        <v>44672</v>
      </c>
      <c r="B3028" s="38">
        <v>-86.59</v>
      </c>
      <c r="C3028" s="13" t="s">
        <v>2575</v>
      </c>
      <c r="D3028" s="36">
        <v>2129.15</v>
      </c>
      <c r="E3028" s="43" t="s">
        <v>3596</v>
      </c>
    </row>
    <row r="3029" spans="1:5" x14ac:dyDescent="0.35">
      <c r="A3029" s="40">
        <v>44672</v>
      </c>
      <c r="B3029" s="38">
        <v>-3.3</v>
      </c>
      <c r="C3029" s="13" t="s">
        <v>2576</v>
      </c>
      <c r="D3029" s="36">
        <v>2215.7399999999998</v>
      </c>
      <c r="E3029" s="43" t="s">
        <v>3596</v>
      </c>
    </row>
    <row r="3030" spans="1:5" x14ac:dyDescent="0.35">
      <c r="A3030" s="40">
        <v>44672</v>
      </c>
      <c r="B3030" s="38">
        <v>-13</v>
      </c>
      <c r="C3030" s="13" t="s">
        <v>1584</v>
      </c>
      <c r="D3030" s="36">
        <v>2103.5700000000002</v>
      </c>
      <c r="E3030" s="43" t="s">
        <v>3596</v>
      </c>
    </row>
    <row r="3031" spans="1:5" x14ac:dyDescent="0.35">
      <c r="A3031" s="40">
        <v>44672</v>
      </c>
      <c r="B3031" s="38">
        <v>-2.6</v>
      </c>
      <c r="C3031" s="13" t="s">
        <v>2574</v>
      </c>
      <c r="D3031" s="36">
        <v>2126.5500000000002</v>
      </c>
      <c r="E3031" s="43" t="s">
        <v>3596</v>
      </c>
    </row>
    <row r="3032" spans="1:5" x14ac:dyDescent="0.35">
      <c r="A3032" s="40">
        <v>44672</v>
      </c>
      <c r="B3032" s="38">
        <v>-9.98</v>
      </c>
      <c r="C3032" s="13" t="s">
        <v>2360</v>
      </c>
      <c r="D3032" s="36">
        <v>2116.5700000000002</v>
      </c>
      <c r="E3032" s="43" t="s">
        <v>3596</v>
      </c>
    </row>
    <row r="3033" spans="1:5" x14ac:dyDescent="0.35">
      <c r="A3033" s="40">
        <v>44671</v>
      </c>
      <c r="B3033" s="38">
        <v>-10</v>
      </c>
      <c r="C3033" s="13" t="s">
        <v>2567</v>
      </c>
      <c r="D3033" s="36">
        <v>2615.9</v>
      </c>
      <c r="E3033" s="43" t="s">
        <v>3596</v>
      </c>
    </row>
    <row r="3034" spans="1:5" x14ac:dyDescent="0.35">
      <c r="A3034" s="40">
        <v>44671</v>
      </c>
      <c r="B3034" s="38">
        <v>-38.159999999999997</v>
      </c>
      <c r="C3034" s="13" t="s">
        <v>2568</v>
      </c>
      <c r="D3034" s="36">
        <v>2625.9</v>
      </c>
      <c r="E3034" s="43" t="s">
        <v>3596</v>
      </c>
    </row>
    <row r="3035" spans="1:5" x14ac:dyDescent="0.35">
      <c r="A3035" s="40">
        <v>44671</v>
      </c>
      <c r="B3035" s="38">
        <v>-56.6</v>
      </c>
      <c r="C3035" s="13" t="s">
        <v>2570</v>
      </c>
      <c r="D3035" s="36">
        <v>2774.95</v>
      </c>
      <c r="E3035" s="43" t="s">
        <v>3596</v>
      </c>
    </row>
    <row r="3036" spans="1:5" x14ac:dyDescent="0.35">
      <c r="A3036" s="40">
        <v>44671</v>
      </c>
      <c r="B3036" s="38">
        <v>-13.09</v>
      </c>
      <c r="C3036" s="13" t="s">
        <v>2487</v>
      </c>
      <c r="D3036" s="36">
        <v>2219.04</v>
      </c>
      <c r="E3036" s="43" t="s">
        <v>3596</v>
      </c>
    </row>
    <row r="3037" spans="1:5" x14ac:dyDescent="0.35">
      <c r="A3037" s="40">
        <v>44671</v>
      </c>
      <c r="B3037" s="38">
        <v>-17.899999999999999</v>
      </c>
      <c r="C3037" s="13" t="s">
        <v>2571</v>
      </c>
      <c r="D3037" s="36">
        <v>2831.55</v>
      </c>
      <c r="E3037" s="43" t="s">
        <v>3596</v>
      </c>
    </row>
    <row r="3038" spans="1:5" x14ac:dyDescent="0.35">
      <c r="A3038" s="40">
        <v>44671</v>
      </c>
      <c r="B3038" s="38">
        <v>-227.7</v>
      </c>
      <c r="C3038" s="13" t="s">
        <v>2566</v>
      </c>
      <c r="D3038" s="36">
        <v>2388.1999999999998</v>
      </c>
      <c r="E3038" s="43" t="s">
        <v>3596</v>
      </c>
    </row>
    <row r="3039" spans="1:5" x14ac:dyDescent="0.35">
      <c r="A3039" s="40">
        <v>44671</v>
      </c>
      <c r="B3039" s="38">
        <v>-5.99</v>
      </c>
      <c r="C3039" s="13" t="s">
        <v>2573</v>
      </c>
      <c r="D3039" s="36">
        <v>2852.95</v>
      </c>
      <c r="E3039" s="43" t="s">
        <v>3596</v>
      </c>
    </row>
    <row r="3040" spans="1:5" x14ac:dyDescent="0.35">
      <c r="A3040" s="40">
        <v>44671</v>
      </c>
      <c r="B3040" s="38">
        <v>-110.89</v>
      </c>
      <c r="C3040" s="13" t="s">
        <v>2569</v>
      </c>
      <c r="D3040" s="36">
        <v>2664.06</v>
      </c>
      <c r="E3040" s="43" t="s">
        <v>3596</v>
      </c>
    </row>
    <row r="3041" spans="1:5" x14ac:dyDescent="0.35">
      <c r="A3041" s="40">
        <v>44671</v>
      </c>
      <c r="B3041" s="38">
        <v>-37.07</v>
      </c>
      <c r="C3041" s="13" t="s">
        <v>2564</v>
      </c>
      <c r="D3041" s="36">
        <v>2232.13</v>
      </c>
      <c r="E3041" s="43" t="s">
        <v>3596</v>
      </c>
    </row>
    <row r="3042" spans="1:5" x14ac:dyDescent="0.35">
      <c r="A3042" s="40">
        <v>44671</v>
      </c>
      <c r="B3042" s="38">
        <v>-3.5</v>
      </c>
      <c r="C3042" s="13" t="s">
        <v>2572</v>
      </c>
      <c r="D3042" s="36">
        <v>2849.45</v>
      </c>
      <c r="E3042" s="43" t="s">
        <v>3596</v>
      </c>
    </row>
    <row r="3043" spans="1:5" x14ac:dyDescent="0.35">
      <c r="A3043" s="40">
        <v>44671</v>
      </c>
      <c r="B3043" s="38">
        <v>-119</v>
      </c>
      <c r="C3043" s="13" t="s">
        <v>2565</v>
      </c>
      <c r="D3043" s="36">
        <v>2269.1999999999998</v>
      </c>
      <c r="E3043" s="43" t="s">
        <v>3596</v>
      </c>
    </row>
    <row r="3044" spans="1:5" x14ac:dyDescent="0.35">
      <c r="A3044" s="40">
        <v>44670</v>
      </c>
      <c r="B3044" s="38">
        <v>-8.1</v>
      </c>
      <c r="C3044" s="13" t="s">
        <v>2503</v>
      </c>
      <c r="D3044" s="36">
        <v>2913.94</v>
      </c>
      <c r="E3044" s="43" t="s">
        <v>3596</v>
      </c>
    </row>
    <row r="3045" spans="1:5" x14ac:dyDescent="0.35">
      <c r="A3045" s="40">
        <v>44670</v>
      </c>
      <c r="B3045" s="38">
        <v>-55</v>
      </c>
      <c r="C3045" s="13" t="s">
        <v>2563</v>
      </c>
      <c r="D3045" s="36">
        <v>2858.94</v>
      </c>
      <c r="E3045" s="43" t="s">
        <v>3596</v>
      </c>
    </row>
    <row r="3046" spans="1:5" x14ac:dyDescent="0.35">
      <c r="A3046" s="40">
        <v>44669</v>
      </c>
      <c r="B3046" s="38">
        <v>80</v>
      </c>
      <c r="C3046" s="13" t="s">
        <v>2561</v>
      </c>
      <c r="D3046" s="36">
        <v>2922.04</v>
      </c>
      <c r="E3046" s="43" t="s">
        <v>3596</v>
      </c>
    </row>
    <row r="3047" spans="1:5" x14ac:dyDescent="0.35">
      <c r="A3047" s="40">
        <v>44669</v>
      </c>
      <c r="B3047" s="38">
        <v>-35.6</v>
      </c>
      <c r="C3047" s="13" t="s">
        <v>2550</v>
      </c>
      <c r="D3047" s="36">
        <v>2932.04</v>
      </c>
      <c r="E3047" s="43" t="s">
        <v>3596</v>
      </c>
    </row>
    <row r="3048" spans="1:5" x14ac:dyDescent="0.35">
      <c r="A3048" s="40">
        <v>44669</v>
      </c>
      <c r="B3048" s="38">
        <v>-90</v>
      </c>
      <c r="C3048" s="13" t="s">
        <v>2562</v>
      </c>
      <c r="D3048" s="36">
        <v>2842.04</v>
      </c>
      <c r="E3048" s="43" t="s">
        <v>3596</v>
      </c>
    </row>
    <row r="3049" spans="1:5" x14ac:dyDescent="0.35">
      <c r="A3049" s="40">
        <v>44669</v>
      </c>
      <c r="B3049" s="38">
        <v>-80</v>
      </c>
      <c r="C3049" s="13" t="s">
        <v>3603</v>
      </c>
      <c r="D3049" s="36">
        <v>2.0299999999999998</v>
      </c>
      <c r="E3049" s="43" t="s">
        <v>3604</v>
      </c>
    </row>
    <row r="3050" spans="1:5" x14ac:dyDescent="0.35">
      <c r="A3050" s="40">
        <v>44668</v>
      </c>
      <c r="B3050" s="38">
        <v>616.4</v>
      </c>
      <c r="C3050" s="13" t="s">
        <v>2559</v>
      </c>
      <c r="D3050" s="36">
        <v>3056.54</v>
      </c>
      <c r="E3050" s="43" t="s">
        <v>3596</v>
      </c>
    </row>
    <row r="3051" spans="1:5" x14ac:dyDescent="0.35">
      <c r="A3051" s="40">
        <v>44668</v>
      </c>
      <c r="B3051" s="38">
        <v>-10.35</v>
      </c>
      <c r="C3051" s="13" t="s">
        <v>2560</v>
      </c>
      <c r="D3051" s="36">
        <v>2440.14</v>
      </c>
      <c r="E3051" s="43" t="s">
        <v>3596</v>
      </c>
    </row>
    <row r="3052" spans="1:5" x14ac:dyDescent="0.35">
      <c r="A3052" s="40">
        <v>44668</v>
      </c>
      <c r="B3052" s="38">
        <v>-88.9</v>
      </c>
      <c r="C3052" s="13" t="s">
        <v>2558</v>
      </c>
      <c r="D3052" s="36">
        <v>2967.64</v>
      </c>
      <c r="E3052" s="43" t="s">
        <v>3596</v>
      </c>
    </row>
    <row r="3053" spans="1:5" x14ac:dyDescent="0.35">
      <c r="A3053" s="40">
        <v>44667</v>
      </c>
      <c r="B3053" s="38">
        <v>32</v>
      </c>
      <c r="C3053" s="13" t="s">
        <v>2556</v>
      </c>
      <c r="D3053" s="36">
        <v>2493.12</v>
      </c>
      <c r="E3053" s="43" t="s">
        <v>3596</v>
      </c>
    </row>
    <row r="3054" spans="1:5" x14ac:dyDescent="0.35">
      <c r="A3054" s="40">
        <v>44667</v>
      </c>
      <c r="B3054" s="38">
        <v>40.5</v>
      </c>
      <c r="C3054" s="13" t="s">
        <v>2557</v>
      </c>
      <c r="D3054" s="36">
        <v>2461.12</v>
      </c>
      <c r="E3054" s="43" t="s">
        <v>3596</v>
      </c>
    </row>
    <row r="3055" spans="1:5" x14ac:dyDescent="0.35">
      <c r="A3055" s="40">
        <v>44667</v>
      </c>
      <c r="B3055" s="38">
        <v>25</v>
      </c>
      <c r="C3055" s="13" t="s">
        <v>2553</v>
      </c>
      <c r="D3055" s="36">
        <v>2450.4899999999998</v>
      </c>
      <c r="E3055" s="43" t="s">
        <v>3596</v>
      </c>
    </row>
    <row r="3056" spans="1:5" x14ac:dyDescent="0.35">
      <c r="A3056" s="40">
        <v>44667</v>
      </c>
      <c r="B3056" s="38">
        <v>-17.079999999999998</v>
      </c>
      <c r="C3056" s="13" t="s">
        <v>2555</v>
      </c>
      <c r="D3056" s="36">
        <v>2476.04</v>
      </c>
      <c r="E3056" s="43" t="s">
        <v>3596</v>
      </c>
    </row>
    <row r="3057" spans="1:5" x14ac:dyDescent="0.35">
      <c r="A3057" s="40">
        <v>44667</v>
      </c>
      <c r="B3057" s="38">
        <v>-50.55</v>
      </c>
      <c r="C3057" s="13" t="s">
        <v>2554</v>
      </c>
      <c r="D3057" s="36">
        <v>2425.4899999999998</v>
      </c>
      <c r="E3057" s="43" t="s">
        <v>3596</v>
      </c>
    </row>
    <row r="3058" spans="1:5" x14ac:dyDescent="0.35">
      <c r="A3058" s="40">
        <v>44666</v>
      </c>
      <c r="B3058" s="38">
        <v>-34.44</v>
      </c>
      <c r="C3058" s="13" t="s">
        <v>2550</v>
      </c>
      <c r="D3058" s="36">
        <v>2537.6</v>
      </c>
      <c r="E3058" s="43" t="s">
        <v>3596</v>
      </c>
    </row>
    <row r="3059" spans="1:5" x14ac:dyDescent="0.35">
      <c r="A3059" s="40">
        <v>44666</v>
      </c>
      <c r="B3059" s="38">
        <v>-91</v>
      </c>
      <c r="C3059" s="13" t="s">
        <v>2547</v>
      </c>
      <c r="D3059" s="36">
        <v>2420.62</v>
      </c>
      <c r="E3059" s="43" t="s">
        <v>3596</v>
      </c>
    </row>
    <row r="3060" spans="1:5" x14ac:dyDescent="0.35">
      <c r="A3060" s="40">
        <v>44666</v>
      </c>
      <c r="B3060" s="38">
        <v>-10.98</v>
      </c>
      <c r="C3060" s="13" t="s">
        <v>2548</v>
      </c>
      <c r="D3060" s="36">
        <v>2511.62</v>
      </c>
      <c r="E3060" s="43" t="s">
        <v>3596</v>
      </c>
    </row>
    <row r="3061" spans="1:5" x14ac:dyDescent="0.35">
      <c r="A3061" s="40">
        <v>44666</v>
      </c>
      <c r="B3061" s="38">
        <v>-15</v>
      </c>
      <c r="C3061" s="13" t="s">
        <v>2549</v>
      </c>
      <c r="D3061" s="36">
        <v>2522.6</v>
      </c>
      <c r="E3061" s="43" t="s">
        <v>3596</v>
      </c>
    </row>
    <row r="3062" spans="1:5" x14ac:dyDescent="0.35">
      <c r="A3062" s="40">
        <v>44666</v>
      </c>
      <c r="B3062" s="38">
        <v>-5.69</v>
      </c>
      <c r="C3062" s="13" t="s">
        <v>2552</v>
      </c>
      <c r="D3062" s="36">
        <v>3577.14</v>
      </c>
      <c r="E3062" s="43" t="s">
        <v>3596</v>
      </c>
    </row>
    <row r="3063" spans="1:5" x14ac:dyDescent="0.35">
      <c r="A3063" s="40">
        <v>44666</v>
      </c>
      <c r="B3063" s="38">
        <v>-1005.1</v>
      </c>
      <c r="C3063" s="13" t="s">
        <v>2551</v>
      </c>
      <c r="D3063" s="36">
        <v>2572.04</v>
      </c>
      <c r="E3063" s="43" t="s">
        <v>3596</v>
      </c>
    </row>
    <row r="3064" spans="1:5" x14ac:dyDescent="0.35">
      <c r="A3064" s="40">
        <v>44665</v>
      </c>
      <c r="B3064" s="38">
        <v>-760</v>
      </c>
      <c r="C3064" s="13" t="s">
        <v>1395</v>
      </c>
      <c r="D3064" s="36">
        <v>3625.51</v>
      </c>
      <c r="E3064" s="43" t="s">
        <v>3596</v>
      </c>
    </row>
    <row r="3065" spans="1:5" x14ac:dyDescent="0.35">
      <c r="A3065" s="40">
        <v>44665</v>
      </c>
      <c r="B3065" s="38">
        <v>2259.67</v>
      </c>
      <c r="C3065" s="13" t="s">
        <v>2546</v>
      </c>
      <c r="D3065" s="36">
        <v>4385.51</v>
      </c>
      <c r="E3065" s="43" t="s">
        <v>3596</v>
      </c>
    </row>
    <row r="3066" spans="1:5" x14ac:dyDescent="0.35">
      <c r="A3066" s="40">
        <v>44665</v>
      </c>
      <c r="B3066" s="38">
        <v>-42.68</v>
      </c>
      <c r="C3066" s="13" t="s">
        <v>2545</v>
      </c>
      <c r="D3066" s="36">
        <v>3582.83</v>
      </c>
      <c r="E3066" s="43" t="s">
        <v>3596</v>
      </c>
    </row>
    <row r="3067" spans="1:5" x14ac:dyDescent="0.35">
      <c r="A3067" s="40">
        <v>44664</v>
      </c>
      <c r="B3067" s="38">
        <v>-8.15</v>
      </c>
      <c r="C3067" s="13" t="s">
        <v>2544</v>
      </c>
      <c r="D3067" s="36">
        <v>2163.6</v>
      </c>
      <c r="E3067" s="43" t="s">
        <v>3596</v>
      </c>
    </row>
    <row r="3068" spans="1:5" x14ac:dyDescent="0.35">
      <c r="A3068" s="40">
        <v>44664</v>
      </c>
      <c r="B3068" s="38">
        <v>-37.76</v>
      </c>
      <c r="C3068" s="13" t="s">
        <v>2543</v>
      </c>
      <c r="D3068" s="36">
        <v>2125.84</v>
      </c>
      <c r="E3068" s="43" t="s">
        <v>3596</v>
      </c>
    </row>
    <row r="3069" spans="1:5" x14ac:dyDescent="0.35">
      <c r="A3069" s="40">
        <v>44663</v>
      </c>
      <c r="B3069" s="38">
        <v>-34.619999999999997</v>
      </c>
      <c r="C3069" s="13" t="s">
        <v>2541</v>
      </c>
      <c r="D3069" s="36">
        <v>2171.75</v>
      </c>
      <c r="E3069" s="43" t="s">
        <v>3596</v>
      </c>
    </row>
    <row r="3070" spans="1:5" x14ac:dyDescent="0.35">
      <c r="A3070" s="40">
        <v>44663</v>
      </c>
      <c r="B3070" s="38">
        <v>-8</v>
      </c>
      <c r="C3070" s="13" t="s">
        <v>2542</v>
      </c>
      <c r="D3070" s="36">
        <v>2206.37</v>
      </c>
      <c r="E3070" s="43" t="s">
        <v>3596</v>
      </c>
    </row>
    <row r="3071" spans="1:5" x14ac:dyDescent="0.35">
      <c r="A3071" s="40">
        <v>44662</v>
      </c>
      <c r="B3071" s="38">
        <v>19</v>
      </c>
      <c r="C3071" s="13" t="s">
        <v>2399</v>
      </c>
      <c r="D3071" s="36">
        <v>2214.37</v>
      </c>
      <c r="E3071" s="43" t="s">
        <v>3596</v>
      </c>
    </row>
    <row r="3072" spans="1:5" x14ac:dyDescent="0.35">
      <c r="A3072" s="40">
        <v>44660</v>
      </c>
      <c r="B3072" s="38">
        <v>-11</v>
      </c>
      <c r="C3072" s="13" t="s">
        <v>2532</v>
      </c>
      <c r="D3072" s="36">
        <v>2144.37</v>
      </c>
      <c r="E3072" s="43" t="s">
        <v>3596</v>
      </c>
    </row>
    <row r="3073" spans="1:5" x14ac:dyDescent="0.35">
      <c r="A3073" s="40">
        <v>44660</v>
      </c>
      <c r="B3073" s="38">
        <v>-8.6999999999999993</v>
      </c>
      <c r="C3073" s="13" t="s">
        <v>2532</v>
      </c>
      <c r="D3073" s="36">
        <v>2155.37</v>
      </c>
      <c r="E3073" s="43" t="s">
        <v>3596</v>
      </c>
    </row>
    <row r="3074" spans="1:5" x14ac:dyDescent="0.35">
      <c r="A3074" s="40">
        <v>44660</v>
      </c>
      <c r="B3074" s="38">
        <v>51</v>
      </c>
      <c r="C3074" s="13" t="s">
        <v>2539</v>
      </c>
      <c r="D3074" s="36">
        <v>2195.37</v>
      </c>
      <c r="E3074" s="43" t="s">
        <v>3596</v>
      </c>
    </row>
    <row r="3075" spans="1:5" x14ac:dyDescent="0.35">
      <c r="A3075" s="40">
        <v>44660</v>
      </c>
      <c r="B3075" s="38">
        <v>-103.28</v>
      </c>
      <c r="C3075" s="13" t="s">
        <v>2540</v>
      </c>
      <c r="D3075" s="36">
        <v>2164.0700000000002</v>
      </c>
      <c r="E3075" s="43" t="s">
        <v>3596</v>
      </c>
    </row>
    <row r="3076" spans="1:5" x14ac:dyDescent="0.35">
      <c r="A3076" s="40">
        <v>44659</v>
      </c>
      <c r="B3076" s="38">
        <v>-129</v>
      </c>
      <c r="C3076" s="13" t="s">
        <v>2538</v>
      </c>
      <c r="D3076" s="36">
        <v>2267.35</v>
      </c>
      <c r="E3076" s="43" t="s">
        <v>3596</v>
      </c>
    </row>
    <row r="3077" spans="1:5" x14ac:dyDescent="0.35">
      <c r="A3077" s="40">
        <v>44657</v>
      </c>
      <c r="B3077" s="38">
        <v>-7.58</v>
      </c>
      <c r="C3077" s="13" t="s">
        <v>2537</v>
      </c>
      <c r="D3077" s="36">
        <v>2434.23</v>
      </c>
      <c r="E3077" s="43" t="s">
        <v>3596</v>
      </c>
    </row>
    <row r="3078" spans="1:5" x14ac:dyDescent="0.35">
      <c r="A3078" s="40">
        <v>44657</v>
      </c>
      <c r="B3078" s="38">
        <v>-3.15</v>
      </c>
      <c r="C3078" s="13" t="s">
        <v>2534</v>
      </c>
      <c r="D3078" s="36">
        <v>2396.35</v>
      </c>
      <c r="E3078" s="43" t="s">
        <v>3596</v>
      </c>
    </row>
    <row r="3079" spans="1:5" x14ac:dyDescent="0.35">
      <c r="A3079" s="40">
        <v>44657</v>
      </c>
      <c r="B3079" s="38">
        <v>-30.93</v>
      </c>
      <c r="C3079" s="13" t="s">
        <v>2535</v>
      </c>
      <c r="D3079" s="36">
        <v>2399.5</v>
      </c>
      <c r="E3079" s="43" t="s">
        <v>3596</v>
      </c>
    </row>
    <row r="3080" spans="1:5" x14ac:dyDescent="0.35">
      <c r="A3080" s="40">
        <v>44657</v>
      </c>
      <c r="B3080" s="38">
        <v>-3.8</v>
      </c>
      <c r="C3080" s="13" t="s">
        <v>2536</v>
      </c>
      <c r="D3080" s="36">
        <v>2430.4299999999998</v>
      </c>
      <c r="E3080" s="43" t="s">
        <v>3596</v>
      </c>
    </row>
    <row r="3081" spans="1:5" x14ac:dyDescent="0.35">
      <c r="A3081" s="40">
        <v>44656</v>
      </c>
      <c r="B3081" s="38">
        <v>-4.0999999999999996</v>
      </c>
      <c r="C3081" s="13" t="s">
        <v>2533</v>
      </c>
      <c r="D3081" s="36">
        <v>2441.81</v>
      </c>
      <c r="E3081" s="43" t="s">
        <v>3596</v>
      </c>
    </row>
    <row r="3082" spans="1:5" x14ac:dyDescent="0.35">
      <c r="A3082" s="40">
        <v>44655</v>
      </c>
      <c r="B3082" s="38">
        <v>-10.5</v>
      </c>
      <c r="C3082" s="13" t="s">
        <v>2532</v>
      </c>
      <c r="D3082" s="36">
        <v>2445.91</v>
      </c>
      <c r="E3082" s="43" t="s">
        <v>3596</v>
      </c>
    </row>
    <row r="3083" spans="1:5" x14ac:dyDescent="0.35">
      <c r="A3083" s="40">
        <v>44655</v>
      </c>
      <c r="B3083" s="38">
        <v>-16.649999999999999</v>
      </c>
      <c r="C3083" s="13" t="s">
        <v>2487</v>
      </c>
      <c r="D3083" s="36">
        <v>2456.41</v>
      </c>
      <c r="E3083" s="43" t="s">
        <v>3596</v>
      </c>
    </row>
    <row r="3084" spans="1:5" x14ac:dyDescent="0.35">
      <c r="A3084" s="40">
        <v>44654</v>
      </c>
      <c r="B3084" s="38">
        <v>54</v>
      </c>
      <c r="C3084" s="13" t="s">
        <v>2440</v>
      </c>
      <c r="D3084" s="36">
        <v>2564.0500000000002</v>
      </c>
      <c r="E3084" s="43" t="s">
        <v>3596</v>
      </c>
    </row>
    <row r="3085" spans="1:5" x14ac:dyDescent="0.35">
      <c r="A3085" s="40">
        <v>44654</v>
      </c>
      <c r="B3085" s="38">
        <v>-90.99</v>
      </c>
      <c r="C3085" s="13" t="s">
        <v>2404</v>
      </c>
      <c r="D3085" s="36">
        <v>2473.06</v>
      </c>
      <c r="E3085" s="43" t="s">
        <v>3596</v>
      </c>
    </row>
    <row r="3086" spans="1:5" x14ac:dyDescent="0.35">
      <c r="A3086" s="40">
        <v>44653</v>
      </c>
      <c r="B3086" s="38">
        <v>-17.899999999999999</v>
      </c>
      <c r="C3086" s="13" t="s">
        <v>2531</v>
      </c>
      <c r="D3086" s="36">
        <v>2510.0500000000002</v>
      </c>
      <c r="E3086" s="43" t="s">
        <v>3596</v>
      </c>
    </row>
    <row r="3087" spans="1:5" x14ac:dyDescent="0.35">
      <c r="A3087" s="40">
        <v>44652</v>
      </c>
      <c r="B3087" s="38">
        <v>-7.58</v>
      </c>
      <c r="C3087" s="13" t="s">
        <v>2530</v>
      </c>
      <c r="D3087" s="36">
        <v>2748.85</v>
      </c>
      <c r="E3087" s="43" t="s">
        <v>3596</v>
      </c>
    </row>
    <row r="3088" spans="1:5" x14ac:dyDescent="0.35">
      <c r="A3088" s="40">
        <v>44652</v>
      </c>
      <c r="B3088" s="38">
        <v>-19.2</v>
      </c>
      <c r="C3088" s="13" t="s">
        <v>2528</v>
      </c>
      <c r="D3088" s="36">
        <v>2726.5</v>
      </c>
      <c r="E3088" s="43" t="s">
        <v>3596</v>
      </c>
    </row>
    <row r="3089" spans="1:5" x14ac:dyDescent="0.35">
      <c r="A3089" s="40">
        <v>44652</v>
      </c>
      <c r="B3089" s="38">
        <v>-18</v>
      </c>
      <c r="C3089" s="13" t="s">
        <v>2528</v>
      </c>
      <c r="D3089" s="36">
        <v>2708.5</v>
      </c>
      <c r="E3089" s="43" t="s">
        <v>3596</v>
      </c>
    </row>
    <row r="3090" spans="1:5" x14ac:dyDescent="0.35">
      <c r="A3090" s="40">
        <v>44652</v>
      </c>
      <c r="B3090" s="38">
        <v>-3.15</v>
      </c>
      <c r="C3090" s="13" t="s">
        <v>2529</v>
      </c>
      <c r="D3090" s="36">
        <v>2745.7</v>
      </c>
      <c r="E3090" s="43" t="s">
        <v>3596</v>
      </c>
    </row>
    <row r="3091" spans="1:5" x14ac:dyDescent="0.35">
      <c r="A3091" s="40">
        <v>44652</v>
      </c>
      <c r="B3091" s="38">
        <v>-180.55</v>
      </c>
      <c r="C3091" s="13" t="s">
        <v>2527</v>
      </c>
      <c r="D3091" s="36">
        <v>2527.9499999999998</v>
      </c>
      <c r="E3091" s="43" t="s">
        <v>3596</v>
      </c>
    </row>
    <row r="3092" spans="1:5" x14ac:dyDescent="0.35">
      <c r="A3092" s="40">
        <v>44651</v>
      </c>
      <c r="B3092" s="38">
        <v>-760</v>
      </c>
      <c r="C3092" s="13" t="s">
        <v>1395</v>
      </c>
      <c r="D3092" s="36">
        <v>2881.88</v>
      </c>
      <c r="E3092" s="43" t="s">
        <v>3596</v>
      </c>
    </row>
    <row r="3093" spans="1:5" x14ac:dyDescent="0.35">
      <c r="A3093" s="40">
        <v>44651</v>
      </c>
      <c r="B3093" s="38">
        <v>-9.24</v>
      </c>
      <c r="C3093" s="13" t="s">
        <v>2525</v>
      </c>
      <c r="D3093" s="36">
        <v>2872.64</v>
      </c>
      <c r="E3093" s="43" t="s">
        <v>3596</v>
      </c>
    </row>
    <row r="3094" spans="1:5" x14ac:dyDescent="0.35">
      <c r="A3094" s="40">
        <v>44651</v>
      </c>
      <c r="B3094" s="38">
        <v>2912.63</v>
      </c>
      <c r="C3094" s="13" t="s">
        <v>2526</v>
      </c>
      <c r="D3094" s="36">
        <v>3641.88</v>
      </c>
      <c r="E3094" s="43" t="s">
        <v>3596</v>
      </c>
    </row>
    <row r="3095" spans="1:5" x14ac:dyDescent="0.35">
      <c r="A3095" s="40">
        <v>44651</v>
      </c>
      <c r="B3095" s="38">
        <v>-116.21</v>
      </c>
      <c r="C3095" s="13" t="s">
        <v>2524</v>
      </c>
      <c r="D3095" s="36">
        <v>2756.43</v>
      </c>
      <c r="E3095" s="43" t="s">
        <v>3596</v>
      </c>
    </row>
    <row r="3096" spans="1:5" x14ac:dyDescent="0.35">
      <c r="A3096" s="40">
        <v>44650</v>
      </c>
      <c r="B3096" s="38">
        <v>-9.24</v>
      </c>
      <c r="C3096" s="13" t="s">
        <v>2523</v>
      </c>
      <c r="D3096" s="36">
        <v>792.2</v>
      </c>
      <c r="E3096" s="43" t="s">
        <v>3596</v>
      </c>
    </row>
    <row r="3097" spans="1:5" x14ac:dyDescent="0.35">
      <c r="A3097" s="40">
        <v>44650</v>
      </c>
      <c r="B3097" s="38">
        <v>-62.95</v>
      </c>
      <c r="C3097" s="13" t="s">
        <v>2522</v>
      </c>
      <c r="D3097" s="36">
        <v>729.25</v>
      </c>
      <c r="E3097" s="43" t="s">
        <v>3596</v>
      </c>
    </row>
    <row r="3098" spans="1:5" x14ac:dyDescent="0.35">
      <c r="A3098" s="40">
        <v>44649</v>
      </c>
      <c r="B3098" s="38">
        <v>-734.11</v>
      </c>
      <c r="C3098" s="13" t="s">
        <v>2518</v>
      </c>
      <c r="D3098" s="36">
        <v>876.75</v>
      </c>
      <c r="E3098" s="43" t="s">
        <v>3596</v>
      </c>
    </row>
    <row r="3099" spans="1:5" x14ac:dyDescent="0.35">
      <c r="A3099" s="40">
        <v>44649</v>
      </c>
      <c r="B3099" s="38">
        <v>-41.29</v>
      </c>
      <c r="C3099" s="13" t="s">
        <v>2516</v>
      </c>
      <c r="D3099" s="36">
        <v>813.44</v>
      </c>
      <c r="E3099" s="43" t="s">
        <v>3596</v>
      </c>
    </row>
    <row r="3100" spans="1:5" x14ac:dyDescent="0.35">
      <c r="A3100" s="40">
        <v>44649</v>
      </c>
      <c r="B3100" s="38">
        <v>9</v>
      </c>
      <c r="C3100" s="13" t="s">
        <v>2515</v>
      </c>
      <c r="D3100" s="36">
        <v>822.44</v>
      </c>
      <c r="E3100" s="43" t="s">
        <v>3596</v>
      </c>
    </row>
    <row r="3101" spans="1:5" x14ac:dyDescent="0.35">
      <c r="A3101" s="40">
        <v>44649</v>
      </c>
      <c r="B3101" s="38">
        <v>-21</v>
      </c>
      <c r="C3101" s="13" t="s">
        <v>2503</v>
      </c>
      <c r="D3101" s="36">
        <v>801.44</v>
      </c>
      <c r="E3101" s="43" t="s">
        <v>3596</v>
      </c>
    </row>
    <row r="3102" spans="1:5" x14ac:dyDescent="0.35">
      <c r="A3102" s="40">
        <v>44649</v>
      </c>
      <c r="B3102" s="38">
        <v>-16</v>
      </c>
      <c r="C3102" s="13" t="s">
        <v>2520</v>
      </c>
      <c r="D3102" s="36">
        <v>1651.22</v>
      </c>
      <c r="E3102" s="43" t="s">
        <v>3596</v>
      </c>
    </row>
    <row r="3103" spans="1:5" x14ac:dyDescent="0.35">
      <c r="A3103" s="40">
        <v>44649</v>
      </c>
      <c r="B3103" s="38">
        <v>-27.8</v>
      </c>
      <c r="C3103" s="13" t="s">
        <v>2520</v>
      </c>
      <c r="D3103" s="36">
        <v>1667.22</v>
      </c>
      <c r="E3103" s="43" t="s">
        <v>3596</v>
      </c>
    </row>
    <row r="3104" spans="1:5" x14ac:dyDescent="0.35">
      <c r="A3104" s="40">
        <v>44649</v>
      </c>
      <c r="B3104" s="38">
        <v>-1074.97</v>
      </c>
      <c r="C3104" s="13" t="s">
        <v>2521</v>
      </c>
      <c r="D3104" s="36">
        <v>1695.02</v>
      </c>
      <c r="E3104" s="43" t="s">
        <v>3596</v>
      </c>
    </row>
    <row r="3105" spans="1:5" x14ac:dyDescent="0.35">
      <c r="A3105" s="40">
        <v>44649</v>
      </c>
      <c r="B3105" s="38">
        <v>-22.02</v>
      </c>
      <c r="C3105" s="13" t="s">
        <v>2517</v>
      </c>
      <c r="D3105" s="36">
        <v>854.73</v>
      </c>
      <c r="E3105" s="43" t="s">
        <v>3596</v>
      </c>
    </row>
    <row r="3106" spans="1:5" x14ac:dyDescent="0.35">
      <c r="A3106" s="40">
        <v>44649</v>
      </c>
      <c r="B3106" s="38">
        <v>-40.36</v>
      </c>
      <c r="C3106" s="13" t="s">
        <v>2519</v>
      </c>
      <c r="D3106" s="36">
        <v>1610.86</v>
      </c>
      <c r="E3106" s="43" t="s">
        <v>3596</v>
      </c>
    </row>
    <row r="3107" spans="1:5" x14ac:dyDescent="0.35">
      <c r="A3107" s="40">
        <v>44648</v>
      </c>
      <c r="B3107" s="38">
        <v>9</v>
      </c>
      <c r="C3107" s="13" t="s">
        <v>2514</v>
      </c>
      <c r="D3107" s="36">
        <v>2788.59</v>
      </c>
      <c r="E3107" s="43" t="s">
        <v>3596</v>
      </c>
    </row>
    <row r="3108" spans="1:5" x14ac:dyDescent="0.35">
      <c r="A3108" s="40">
        <v>44648</v>
      </c>
      <c r="B3108" s="38">
        <v>-17.600000000000001</v>
      </c>
      <c r="C3108" s="13" t="s">
        <v>2503</v>
      </c>
      <c r="D3108" s="36">
        <v>2770.99</v>
      </c>
      <c r="E3108" s="43" t="s">
        <v>3596</v>
      </c>
    </row>
    <row r="3109" spans="1:5" x14ac:dyDescent="0.35">
      <c r="A3109" s="40">
        <v>44648</v>
      </c>
      <c r="B3109" s="38">
        <v>-1</v>
      </c>
      <c r="C3109" s="13" t="s">
        <v>2503</v>
      </c>
      <c r="D3109" s="36">
        <v>2769.99</v>
      </c>
      <c r="E3109" s="43" t="s">
        <v>3596</v>
      </c>
    </row>
    <row r="3110" spans="1:5" x14ac:dyDescent="0.35">
      <c r="A3110" s="40">
        <v>44647</v>
      </c>
      <c r="B3110" s="38">
        <v>-652.39</v>
      </c>
      <c r="C3110" s="13" t="s">
        <v>2513</v>
      </c>
      <c r="D3110" s="36">
        <v>2779.59</v>
      </c>
      <c r="E3110" s="43" t="s">
        <v>3596</v>
      </c>
    </row>
    <row r="3111" spans="1:5" x14ac:dyDescent="0.35">
      <c r="A3111" s="40">
        <v>44646</v>
      </c>
      <c r="B3111" s="38">
        <v>22</v>
      </c>
      <c r="C3111" s="13" t="s">
        <v>2509</v>
      </c>
      <c r="D3111" s="36">
        <v>2311.89</v>
      </c>
      <c r="E3111" s="43" t="s">
        <v>3596</v>
      </c>
    </row>
    <row r="3112" spans="1:5" x14ac:dyDescent="0.35">
      <c r="A3112" s="40">
        <v>44646</v>
      </c>
      <c r="B3112" s="38">
        <v>1189.8499999999999</v>
      </c>
      <c r="C3112" s="13" t="s">
        <v>2508</v>
      </c>
      <c r="D3112" s="36">
        <v>3431.98</v>
      </c>
      <c r="E3112" s="43" t="s">
        <v>3596</v>
      </c>
    </row>
    <row r="3113" spans="1:5" x14ac:dyDescent="0.35">
      <c r="A3113" s="40">
        <v>44646</v>
      </c>
      <c r="B3113" s="38">
        <v>-69.760000000000005</v>
      </c>
      <c r="C3113" s="13" t="s">
        <v>2404</v>
      </c>
      <c r="D3113" s="36">
        <v>2242.13</v>
      </c>
      <c r="E3113" s="43" t="s">
        <v>3596</v>
      </c>
    </row>
    <row r="3114" spans="1:5" x14ac:dyDescent="0.35">
      <c r="A3114" s="40">
        <v>44646</v>
      </c>
      <c r="B3114" s="38">
        <v>-45</v>
      </c>
      <c r="C3114" s="13" t="s">
        <v>2510</v>
      </c>
      <c r="D3114" s="36">
        <v>2289.89</v>
      </c>
      <c r="E3114" s="43" t="s">
        <v>3596</v>
      </c>
    </row>
    <row r="3115" spans="1:5" x14ac:dyDescent="0.35">
      <c r="A3115" s="40">
        <v>44646</v>
      </c>
      <c r="B3115" s="38">
        <v>-310</v>
      </c>
      <c r="C3115" s="13" t="s">
        <v>2512</v>
      </c>
      <c r="D3115" s="36">
        <v>2372.87</v>
      </c>
      <c r="E3115" s="43" t="s">
        <v>3596</v>
      </c>
    </row>
    <row r="3116" spans="1:5" x14ac:dyDescent="0.35">
      <c r="A3116" s="40">
        <v>44646</v>
      </c>
      <c r="B3116" s="38">
        <v>-37.979999999999997</v>
      </c>
      <c r="C3116" s="13" t="s">
        <v>2511</v>
      </c>
      <c r="D3116" s="36">
        <v>2334.89</v>
      </c>
      <c r="E3116" s="43" t="s">
        <v>3596</v>
      </c>
    </row>
    <row r="3117" spans="1:5" x14ac:dyDescent="0.35">
      <c r="A3117" s="40">
        <v>44645</v>
      </c>
      <c r="B3117" s="38">
        <v>-9.24</v>
      </c>
      <c r="C3117" s="13" t="s">
        <v>2507</v>
      </c>
      <c r="D3117" s="36">
        <v>2752.88</v>
      </c>
      <c r="E3117" s="43" t="s">
        <v>3596</v>
      </c>
    </row>
    <row r="3118" spans="1:5" x14ac:dyDescent="0.35">
      <c r="A3118" s="40">
        <v>44645</v>
      </c>
      <c r="B3118" s="38">
        <v>-70.010000000000005</v>
      </c>
      <c r="C3118" s="13" t="s">
        <v>2506</v>
      </c>
      <c r="D3118" s="36">
        <v>2682.87</v>
      </c>
      <c r="E3118" s="43" t="s">
        <v>3596</v>
      </c>
    </row>
    <row r="3119" spans="1:5" x14ac:dyDescent="0.35">
      <c r="A3119" s="40">
        <v>44644</v>
      </c>
      <c r="B3119" s="38">
        <v>-9.24</v>
      </c>
      <c r="C3119" s="13" t="s">
        <v>2505</v>
      </c>
      <c r="D3119" s="36">
        <v>2762.12</v>
      </c>
      <c r="E3119" s="43" t="s">
        <v>3596</v>
      </c>
    </row>
    <row r="3120" spans="1:5" x14ac:dyDescent="0.35">
      <c r="A3120" s="40">
        <v>44643</v>
      </c>
      <c r="B3120" s="38">
        <v>-9.24</v>
      </c>
      <c r="C3120" s="13" t="s">
        <v>2504</v>
      </c>
      <c r="D3120" s="36">
        <v>2874.9</v>
      </c>
      <c r="E3120" s="43" t="s">
        <v>3596</v>
      </c>
    </row>
    <row r="3121" spans="1:5" x14ac:dyDescent="0.35">
      <c r="A3121" s="40">
        <v>44643</v>
      </c>
      <c r="B3121" s="38">
        <v>-17.600000000000001</v>
      </c>
      <c r="C3121" s="13" t="s">
        <v>2503</v>
      </c>
      <c r="D3121" s="36">
        <v>2857.3</v>
      </c>
      <c r="E3121" s="43" t="s">
        <v>3596</v>
      </c>
    </row>
    <row r="3122" spans="1:5" x14ac:dyDescent="0.35">
      <c r="A3122" s="40">
        <v>44643</v>
      </c>
      <c r="B3122" s="38">
        <v>-85.94</v>
      </c>
      <c r="C3122" s="13" t="s">
        <v>2404</v>
      </c>
      <c r="D3122" s="36">
        <v>2771.36</v>
      </c>
      <c r="E3122" s="43" t="s">
        <v>3596</v>
      </c>
    </row>
    <row r="3123" spans="1:5" x14ac:dyDescent="0.35">
      <c r="A3123" s="40">
        <v>44642</v>
      </c>
      <c r="B3123" s="38">
        <v>30</v>
      </c>
      <c r="C3123" s="13" t="s">
        <v>2502</v>
      </c>
      <c r="D3123" s="36">
        <v>3328.91</v>
      </c>
      <c r="E3123" s="43" t="s">
        <v>3596</v>
      </c>
    </row>
    <row r="3124" spans="1:5" x14ac:dyDescent="0.35">
      <c r="A3124" s="40">
        <v>44642</v>
      </c>
      <c r="B3124" s="38">
        <v>-69</v>
      </c>
      <c r="C3124" s="13" t="s">
        <v>2500</v>
      </c>
      <c r="D3124" s="36">
        <v>3253.92</v>
      </c>
      <c r="E3124" s="43" t="s">
        <v>3596</v>
      </c>
    </row>
    <row r="3125" spans="1:5" x14ac:dyDescent="0.35">
      <c r="A3125" s="40">
        <v>44642</v>
      </c>
      <c r="B3125" s="38">
        <v>-5.99</v>
      </c>
      <c r="C3125" s="13" t="s">
        <v>2501</v>
      </c>
      <c r="D3125" s="36">
        <v>3322.92</v>
      </c>
      <c r="E3125" s="43" t="s">
        <v>3596</v>
      </c>
    </row>
    <row r="3126" spans="1:5" x14ac:dyDescent="0.35">
      <c r="A3126" s="40">
        <v>44642</v>
      </c>
      <c r="B3126" s="38">
        <v>-16.18</v>
      </c>
      <c r="C3126" s="13" t="s">
        <v>2498</v>
      </c>
      <c r="D3126" s="36">
        <v>3059.24</v>
      </c>
      <c r="E3126" s="43" t="s">
        <v>3596</v>
      </c>
    </row>
    <row r="3127" spans="1:5" x14ac:dyDescent="0.35">
      <c r="A3127" s="40">
        <v>44642</v>
      </c>
      <c r="B3127" s="38">
        <v>-175.1</v>
      </c>
      <c r="C3127" s="13" t="s">
        <v>2497</v>
      </c>
      <c r="D3127" s="36">
        <v>2884.14</v>
      </c>
      <c r="E3127" s="43" t="s">
        <v>3596</v>
      </c>
    </row>
    <row r="3128" spans="1:5" x14ac:dyDescent="0.35">
      <c r="A3128" s="40">
        <v>44642</v>
      </c>
      <c r="B3128" s="38">
        <v>-178.5</v>
      </c>
      <c r="C3128" s="13" t="s">
        <v>2499</v>
      </c>
      <c r="D3128" s="36">
        <v>3075.42</v>
      </c>
      <c r="E3128" s="43" t="s">
        <v>3596</v>
      </c>
    </row>
    <row r="3129" spans="1:5" x14ac:dyDescent="0.35">
      <c r="A3129" s="40">
        <v>44641</v>
      </c>
      <c r="B3129" s="38">
        <v>-9.9</v>
      </c>
      <c r="C3129" s="13" t="s">
        <v>1481</v>
      </c>
      <c r="D3129" s="36">
        <v>3298.91</v>
      </c>
      <c r="E3129" s="43" t="s">
        <v>3596</v>
      </c>
    </row>
    <row r="3130" spans="1:5" x14ac:dyDescent="0.35">
      <c r="A3130" s="40">
        <v>44639</v>
      </c>
      <c r="B3130" s="38">
        <v>-5.45</v>
      </c>
      <c r="C3130" s="13" t="s">
        <v>2495</v>
      </c>
      <c r="D3130" s="36">
        <v>3308.81</v>
      </c>
      <c r="E3130" s="43" t="s">
        <v>3596</v>
      </c>
    </row>
    <row r="3131" spans="1:5" x14ac:dyDescent="0.35">
      <c r="A3131" s="40">
        <v>44638</v>
      </c>
      <c r="B3131" s="38">
        <v>-3.79</v>
      </c>
      <c r="C3131" s="13" t="s">
        <v>2495</v>
      </c>
      <c r="D3131" s="36">
        <v>3420.27</v>
      </c>
      <c r="E3131" s="43" t="s">
        <v>3596</v>
      </c>
    </row>
    <row r="3132" spans="1:5" x14ac:dyDescent="0.35">
      <c r="A3132" s="40">
        <v>44638</v>
      </c>
      <c r="B3132" s="38">
        <v>-8.5299999999999994</v>
      </c>
      <c r="C3132" s="13" t="s">
        <v>2494</v>
      </c>
      <c r="D3132" s="36">
        <v>3411.74</v>
      </c>
      <c r="E3132" s="43" t="s">
        <v>3596</v>
      </c>
    </row>
    <row r="3133" spans="1:5" x14ac:dyDescent="0.35">
      <c r="A3133" s="40">
        <v>44638</v>
      </c>
      <c r="B3133" s="38">
        <v>52</v>
      </c>
      <c r="C3133" s="13" t="s">
        <v>2492</v>
      </c>
      <c r="D3133" s="36">
        <v>3314.26</v>
      </c>
      <c r="E3133" s="43" t="s">
        <v>3596</v>
      </c>
    </row>
    <row r="3134" spans="1:5" x14ac:dyDescent="0.35">
      <c r="A3134" s="40">
        <v>44638</v>
      </c>
      <c r="B3134" s="38">
        <v>-127.48</v>
      </c>
      <c r="C3134" s="13" t="s">
        <v>2493</v>
      </c>
      <c r="D3134" s="36">
        <v>3262.26</v>
      </c>
      <c r="E3134" s="43" t="s">
        <v>3596</v>
      </c>
    </row>
    <row r="3135" spans="1:5" x14ac:dyDescent="0.35">
      <c r="A3135" s="40">
        <v>44638</v>
      </c>
      <c r="B3135" s="38">
        <v>-22</v>
      </c>
      <c r="C3135" s="13" t="s">
        <v>2439</v>
      </c>
      <c r="D3135" s="36">
        <v>3389.74</v>
      </c>
      <c r="E3135" s="43" t="s">
        <v>3596</v>
      </c>
    </row>
    <row r="3136" spans="1:5" x14ac:dyDescent="0.35">
      <c r="A3136" s="40">
        <v>44638</v>
      </c>
      <c r="B3136" s="38">
        <v>-7</v>
      </c>
      <c r="C3136" s="13" t="s">
        <v>2496</v>
      </c>
      <c r="D3136" s="36">
        <v>3424.06</v>
      </c>
      <c r="E3136" s="43" t="s">
        <v>3596</v>
      </c>
    </row>
    <row r="3137" spans="1:5" x14ac:dyDescent="0.35">
      <c r="A3137" s="40">
        <v>44637</v>
      </c>
      <c r="B3137" s="38">
        <v>-760</v>
      </c>
      <c r="C3137" s="13" t="s">
        <v>1395</v>
      </c>
      <c r="D3137" s="36">
        <v>3494.37</v>
      </c>
      <c r="E3137" s="43" t="s">
        <v>3596</v>
      </c>
    </row>
    <row r="3138" spans="1:5" x14ac:dyDescent="0.35">
      <c r="A3138" s="40">
        <v>44637</v>
      </c>
      <c r="B3138" s="38">
        <v>-2.46</v>
      </c>
      <c r="C3138" s="13" t="s">
        <v>2490</v>
      </c>
      <c r="D3138" s="36">
        <v>3491.91</v>
      </c>
      <c r="E3138" s="43" t="s">
        <v>3596</v>
      </c>
    </row>
    <row r="3139" spans="1:5" x14ac:dyDescent="0.35">
      <c r="A3139" s="40">
        <v>44637</v>
      </c>
      <c r="B3139" s="38">
        <v>2338.9899999999998</v>
      </c>
      <c r="C3139" s="13" t="s">
        <v>2491</v>
      </c>
      <c r="D3139" s="36">
        <v>4254.37</v>
      </c>
      <c r="E3139" s="43" t="s">
        <v>3596</v>
      </c>
    </row>
    <row r="3140" spans="1:5" x14ac:dyDescent="0.35">
      <c r="A3140" s="40">
        <v>44637</v>
      </c>
      <c r="B3140" s="38">
        <v>-18</v>
      </c>
      <c r="C3140" s="13" t="s">
        <v>2489</v>
      </c>
      <c r="D3140" s="36">
        <v>3473.91</v>
      </c>
      <c r="E3140" s="43" t="s">
        <v>3596</v>
      </c>
    </row>
    <row r="3141" spans="1:5" x14ac:dyDescent="0.35">
      <c r="A3141" s="40">
        <v>44637</v>
      </c>
      <c r="B3141" s="38">
        <v>-42.85</v>
      </c>
      <c r="C3141" s="13" t="s">
        <v>2488</v>
      </c>
      <c r="D3141" s="36">
        <v>3431.06</v>
      </c>
      <c r="E3141" s="43" t="s">
        <v>3596</v>
      </c>
    </row>
    <row r="3142" spans="1:5" x14ac:dyDescent="0.35">
      <c r="A3142" s="40">
        <v>44636</v>
      </c>
      <c r="B3142" s="38">
        <v>-12.59</v>
      </c>
      <c r="C3142" s="13" t="s">
        <v>2487</v>
      </c>
      <c r="D3142" s="36">
        <v>1970.38</v>
      </c>
      <c r="E3142" s="43" t="s">
        <v>3596</v>
      </c>
    </row>
    <row r="3143" spans="1:5" x14ac:dyDescent="0.35">
      <c r="A3143" s="40">
        <v>44636</v>
      </c>
      <c r="B3143" s="38">
        <v>-55</v>
      </c>
      <c r="C3143" s="13" t="s">
        <v>2486</v>
      </c>
      <c r="D3143" s="36">
        <v>1915.38</v>
      </c>
      <c r="E3143" s="43" t="s">
        <v>3596</v>
      </c>
    </row>
    <row r="3144" spans="1:5" x14ac:dyDescent="0.35">
      <c r="A3144" s="40">
        <v>44635</v>
      </c>
      <c r="B3144" s="38">
        <v>-50.87</v>
      </c>
      <c r="C3144" s="13" t="s">
        <v>2484</v>
      </c>
      <c r="D3144" s="36">
        <v>2045.82</v>
      </c>
      <c r="E3144" s="43" t="s">
        <v>3596</v>
      </c>
    </row>
    <row r="3145" spans="1:5" x14ac:dyDescent="0.35">
      <c r="A3145" s="40">
        <v>44635</v>
      </c>
      <c r="B3145" s="38">
        <v>-4</v>
      </c>
      <c r="C3145" s="13" t="s">
        <v>2483</v>
      </c>
      <c r="D3145" s="36">
        <v>2041.82</v>
      </c>
      <c r="E3145" s="43" t="s">
        <v>3596</v>
      </c>
    </row>
    <row r="3146" spans="1:5" x14ac:dyDescent="0.35">
      <c r="A3146" s="40">
        <v>44635</v>
      </c>
      <c r="B3146" s="38">
        <v>-58.57</v>
      </c>
      <c r="C3146" s="13" t="s">
        <v>2485</v>
      </c>
      <c r="D3146" s="36">
        <v>2096.69</v>
      </c>
      <c r="E3146" s="43" t="s">
        <v>3596</v>
      </c>
    </row>
    <row r="3147" spans="1:5" x14ac:dyDescent="0.35">
      <c r="A3147" s="40">
        <v>44635</v>
      </c>
      <c r="B3147" s="38">
        <v>-58.85</v>
      </c>
      <c r="C3147" s="13" t="s">
        <v>2275</v>
      </c>
      <c r="D3147" s="36">
        <v>1982.97</v>
      </c>
      <c r="E3147" s="43" t="s">
        <v>3596</v>
      </c>
    </row>
    <row r="3148" spans="1:5" x14ac:dyDescent="0.35">
      <c r="A3148" s="40">
        <v>44634</v>
      </c>
      <c r="B3148" s="38">
        <v>-16.8</v>
      </c>
      <c r="C3148" s="13" t="s">
        <v>1481</v>
      </c>
      <c r="D3148" s="36">
        <v>2155.2600000000002</v>
      </c>
      <c r="E3148" s="43" t="s">
        <v>3596</v>
      </c>
    </row>
    <row r="3149" spans="1:5" x14ac:dyDescent="0.35">
      <c r="A3149" s="40">
        <v>44633</v>
      </c>
      <c r="B3149" s="38">
        <v>36</v>
      </c>
      <c r="C3149" s="13" t="s">
        <v>2482</v>
      </c>
      <c r="D3149" s="36">
        <v>2172.06</v>
      </c>
      <c r="E3149" s="43" t="s">
        <v>3596</v>
      </c>
    </row>
    <row r="3150" spans="1:5" x14ac:dyDescent="0.35">
      <c r="A3150" s="40">
        <v>44632</v>
      </c>
      <c r="B3150" s="38">
        <v>-44.48</v>
      </c>
      <c r="C3150" s="13" t="s">
        <v>2481</v>
      </c>
      <c r="D3150" s="36">
        <v>2160.5100000000002</v>
      </c>
      <c r="E3150" s="43" t="s">
        <v>3596</v>
      </c>
    </row>
    <row r="3151" spans="1:5" x14ac:dyDescent="0.35">
      <c r="A3151" s="40">
        <v>44632</v>
      </c>
      <c r="B3151" s="38">
        <v>-8</v>
      </c>
      <c r="C3151" s="13" t="s">
        <v>2480</v>
      </c>
      <c r="D3151" s="36">
        <v>2136.06</v>
      </c>
      <c r="E3151" s="43" t="s">
        <v>3596</v>
      </c>
    </row>
    <row r="3152" spans="1:5" x14ac:dyDescent="0.35">
      <c r="A3152" s="40">
        <v>44632</v>
      </c>
      <c r="B3152" s="38">
        <v>-16.45</v>
      </c>
      <c r="C3152" s="13" t="s">
        <v>2480</v>
      </c>
      <c r="D3152" s="36">
        <v>2144.06</v>
      </c>
      <c r="E3152" s="43" t="s">
        <v>3596</v>
      </c>
    </row>
    <row r="3153" spans="1:5" x14ac:dyDescent="0.35">
      <c r="A3153" s="40">
        <v>44631</v>
      </c>
      <c r="B3153" s="38">
        <v>-35.880000000000003</v>
      </c>
      <c r="C3153" s="13" t="s">
        <v>2479</v>
      </c>
      <c r="D3153" s="36">
        <v>2204.9899999999998</v>
      </c>
      <c r="E3153" s="43" t="s">
        <v>3596</v>
      </c>
    </row>
    <row r="3154" spans="1:5" x14ac:dyDescent="0.35">
      <c r="A3154" s="40">
        <v>44629</v>
      </c>
      <c r="B3154" s="38">
        <v>-75</v>
      </c>
      <c r="C3154" s="13" t="s">
        <v>2478</v>
      </c>
      <c r="D3154" s="36">
        <v>2240.87</v>
      </c>
      <c r="E3154" s="43" t="s">
        <v>3596</v>
      </c>
    </row>
    <row r="3155" spans="1:5" x14ac:dyDescent="0.35">
      <c r="A3155" s="40">
        <v>44628</v>
      </c>
      <c r="B3155" s="38">
        <v>-149</v>
      </c>
      <c r="C3155" s="13" t="s">
        <v>2477</v>
      </c>
      <c r="D3155" s="36">
        <v>2315.87</v>
      </c>
      <c r="E3155" s="43" t="s">
        <v>3596</v>
      </c>
    </row>
    <row r="3156" spans="1:5" x14ac:dyDescent="0.35">
      <c r="A3156" s="40">
        <v>44624</v>
      </c>
      <c r="B3156" s="38">
        <v>120</v>
      </c>
      <c r="C3156" s="13" t="s">
        <v>2474</v>
      </c>
      <c r="D3156" s="36">
        <v>2464.87</v>
      </c>
      <c r="E3156" s="43" t="s">
        <v>3596</v>
      </c>
    </row>
    <row r="3157" spans="1:5" x14ac:dyDescent="0.35">
      <c r="A3157" s="40">
        <v>44624</v>
      </c>
      <c r="B3157" s="38">
        <v>-101.66</v>
      </c>
      <c r="C3157" s="13" t="s">
        <v>2476</v>
      </c>
      <c r="D3157" s="36">
        <v>2365.5500000000002</v>
      </c>
      <c r="E3157" s="43" t="s">
        <v>3596</v>
      </c>
    </row>
    <row r="3158" spans="1:5" x14ac:dyDescent="0.35">
      <c r="A3158" s="40">
        <v>44624</v>
      </c>
      <c r="B3158" s="38">
        <v>-20.68</v>
      </c>
      <c r="C3158" s="13" t="s">
        <v>2475</v>
      </c>
      <c r="D3158" s="36">
        <v>2344.87</v>
      </c>
      <c r="E3158" s="43" t="s">
        <v>3596</v>
      </c>
    </row>
    <row r="3159" spans="1:5" x14ac:dyDescent="0.35">
      <c r="A3159" s="40">
        <v>44623</v>
      </c>
      <c r="B3159" s="38">
        <v>-760</v>
      </c>
      <c r="C3159" s="13" t="s">
        <v>1395</v>
      </c>
      <c r="D3159" s="36">
        <v>2467.21</v>
      </c>
      <c r="E3159" s="43" t="s">
        <v>3596</v>
      </c>
    </row>
    <row r="3160" spans="1:5" x14ac:dyDescent="0.35">
      <c r="A3160" s="40">
        <v>44623</v>
      </c>
      <c r="B3160" s="38">
        <v>2361.19</v>
      </c>
      <c r="C3160" s="13" t="s">
        <v>2473</v>
      </c>
      <c r="D3160" s="36">
        <v>3227.21</v>
      </c>
      <c r="E3160" s="43" t="s">
        <v>3596</v>
      </c>
    </row>
    <row r="3161" spans="1:5" x14ac:dyDescent="0.35">
      <c r="A3161" s="40">
        <v>44622</v>
      </c>
      <c r="B3161" s="38">
        <v>29.9</v>
      </c>
      <c r="C3161" s="13" t="s">
        <v>2471</v>
      </c>
      <c r="D3161" s="36">
        <v>866.02</v>
      </c>
      <c r="E3161" s="43" t="s">
        <v>3596</v>
      </c>
    </row>
    <row r="3162" spans="1:5" x14ac:dyDescent="0.35">
      <c r="A3162" s="40">
        <v>44622</v>
      </c>
      <c r="B3162" s="38">
        <v>-73.959999999999994</v>
      </c>
      <c r="C3162" s="13" t="s">
        <v>2472</v>
      </c>
      <c r="D3162" s="36">
        <v>836.12</v>
      </c>
      <c r="E3162" s="43" t="s">
        <v>3596</v>
      </c>
    </row>
    <row r="3163" spans="1:5" x14ac:dyDescent="0.35">
      <c r="A3163" s="40">
        <v>44621</v>
      </c>
      <c r="B3163" s="38">
        <v>-6.15</v>
      </c>
      <c r="C3163" s="13" t="s">
        <v>2469</v>
      </c>
      <c r="D3163" s="36">
        <v>1368.32</v>
      </c>
      <c r="E3163" s="43" t="s">
        <v>3596</v>
      </c>
    </row>
    <row r="3164" spans="1:5" x14ac:dyDescent="0.35">
      <c r="A3164" s="40">
        <v>44621</v>
      </c>
      <c r="B3164" s="38">
        <v>-207</v>
      </c>
      <c r="C3164" s="13" t="s">
        <v>2467</v>
      </c>
      <c r="D3164" s="36">
        <v>1090.6300000000001</v>
      </c>
      <c r="E3164" s="43" t="s">
        <v>3596</v>
      </c>
    </row>
    <row r="3165" spans="1:5" x14ac:dyDescent="0.35">
      <c r="A3165" s="40">
        <v>44621</v>
      </c>
      <c r="B3165" s="38">
        <v>-35.880000000000003</v>
      </c>
      <c r="C3165" s="13" t="s">
        <v>2470</v>
      </c>
      <c r="D3165" s="36">
        <v>1374.47</v>
      </c>
      <c r="E3165" s="43" t="s">
        <v>3596</v>
      </c>
    </row>
    <row r="3166" spans="1:5" x14ac:dyDescent="0.35">
      <c r="A3166" s="40">
        <v>44621</v>
      </c>
      <c r="B3166" s="38">
        <v>-180.55</v>
      </c>
      <c r="C3166" s="13" t="s">
        <v>2466</v>
      </c>
      <c r="D3166" s="36">
        <v>910.08</v>
      </c>
      <c r="E3166" s="43" t="s">
        <v>3596</v>
      </c>
    </row>
    <row r="3167" spans="1:5" x14ac:dyDescent="0.35">
      <c r="A3167" s="40">
        <v>44621</v>
      </c>
      <c r="B3167" s="38">
        <v>-70.69</v>
      </c>
      <c r="C3167" s="13" t="s">
        <v>2468</v>
      </c>
      <c r="D3167" s="36">
        <v>1297.6300000000001</v>
      </c>
      <c r="E3167" s="43" t="s">
        <v>3596</v>
      </c>
    </row>
    <row r="3168" spans="1:5" x14ac:dyDescent="0.35">
      <c r="A3168" s="40">
        <v>44618</v>
      </c>
      <c r="B3168" s="38">
        <v>-60.1</v>
      </c>
      <c r="C3168" s="13" t="s">
        <v>2463</v>
      </c>
      <c r="D3168" s="36">
        <v>1410.35</v>
      </c>
      <c r="E3168" s="43" t="s">
        <v>3596</v>
      </c>
    </row>
    <row r="3169" spans="1:5" x14ac:dyDescent="0.35">
      <c r="A3169" s="40">
        <v>44618</v>
      </c>
      <c r="B3169" s="38">
        <v>-15.5</v>
      </c>
      <c r="C3169" s="13" t="s">
        <v>2464</v>
      </c>
      <c r="D3169" s="36">
        <v>1470.45</v>
      </c>
      <c r="E3169" s="43" t="s">
        <v>3596</v>
      </c>
    </row>
    <row r="3170" spans="1:5" x14ac:dyDescent="0.35">
      <c r="A3170" s="40">
        <v>44618</v>
      </c>
      <c r="B3170" s="38">
        <v>-14.13</v>
      </c>
      <c r="C3170" s="13" t="s">
        <v>2465</v>
      </c>
      <c r="D3170" s="36">
        <v>1485.95</v>
      </c>
      <c r="E3170" s="43" t="s">
        <v>3596</v>
      </c>
    </row>
    <row r="3171" spans="1:5" x14ac:dyDescent="0.35">
      <c r="A3171" s="40">
        <v>44617</v>
      </c>
      <c r="B3171" s="38">
        <v>-77.540000000000006</v>
      </c>
      <c r="C3171" s="13" t="s">
        <v>2462</v>
      </c>
      <c r="D3171" s="36">
        <v>1500.08</v>
      </c>
      <c r="E3171" s="43" t="s">
        <v>3596</v>
      </c>
    </row>
    <row r="3172" spans="1:5" x14ac:dyDescent="0.35">
      <c r="A3172" s="40">
        <v>44616</v>
      </c>
      <c r="B3172" s="38">
        <v>-122.49</v>
      </c>
      <c r="C3172" s="13" t="s">
        <v>2461</v>
      </c>
      <c r="D3172" s="36">
        <v>1577.62</v>
      </c>
      <c r="E3172" s="43" t="s">
        <v>3596</v>
      </c>
    </row>
    <row r="3173" spans="1:5" x14ac:dyDescent="0.35">
      <c r="A3173" s="40">
        <v>44615</v>
      </c>
      <c r="B3173" s="38">
        <v>-19.98</v>
      </c>
      <c r="C3173" s="13" t="s">
        <v>2460</v>
      </c>
      <c r="D3173" s="36">
        <v>1700.11</v>
      </c>
      <c r="E3173" s="43" t="s">
        <v>3596</v>
      </c>
    </row>
    <row r="3174" spans="1:5" x14ac:dyDescent="0.35">
      <c r="A3174" s="40">
        <v>44614</v>
      </c>
      <c r="B3174" s="38">
        <v>-1500</v>
      </c>
      <c r="C3174" s="13" t="s">
        <v>2457</v>
      </c>
      <c r="D3174" s="36">
        <v>1720.09</v>
      </c>
      <c r="E3174" s="43" t="s">
        <v>3596</v>
      </c>
    </row>
    <row r="3175" spans="1:5" x14ac:dyDescent="0.35">
      <c r="A3175" s="40">
        <v>44614</v>
      </c>
      <c r="B3175" s="38">
        <v>-34.44</v>
      </c>
      <c r="C3175" s="13" t="s">
        <v>2459</v>
      </c>
      <c r="D3175" s="36">
        <v>3255.97</v>
      </c>
      <c r="E3175" s="43" t="s">
        <v>3596</v>
      </c>
    </row>
    <row r="3176" spans="1:5" x14ac:dyDescent="0.35">
      <c r="A3176" s="40">
        <v>44614</v>
      </c>
      <c r="B3176" s="38">
        <v>-35.880000000000003</v>
      </c>
      <c r="C3176" s="13" t="s">
        <v>2458</v>
      </c>
      <c r="D3176" s="36">
        <v>3220.09</v>
      </c>
      <c r="E3176" s="43" t="s">
        <v>3596</v>
      </c>
    </row>
    <row r="3177" spans="1:5" x14ac:dyDescent="0.35">
      <c r="A3177" s="40">
        <v>44611</v>
      </c>
      <c r="B3177" s="38">
        <v>-145</v>
      </c>
      <c r="C3177" s="13" t="s">
        <v>2456</v>
      </c>
      <c r="D3177" s="36">
        <v>3309.97</v>
      </c>
      <c r="E3177" s="43" t="s">
        <v>3596</v>
      </c>
    </row>
    <row r="3178" spans="1:5" x14ac:dyDescent="0.35">
      <c r="A3178" s="40">
        <v>44611</v>
      </c>
      <c r="B3178" s="38">
        <v>-19.559999999999999</v>
      </c>
      <c r="C3178" s="13" t="s">
        <v>2269</v>
      </c>
      <c r="D3178" s="36">
        <v>3290.41</v>
      </c>
      <c r="E3178" s="43" t="s">
        <v>3596</v>
      </c>
    </row>
    <row r="3179" spans="1:5" x14ac:dyDescent="0.35">
      <c r="A3179" s="40">
        <v>44610</v>
      </c>
      <c r="B3179" s="38">
        <v>-6</v>
      </c>
      <c r="C3179" s="13" t="s">
        <v>2455</v>
      </c>
      <c r="D3179" s="36">
        <v>3454.97</v>
      </c>
      <c r="E3179" s="43" t="s">
        <v>3596</v>
      </c>
    </row>
    <row r="3180" spans="1:5" x14ac:dyDescent="0.35">
      <c r="A3180" s="40">
        <v>44609</v>
      </c>
      <c r="B3180" s="38">
        <v>-760</v>
      </c>
      <c r="C3180" s="13" t="s">
        <v>1395</v>
      </c>
      <c r="D3180" s="36">
        <v>3594.36</v>
      </c>
      <c r="E3180" s="43" t="s">
        <v>3596</v>
      </c>
    </row>
    <row r="3181" spans="1:5" x14ac:dyDescent="0.35">
      <c r="A3181" s="40">
        <v>44609</v>
      </c>
      <c r="B3181" s="38">
        <v>-28.83</v>
      </c>
      <c r="C3181" s="13" t="s">
        <v>2452</v>
      </c>
      <c r="D3181" s="36">
        <v>3515.97</v>
      </c>
      <c r="E3181" s="43" t="s">
        <v>3596</v>
      </c>
    </row>
    <row r="3182" spans="1:5" x14ac:dyDescent="0.35">
      <c r="A3182" s="40">
        <v>44609</v>
      </c>
      <c r="B3182" s="38">
        <v>2826.8</v>
      </c>
      <c r="C3182" s="13" t="s">
        <v>2454</v>
      </c>
      <c r="D3182" s="36">
        <v>4354.3599999999997</v>
      </c>
      <c r="E3182" s="43" t="s">
        <v>3596</v>
      </c>
    </row>
    <row r="3183" spans="1:5" x14ac:dyDescent="0.35">
      <c r="A3183" s="40">
        <v>44609</v>
      </c>
      <c r="B3183" s="38">
        <v>-49.56</v>
      </c>
      <c r="C3183" s="13" t="s">
        <v>2453</v>
      </c>
      <c r="D3183" s="36">
        <v>3544.8</v>
      </c>
      <c r="E3183" s="43" t="s">
        <v>3596</v>
      </c>
    </row>
    <row r="3184" spans="1:5" x14ac:dyDescent="0.35">
      <c r="A3184" s="40">
        <v>44609</v>
      </c>
      <c r="B3184" s="38">
        <v>-55</v>
      </c>
      <c r="C3184" s="13" t="s">
        <v>2451</v>
      </c>
      <c r="D3184" s="36">
        <v>3460.97</v>
      </c>
      <c r="E3184" s="43" t="s">
        <v>3596</v>
      </c>
    </row>
    <row r="3185" spans="1:5" x14ac:dyDescent="0.35">
      <c r="A3185" s="40">
        <v>44608</v>
      </c>
      <c r="B3185" s="38">
        <v>-26.29</v>
      </c>
      <c r="C3185" s="13" t="s">
        <v>2450</v>
      </c>
      <c r="D3185" s="36">
        <v>1578.05</v>
      </c>
      <c r="E3185" s="43" t="s">
        <v>3596</v>
      </c>
    </row>
    <row r="3186" spans="1:5" x14ac:dyDescent="0.35">
      <c r="A3186" s="40">
        <v>44608</v>
      </c>
      <c r="B3186" s="38">
        <v>-9.99</v>
      </c>
      <c r="C3186" s="13" t="s">
        <v>2449</v>
      </c>
      <c r="D3186" s="36">
        <v>1568.06</v>
      </c>
      <c r="E3186" s="43" t="s">
        <v>3596</v>
      </c>
    </row>
    <row r="3187" spans="1:5" x14ac:dyDescent="0.35">
      <c r="A3187" s="40">
        <v>44608</v>
      </c>
      <c r="B3187" s="38">
        <v>-40.5</v>
      </c>
      <c r="C3187" s="13" t="s">
        <v>2275</v>
      </c>
      <c r="D3187" s="36">
        <v>1527.56</v>
      </c>
      <c r="E3187" s="43" t="s">
        <v>3596</v>
      </c>
    </row>
    <row r="3188" spans="1:5" x14ac:dyDescent="0.35">
      <c r="A3188" s="40">
        <v>44607</v>
      </c>
      <c r="B3188" s="38">
        <v>-24</v>
      </c>
      <c r="C3188" s="13" t="s">
        <v>2448</v>
      </c>
      <c r="D3188" s="36">
        <v>1654.52</v>
      </c>
      <c r="E3188" s="43" t="s">
        <v>3596</v>
      </c>
    </row>
    <row r="3189" spans="1:5" x14ac:dyDescent="0.35">
      <c r="A3189" s="40">
        <v>44607</v>
      </c>
      <c r="B3189" s="38">
        <v>-50.18</v>
      </c>
      <c r="C3189" s="13" t="s">
        <v>2447</v>
      </c>
      <c r="D3189" s="36">
        <v>1604.34</v>
      </c>
      <c r="E3189" s="43" t="s">
        <v>3596</v>
      </c>
    </row>
    <row r="3190" spans="1:5" x14ac:dyDescent="0.35">
      <c r="A3190" s="40">
        <v>44606</v>
      </c>
      <c r="B3190" s="38">
        <v>-408</v>
      </c>
      <c r="C3190" s="13" t="s">
        <v>2446</v>
      </c>
      <c r="D3190" s="36">
        <v>1678.52</v>
      </c>
      <c r="E3190" s="43" t="s">
        <v>3596</v>
      </c>
    </row>
    <row r="3191" spans="1:5" x14ac:dyDescent="0.35">
      <c r="A3191" s="40">
        <v>44606</v>
      </c>
      <c r="B3191" s="38">
        <v>-51.56</v>
      </c>
      <c r="C3191" s="13" t="s">
        <v>2360</v>
      </c>
      <c r="D3191" s="36">
        <v>2086.52</v>
      </c>
      <c r="E3191" s="43" t="s">
        <v>3596</v>
      </c>
    </row>
    <row r="3192" spans="1:5" x14ac:dyDescent="0.35">
      <c r="A3192" s="40">
        <v>44604</v>
      </c>
      <c r="B3192" s="38">
        <v>-9.7899999999999991</v>
      </c>
      <c r="C3192" s="13" t="s">
        <v>2360</v>
      </c>
      <c r="D3192" s="36">
        <v>2154.5300000000002</v>
      </c>
      <c r="E3192" s="43" t="s">
        <v>3596</v>
      </c>
    </row>
    <row r="3193" spans="1:5" x14ac:dyDescent="0.35">
      <c r="A3193" s="40">
        <v>44604</v>
      </c>
      <c r="B3193" s="38">
        <v>-16.45</v>
      </c>
      <c r="C3193" s="13" t="s">
        <v>2445</v>
      </c>
      <c r="D3193" s="36">
        <v>2138.08</v>
      </c>
      <c r="E3193" s="43" t="s">
        <v>3596</v>
      </c>
    </row>
    <row r="3194" spans="1:5" x14ac:dyDescent="0.35">
      <c r="A3194" s="40">
        <v>44603</v>
      </c>
      <c r="B3194" s="38">
        <v>24</v>
      </c>
      <c r="C3194" s="13" t="s">
        <v>2444</v>
      </c>
      <c r="D3194" s="36">
        <v>2164.3200000000002</v>
      </c>
      <c r="E3194" s="43" t="s">
        <v>3596</v>
      </c>
    </row>
    <row r="3195" spans="1:5" x14ac:dyDescent="0.35">
      <c r="A3195" s="40">
        <v>44603</v>
      </c>
      <c r="B3195" s="38">
        <v>-11.57</v>
      </c>
      <c r="C3195" s="13" t="s">
        <v>2360</v>
      </c>
      <c r="D3195" s="36">
        <v>2140.3200000000002</v>
      </c>
      <c r="E3195" s="43" t="s">
        <v>3596</v>
      </c>
    </row>
    <row r="3196" spans="1:5" x14ac:dyDescent="0.35">
      <c r="A3196" s="40">
        <v>44600</v>
      </c>
      <c r="B3196" s="38">
        <v>-17.649999999999999</v>
      </c>
      <c r="C3196" s="13" t="s">
        <v>2442</v>
      </c>
      <c r="D3196" s="36">
        <v>2151.89</v>
      </c>
      <c r="E3196" s="43" t="s">
        <v>3596</v>
      </c>
    </row>
    <row r="3197" spans="1:5" x14ac:dyDescent="0.35">
      <c r="A3197" s="40">
        <v>44600</v>
      </c>
      <c r="B3197" s="38">
        <v>-43.69</v>
      </c>
      <c r="C3197" s="13" t="s">
        <v>2443</v>
      </c>
      <c r="D3197" s="36">
        <v>2169.54</v>
      </c>
      <c r="E3197" s="43" t="s">
        <v>3596</v>
      </c>
    </row>
    <row r="3198" spans="1:5" x14ac:dyDescent="0.35">
      <c r="A3198" s="40">
        <v>44598</v>
      </c>
      <c r="B3198" s="38">
        <v>51</v>
      </c>
      <c r="C3198" s="13" t="s">
        <v>2440</v>
      </c>
      <c r="D3198" s="36">
        <v>2230.23</v>
      </c>
      <c r="E3198" s="43" t="s">
        <v>3596</v>
      </c>
    </row>
    <row r="3199" spans="1:5" x14ac:dyDescent="0.35">
      <c r="A3199" s="40">
        <v>44598</v>
      </c>
      <c r="B3199" s="38">
        <v>-17</v>
      </c>
      <c r="C3199" s="13" t="s">
        <v>2439</v>
      </c>
      <c r="D3199" s="36">
        <v>2213.23</v>
      </c>
      <c r="E3199" s="43" t="s">
        <v>3596</v>
      </c>
    </row>
    <row r="3200" spans="1:5" x14ac:dyDescent="0.35">
      <c r="A3200" s="40">
        <v>44598</v>
      </c>
      <c r="B3200" s="38">
        <v>-109.42</v>
      </c>
      <c r="C3200" s="13" t="s">
        <v>2441</v>
      </c>
      <c r="D3200" s="36">
        <v>2179.23</v>
      </c>
      <c r="E3200" s="43" t="s">
        <v>3596</v>
      </c>
    </row>
    <row r="3201" spans="1:5" x14ac:dyDescent="0.35">
      <c r="A3201" s="40">
        <v>44597</v>
      </c>
      <c r="B3201" s="38">
        <v>-25.99</v>
      </c>
      <c r="C3201" s="13" t="s">
        <v>2437</v>
      </c>
      <c r="D3201" s="36">
        <v>2414.0500000000002</v>
      </c>
      <c r="E3201" s="43" t="s">
        <v>3596</v>
      </c>
    </row>
    <row r="3202" spans="1:5" x14ac:dyDescent="0.35">
      <c r="A3202" s="40">
        <v>44597</v>
      </c>
      <c r="B3202" s="38">
        <v>-21</v>
      </c>
      <c r="C3202" s="13" t="s">
        <v>2434</v>
      </c>
      <c r="D3202" s="36">
        <v>2288.65</v>
      </c>
      <c r="E3202" s="43" t="s">
        <v>3596</v>
      </c>
    </row>
    <row r="3203" spans="1:5" x14ac:dyDescent="0.35">
      <c r="A3203" s="40">
        <v>44597</v>
      </c>
      <c r="B3203" s="38">
        <v>-101.36</v>
      </c>
      <c r="C3203" s="13" t="s">
        <v>2436</v>
      </c>
      <c r="D3203" s="36">
        <v>2312.69</v>
      </c>
      <c r="E3203" s="43" t="s">
        <v>3596</v>
      </c>
    </row>
    <row r="3204" spans="1:5" x14ac:dyDescent="0.35">
      <c r="A3204" s="40">
        <v>44597</v>
      </c>
      <c r="B3204" s="38">
        <v>-3.04</v>
      </c>
      <c r="C3204" s="13" t="s">
        <v>2435</v>
      </c>
      <c r="D3204" s="36">
        <v>2309.65</v>
      </c>
      <c r="E3204" s="43" t="s">
        <v>3596</v>
      </c>
    </row>
    <row r="3205" spans="1:5" x14ac:dyDescent="0.35">
      <c r="A3205" s="40">
        <v>44597</v>
      </c>
      <c r="B3205" s="38">
        <v>-23.95</v>
      </c>
      <c r="C3205" s="13" t="s">
        <v>2438</v>
      </c>
      <c r="D3205" s="36">
        <v>2440.04</v>
      </c>
      <c r="E3205" s="43" t="s">
        <v>3596</v>
      </c>
    </row>
    <row r="3206" spans="1:5" x14ac:dyDescent="0.35">
      <c r="A3206" s="40">
        <v>44596</v>
      </c>
      <c r="B3206" s="38">
        <v>-5.89</v>
      </c>
      <c r="C3206" s="13" t="s">
        <v>2386</v>
      </c>
      <c r="D3206" s="36">
        <v>2513.4899999999998</v>
      </c>
      <c r="E3206" s="43" t="s">
        <v>3596</v>
      </c>
    </row>
    <row r="3207" spans="1:5" x14ac:dyDescent="0.35">
      <c r="A3207" s="40">
        <v>44596</v>
      </c>
      <c r="B3207" s="38">
        <v>-9.5</v>
      </c>
      <c r="C3207" s="13" t="s">
        <v>2432</v>
      </c>
      <c r="D3207" s="36">
        <v>2463.9899999999998</v>
      </c>
      <c r="E3207" s="43" t="s">
        <v>3596</v>
      </c>
    </row>
    <row r="3208" spans="1:5" x14ac:dyDescent="0.35">
      <c r="A3208" s="40">
        <v>44596</v>
      </c>
      <c r="B3208" s="38">
        <v>-35.880000000000003</v>
      </c>
      <c r="C3208" s="13" t="s">
        <v>2433</v>
      </c>
      <c r="D3208" s="36">
        <v>2519.38</v>
      </c>
      <c r="E3208" s="43" t="s">
        <v>3596</v>
      </c>
    </row>
    <row r="3209" spans="1:5" x14ac:dyDescent="0.35">
      <c r="A3209" s="40">
        <v>44596</v>
      </c>
      <c r="B3209" s="38">
        <v>-40</v>
      </c>
      <c r="C3209" s="13" t="s">
        <v>2275</v>
      </c>
      <c r="D3209" s="36">
        <v>2473.4899999999998</v>
      </c>
      <c r="E3209" s="43" t="s">
        <v>3596</v>
      </c>
    </row>
    <row r="3210" spans="1:5" x14ac:dyDescent="0.35">
      <c r="A3210" s="40">
        <v>44595</v>
      </c>
      <c r="B3210" s="38">
        <v>-760</v>
      </c>
      <c r="C3210" s="13" t="s">
        <v>1395</v>
      </c>
      <c r="D3210" s="36">
        <v>2697.43</v>
      </c>
      <c r="E3210" s="43" t="s">
        <v>3596</v>
      </c>
    </row>
    <row r="3211" spans="1:5" x14ac:dyDescent="0.35">
      <c r="A3211" s="40">
        <v>44595</v>
      </c>
      <c r="B3211" s="38">
        <v>2867.12</v>
      </c>
      <c r="C3211" s="13" t="s">
        <v>2431</v>
      </c>
      <c r="D3211" s="36">
        <v>3457.43</v>
      </c>
      <c r="E3211" s="43" t="s">
        <v>3596</v>
      </c>
    </row>
    <row r="3212" spans="1:5" x14ac:dyDescent="0.35">
      <c r="A3212" s="40">
        <v>44595</v>
      </c>
      <c r="B3212" s="38">
        <v>-142.16999999999999</v>
      </c>
      <c r="C3212" s="13" t="s">
        <v>2430</v>
      </c>
      <c r="D3212" s="36">
        <v>2555.2600000000002</v>
      </c>
      <c r="E3212" s="43" t="s">
        <v>3596</v>
      </c>
    </row>
    <row r="3213" spans="1:5" x14ac:dyDescent="0.35">
      <c r="A3213" s="40">
        <v>44593</v>
      </c>
      <c r="B3213" s="38">
        <v>-2000</v>
      </c>
      <c r="C3213" s="13" t="s">
        <v>2426</v>
      </c>
      <c r="D3213" s="36">
        <v>770.86</v>
      </c>
      <c r="E3213" s="43" t="s">
        <v>3596</v>
      </c>
    </row>
    <row r="3214" spans="1:5" x14ac:dyDescent="0.35">
      <c r="A3214" s="40">
        <v>44593</v>
      </c>
      <c r="B3214" s="38">
        <v>-21.34</v>
      </c>
      <c r="C3214" s="13" t="s">
        <v>2427</v>
      </c>
      <c r="D3214" s="36">
        <v>2170.86</v>
      </c>
      <c r="E3214" s="43" t="s">
        <v>3596</v>
      </c>
    </row>
    <row r="3215" spans="1:5" x14ac:dyDescent="0.35">
      <c r="A3215" s="40">
        <v>44593</v>
      </c>
      <c r="B3215" s="38">
        <v>600</v>
      </c>
      <c r="C3215" s="13" t="s">
        <v>1521</v>
      </c>
      <c r="D3215" s="36">
        <v>2770.86</v>
      </c>
      <c r="E3215" s="43" t="s">
        <v>3596</v>
      </c>
    </row>
    <row r="3216" spans="1:5" x14ac:dyDescent="0.35">
      <c r="A3216" s="40">
        <v>44593</v>
      </c>
      <c r="B3216" s="38">
        <v>-27.72</v>
      </c>
      <c r="C3216" s="13" t="s">
        <v>2428</v>
      </c>
      <c r="D3216" s="36">
        <v>2586.48</v>
      </c>
      <c r="E3216" s="43" t="s">
        <v>3596</v>
      </c>
    </row>
    <row r="3217" spans="1:5" x14ac:dyDescent="0.35">
      <c r="A3217" s="40">
        <v>44593</v>
      </c>
      <c r="B3217" s="38">
        <v>-180.55</v>
      </c>
      <c r="C3217" s="13" t="s">
        <v>2425</v>
      </c>
      <c r="D3217" s="36">
        <v>590.30999999999995</v>
      </c>
      <c r="E3217" s="43" t="s">
        <v>3596</v>
      </c>
    </row>
    <row r="3218" spans="1:5" x14ac:dyDescent="0.35">
      <c r="A3218" s="40">
        <v>44593</v>
      </c>
      <c r="B3218" s="38">
        <v>-20.170000000000002</v>
      </c>
      <c r="C3218" s="13" t="s">
        <v>2429</v>
      </c>
      <c r="D3218" s="36">
        <v>2614.1999999999998</v>
      </c>
      <c r="E3218" s="43" t="s">
        <v>3596</v>
      </c>
    </row>
    <row r="3219" spans="1:5" x14ac:dyDescent="0.35">
      <c r="A3219" s="40">
        <v>44593</v>
      </c>
      <c r="B3219" s="38">
        <v>-394.28</v>
      </c>
      <c r="C3219" s="13" t="s">
        <v>3663</v>
      </c>
      <c r="D3219" s="36">
        <v>2192.1999999999998</v>
      </c>
      <c r="E3219" s="43" t="s">
        <v>3596</v>
      </c>
    </row>
    <row r="3220" spans="1:5" x14ac:dyDescent="0.35">
      <c r="A3220" s="40">
        <v>44589</v>
      </c>
      <c r="B3220" s="38">
        <v>-44.59</v>
      </c>
      <c r="C3220" s="13" t="s">
        <v>2424</v>
      </c>
      <c r="D3220" s="36">
        <v>2634.37</v>
      </c>
      <c r="E3220" s="43" t="s">
        <v>3596</v>
      </c>
    </row>
    <row r="3221" spans="1:5" x14ac:dyDescent="0.35">
      <c r="A3221" s="40">
        <v>44586</v>
      </c>
      <c r="B3221" s="38">
        <v>-19.64</v>
      </c>
      <c r="C3221" s="13" t="s">
        <v>2422</v>
      </c>
      <c r="D3221" s="36">
        <v>2906.63</v>
      </c>
      <c r="E3221" s="43" t="s">
        <v>3596</v>
      </c>
    </row>
    <row r="3222" spans="1:5" x14ac:dyDescent="0.35">
      <c r="A3222" s="40">
        <v>44586</v>
      </c>
      <c r="B3222" s="38">
        <v>-34.700000000000003</v>
      </c>
      <c r="C3222" s="13" t="s">
        <v>2419</v>
      </c>
      <c r="D3222" s="36">
        <v>2817.67</v>
      </c>
      <c r="E3222" s="43" t="s">
        <v>3596</v>
      </c>
    </row>
    <row r="3223" spans="1:5" x14ac:dyDescent="0.35">
      <c r="A3223" s="40">
        <v>44586</v>
      </c>
      <c r="B3223" s="38">
        <v>-4.5</v>
      </c>
      <c r="C3223" s="13" t="s">
        <v>2420</v>
      </c>
      <c r="D3223" s="36">
        <v>2852.37</v>
      </c>
      <c r="E3223" s="43" t="s">
        <v>3596</v>
      </c>
    </row>
    <row r="3224" spans="1:5" x14ac:dyDescent="0.35">
      <c r="A3224" s="40">
        <v>44586</v>
      </c>
      <c r="B3224" s="38">
        <v>-13.4</v>
      </c>
      <c r="C3224" s="13" t="s">
        <v>2420</v>
      </c>
      <c r="D3224" s="36">
        <v>2856.87</v>
      </c>
      <c r="E3224" s="43" t="s">
        <v>3596</v>
      </c>
    </row>
    <row r="3225" spans="1:5" x14ac:dyDescent="0.35">
      <c r="A3225" s="40">
        <v>44586</v>
      </c>
      <c r="B3225" s="38">
        <v>-15.87</v>
      </c>
      <c r="C3225" s="13" t="s">
        <v>2360</v>
      </c>
      <c r="D3225" s="36">
        <v>2761.13</v>
      </c>
      <c r="E3225" s="43" t="s">
        <v>3596</v>
      </c>
    </row>
    <row r="3226" spans="1:5" x14ac:dyDescent="0.35">
      <c r="A3226" s="40">
        <v>44586</v>
      </c>
      <c r="B3226" s="38">
        <v>-82.17</v>
      </c>
      <c r="C3226" s="13" t="s">
        <v>2417</v>
      </c>
      <c r="D3226" s="36">
        <v>2678.96</v>
      </c>
      <c r="E3226" s="43" t="s">
        <v>3596</v>
      </c>
    </row>
    <row r="3227" spans="1:5" x14ac:dyDescent="0.35">
      <c r="A3227" s="40">
        <v>44586</v>
      </c>
      <c r="B3227" s="38">
        <v>-36.36</v>
      </c>
      <c r="C3227" s="13" t="s">
        <v>2421</v>
      </c>
      <c r="D3227" s="36">
        <v>2870.27</v>
      </c>
      <c r="E3227" s="43" t="s">
        <v>3596</v>
      </c>
    </row>
    <row r="3228" spans="1:5" x14ac:dyDescent="0.35">
      <c r="A3228" s="40">
        <v>44586</v>
      </c>
      <c r="B3228" s="38">
        <v>-40.67</v>
      </c>
      <c r="C3228" s="13" t="s">
        <v>2418</v>
      </c>
      <c r="D3228" s="36">
        <v>2777</v>
      </c>
      <c r="E3228" s="43" t="s">
        <v>3596</v>
      </c>
    </row>
    <row r="3229" spans="1:5" x14ac:dyDescent="0.35">
      <c r="A3229" s="40">
        <v>44586</v>
      </c>
      <c r="B3229" s="38">
        <v>-37.86</v>
      </c>
      <c r="C3229" s="13" t="s">
        <v>2423</v>
      </c>
      <c r="D3229" s="36">
        <v>2926.27</v>
      </c>
      <c r="E3229" s="43" t="s">
        <v>3596</v>
      </c>
    </row>
    <row r="3230" spans="1:5" x14ac:dyDescent="0.35">
      <c r="A3230" s="40">
        <v>44584</v>
      </c>
      <c r="B3230" s="38">
        <v>-15</v>
      </c>
      <c r="C3230" s="13" t="s">
        <v>1632</v>
      </c>
      <c r="D3230" s="36">
        <v>2964.13</v>
      </c>
      <c r="E3230" s="43" t="s">
        <v>3596</v>
      </c>
    </row>
    <row r="3231" spans="1:5" x14ac:dyDescent="0.35">
      <c r="A3231" s="40">
        <v>44583</v>
      </c>
      <c r="B3231" s="38">
        <v>-50</v>
      </c>
      <c r="C3231" s="13" t="s">
        <v>2400</v>
      </c>
      <c r="D3231" s="36">
        <v>2999.13</v>
      </c>
      <c r="E3231" s="43" t="s">
        <v>3596</v>
      </c>
    </row>
    <row r="3232" spans="1:5" x14ac:dyDescent="0.35">
      <c r="A3232" s="40">
        <v>44583</v>
      </c>
      <c r="B3232" s="38">
        <v>-20</v>
      </c>
      <c r="C3232" s="13" t="s">
        <v>2416</v>
      </c>
      <c r="D3232" s="36">
        <v>2979.13</v>
      </c>
      <c r="E3232" s="43" t="s">
        <v>3596</v>
      </c>
    </row>
    <row r="3233" spans="1:5" x14ac:dyDescent="0.35">
      <c r="A3233" s="40">
        <v>44582</v>
      </c>
      <c r="B3233" s="38">
        <v>-55</v>
      </c>
      <c r="C3233" s="13" t="s">
        <v>2415</v>
      </c>
      <c r="D3233" s="36">
        <v>3049.13</v>
      </c>
      <c r="E3233" s="43" t="s">
        <v>3596</v>
      </c>
    </row>
    <row r="3234" spans="1:5" x14ac:dyDescent="0.35">
      <c r="A3234" s="40">
        <v>44581</v>
      </c>
      <c r="B3234" s="38">
        <v>-760</v>
      </c>
      <c r="C3234" s="13" t="s">
        <v>1395</v>
      </c>
      <c r="D3234" s="36">
        <v>3551.58</v>
      </c>
      <c r="E3234" s="43" t="s">
        <v>3596</v>
      </c>
    </row>
    <row r="3235" spans="1:5" x14ac:dyDescent="0.35">
      <c r="A3235" s="40">
        <v>44581</v>
      </c>
      <c r="B3235" s="38">
        <v>2248.56</v>
      </c>
      <c r="C3235" s="13" t="s">
        <v>2414</v>
      </c>
      <c r="D3235" s="36">
        <v>4311.58</v>
      </c>
      <c r="E3235" s="43" t="s">
        <v>3596</v>
      </c>
    </row>
    <row r="3236" spans="1:5" x14ac:dyDescent="0.35">
      <c r="A3236" s="40">
        <v>44581</v>
      </c>
      <c r="B3236" s="38">
        <v>-30.45</v>
      </c>
      <c r="C3236" s="13" t="s">
        <v>2413</v>
      </c>
      <c r="D3236" s="36">
        <v>3521.13</v>
      </c>
      <c r="E3236" s="43" t="s">
        <v>3596</v>
      </c>
    </row>
    <row r="3237" spans="1:5" x14ac:dyDescent="0.35">
      <c r="A3237" s="40">
        <v>44581</v>
      </c>
      <c r="B3237" s="38">
        <v>-29</v>
      </c>
      <c r="C3237" s="13" t="s">
        <v>2411</v>
      </c>
      <c r="D3237" s="36">
        <v>3104.13</v>
      </c>
      <c r="E3237" s="43" t="s">
        <v>3596</v>
      </c>
    </row>
    <row r="3238" spans="1:5" x14ac:dyDescent="0.35">
      <c r="A3238" s="40">
        <v>44581</v>
      </c>
      <c r="B3238" s="38">
        <v>-388</v>
      </c>
      <c r="C3238" s="13" t="s">
        <v>2412</v>
      </c>
      <c r="D3238" s="36">
        <v>3133.13</v>
      </c>
      <c r="E3238" s="43" t="s">
        <v>3596</v>
      </c>
    </row>
    <row r="3239" spans="1:5" x14ac:dyDescent="0.35">
      <c r="A3239" s="40">
        <v>44580</v>
      </c>
      <c r="B3239" s="38">
        <v>-478.73</v>
      </c>
      <c r="C3239" s="13" t="s">
        <v>2410</v>
      </c>
      <c r="D3239" s="36">
        <v>2114.36</v>
      </c>
      <c r="E3239" s="43" t="s">
        <v>3596</v>
      </c>
    </row>
    <row r="3240" spans="1:5" x14ac:dyDescent="0.35">
      <c r="A3240" s="40">
        <v>44580</v>
      </c>
      <c r="B3240" s="38">
        <v>-1.5</v>
      </c>
      <c r="C3240" s="13" t="s">
        <v>2408</v>
      </c>
      <c r="D3240" s="36">
        <v>2063.02</v>
      </c>
      <c r="E3240" s="43" t="s">
        <v>3596</v>
      </c>
    </row>
    <row r="3241" spans="1:5" x14ac:dyDescent="0.35">
      <c r="A3241" s="40">
        <v>44580</v>
      </c>
      <c r="B3241" s="38">
        <v>-49.84</v>
      </c>
      <c r="C3241" s="13" t="s">
        <v>2409</v>
      </c>
      <c r="D3241" s="36">
        <v>2064.52</v>
      </c>
      <c r="E3241" s="43" t="s">
        <v>3596</v>
      </c>
    </row>
    <row r="3242" spans="1:5" x14ac:dyDescent="0.35">
      <c r="A3242" s="40">
        <v>44579</v>
      </c>
      <c r="B3242" s="38">
        <v>-37.9</v>
      </c>
      <c r="C3242" s="13" t="s">
        <v>2407</v>
      </c>
      <c r="D3242" s="36">
        <v>2593.09</v>
      </c>
      <c r="E3242" s="43" t="s">
        <v>3596</v>
      </c>
    </row>
    <row r="3243" spans="1:5" x14ac:dyDescent="0.35">
      <c r="A3243" s="40">
        <v>44576</v>
      </c>
      <c r="B3243" s="38">
        <v>47</v>
      </c>
      <c r="C3243" s="13" t="s">
        <v>2406</v>
      </c>
      <c r="D3243" s="36">
        <v>2630.99</v>
      </c>
      <c r="E3243" s="43" t="s">
        <v>3596</v>
      </c>
    </row>
    <row r="3244" spans="1:5" x14ac:dyDescent="0.35">
      <c r="A3244" s="40">
        <v>44575</v>
      </c>
      <c r="B3244" s="38">
        <v>-97.06</v>
      </c>
      <c r="C3244" s="13" t="s">
        <v>2404</v>
      </c>
      <c r="D3244" s="36">
        <v>2583.9899999999998</v>
      </c>
      <c r="E3244" s="43" t="s">
        <v>3596</v>
      </c>
    </row>
    <row r="3245" spans="1:5" x14ac:dyDescent="0.35">
      <c r="A3245" s="40">
        <v>44575</v>
      </c>
      <c r="B3245" s="38">
        <v>-185.64</v>
      </c>
      <c r="C3245" s="13" t="s">
        <v>2405</v>
      </c>
      <c r="D3245" s="36">
        <v>2681.05</v>
      </c>
      <c r="E3245" s="43" t="s">
        <v>3596</v>
      </c>
    </row>
    <row r="3246" spans="1:5" x14ac:dyDescent="0.35">
      <c r="A3246" s="40">
        <v>44573</v>
      </c>
      <c r="B3246" s="38">
        <v>-8</v>
      </c>
      <c r="C3246" s="13" t="s">
        <v>2403</v>
      </c>
      <c r="D3246" s="36">
        <v>2876.68</v>
      </c>
      <c r="E3246" s="43" t="s">
        <v>3596</v>
      </c>
    </row>
    <row r="3247" spans="1:5" x14ac:dyDescent="0.35">
      <c r="A3247" s="40">
        <v>44573</v>
      </c>
      <c r="B3247" s="38">
        <v>-9.99</v>
      </c>
      <c r="C3247" s="13" t="s">
        <v>2402</v>
      </c>
      <c r="D3247" s="36">
        <v>2866.69</v>
      </c>
      <c r="E3247" s="43" t="s">
        <v>3596</v>
      </c>
    </row>
    <row r="3248" spans="1:5" x14ac:dyDescent="0.35">
      <c r="A3248" s="40">
        <v>44571</v>
      </c>
      <c r="B3248" s="38">
        <v>-10.59</v>
      </c>
      <c r="C3248" s="13" t="s">
        <v>2360</v>
      </c>
      <c r="D3248" s="36">
        <v>2884.68</v>
      </c>
      <c r="E3248" s="43" t="s">
        <v>3596</v>
      </c>
    </row>
    <row r="3249" spans="1:5" x14ac:dyDescent="0.35">
      <c r="A3249" s="40">
        <v>44570</v>
      </c>
      <c r="B3249" s="38">
        <v>15.39</v>
      </c>
      <c r="C3249" s="13" t="s">
        <v>2401</v>
      </c>
      <c r="D3249" s="36">
        <v>2900.02</v>
      </c>
      <c r="E3249" s="43" t="s">
        <v>3596</v>
      </c>
    </row>
    <row r="3250" spans="1:5" x14ac:dyDescent="0.35">
      <c r="A3250" s="40">
        <v>44570</v>
      </c>
      <c r="B3250" s="38">
        <v>-4.75</v>
      </c>
      <c r="C3250" s="13" t="s">
        <v>1584</v>
      </c>
      <c r="D3250" s="36">
        <v>2895.27</v>
      </c>
      <c r="E3250" s="43" t="s">
        <v>3596</v>
      </c>
    </row>
    <row r="3251" spans="1:5" x14ac:dyDescent="0.35">
      <c r="A3251" s="40">
        <v>44570</v>
      </c>
      <c r="B3251" s="38">
        <v>-53.39</v>
      </c>
      <c r="C3251" s="13" t="s">
        <v>1654</v>
      </c>
      <c r="D3251" s="36">
        <v>2884.63</v>
      </c>
      <c r="E3251" s="43" t="s">
        <v>3596</v>
      </c>
    </row>
    <row r="3252" spans="1:5" x14ac:dyDescent="0.35">
      <c r="A3252" s="40">
        <v>44568</v>
      </c>
      <c r="B3252" s="38">
        <v>25</v>
      </c>
      <c r="C3252" s="13" t="s">
        <v>2399</v>
      </c>
      <c r="D3252" s="36">
        <v>2938.02</v>
      </c>
      <c r="E3252" s="43" t="s">
        <v>3596</v>
      </c>
    </row>
    <row r="3253" spans="1:5" x14ac:dyDescent="0.35">
      <c r="A3253" s="40">
        <v>44568</v>
      </c>
      <c r="B3253" s="38">
        <v>-69.5</v>
      </c>
      <c r="C3253" s="13" t="s">
        <v>2400</v>
      </c>
      <c r="D3253" s="36">
        <v>2913.02</v>
      </c>
      <c r="E3253" s="43" t="s">
        <v>3596</v>
      </c>
    </row>
    <row r="3254" spans="1:5" x14ac:dyDescent="0.35">
      <c r="A3254" s="40">
        <v>44567</v>
      </c>
      <c r="B3254" s="38">
        <v>-760</v>
      </c>
      <c r="C3254" s="13" t="s">
        <v>1395</v>
      </c>
      <c r="D3254" s="36">
        <v>3022.97</v>
      </c>
      <c r="E3254" s="43" t="s">
        <v>3596</v>
      </c>
    </row>
    <row r="3255" spans="1:5" x14ac:dyDescent="0.35">
      <c r="A3255" s="40">
        <v>44567</v>
      </c>
      <c r="B3255" s="38">
        <v>2248.5500000000002</v>
      </c>
      <c r="C3255" s="13" t="s">
        <v>2398</v>
      </c>
      <c r="D3255" s="36">
        <v>3782.97</v>
      </c>
      <c r="E3255" s="43" t="s">
        <v>3596</v>
      </c>
    </row>
    <row r="3256" spans="1:5" x14ac:dyDescent="0.35">
      <c r="A3256" s="40">
        <v>44567</v>
      </c>
      <c r="B3256" s="38">
        <v>-40.450000000000003</v>
      </c>
      <c r="C3256" s="13" t="s">
        <v>2397</v>
      </c>
      <c r="D3256" s="36">
        <v>2982.52</v>
      </c>
      <c r="E3256" s="43" t="s">
        <v>3596</v>
      </c>
    </row>
    <row r="3257" spans="1:5" x14ac:dyDescent="0.35">
      <c r="A3257" s="40">
        <v>44566</v>
      </c>
      <c r="B3257" s="38">
        <v>11.46</v>
      </c>
      <c r="C3257" s="13" t="s">
        <v>2394</v>
      </c>
      <c r="D3257" s="36">
        <v>1562.47</v>
      </c>
      <c r="E3257" s="43" t="s">
        <v>3596</v>
      </c>
    </row>
    <row r="3258" spans="1:5" x14ac:dyDescent="0.35">
      <c r="A3258" s="40">
        <v>44566</v>
      </c>
      <c r="B3258" s="38">
        <v>-28.05</v>
      </c>
      <c r="C3258" s="13" t="s">
        <v>2393</v>
      </c>
      <c r="D3258" s="36">
        <v>1534.42</v>
      </c>
      <c r="E3258" s="43" t="s">
        <v>3596</v>
      </c>
    </row>
    <row r="3259" spans="1:5" x14ac:dyDescent="0.35">
      <c r="A3259" s="40">
        <v>44566</v>
      </c>
      <c r="B3259" s="38">
        <v>-55</v>
      </c>
      <c r="C3259" s="13" t="s">
        <v>2395</v>
      </c>
      <c r="D3259" s="36">
        <v>1551.01</v>
      </c>
      <c r="E3259" s="43" t="s">
        <v>3596</v>
      </c>
    </row>
    <row r="3260" spans="1:5" x14ac:dyDescent="0.35">
      <c r="A3260" s="40">
        <v>44566</v>
      </c>
      <c r="B3260" s="38">
        <v>-0.15</v>
      </c>
      <c r="C3260" s="13" t="s">
        <v>2396</v>
      </c>
      <c r="D3260" s="36">
        <v>1606.01</v>
      </c>
      <c r="E3260" s="43" t="s">
        <v>3596</v>
      </c>
    </row>
    <row r="3261" spans="1:5" x14ac:dyDescent="0.35">
      <c r="A3261" s="40">
        <v>44566</v>
      </c>
      <c r="B3261" s="38">
        <v>-60.43</v>
      </c>
      <c r="C3261" s="13" t="s">
        <v>2396</v>
      </c>
      <c r="D3261" s="36">
        <v>1606.16</v>
      </c>
      <c r="E3261" s="43" t="s">
        <v>3596</v>
      </c>
    </row>
    <row r="3262" spans="1:5" x14ac:dyDescent="0.35">
      <c r="A3262" s="40">
        <v>44565</v>
      </c>
      <c r="B3262" s="38">
        <v>-2500</v>
      </c>
      <c r="C3262" s="13" t="s">
        <v>2391</v>
      </c>
      <c r="D3262" s="36">
        <v>1871.14</v>
      </c>
      <c r="E3262" s="43" t="s">
        <v>3596</v>
      </c>
    </row>
    <row r="3263" spans="1:5" x14ac:dyDescent="0.35">
      <c r="A3263" s="40">
        <v>44565</v>
      </c>
      <c r="B3263" s="38">
        <v>2500</v>
      </c>
      <c r="C3263" s="13" t="s">
        <v>2392</v>
      </c>
      <c r="D3263" s="36">
        <v>4371.1400000000003</v>
      </c>
      <c r="E3263" s="43" t="s">
        <v>3596</v>
      </c>
    </row>
    <row r="3264" spans="1:5" x14ac:dyDescent="0.35">
      <c r="A3264" s="40">
        <v>44565</v>
      </c>
      <c r="B3264" s="38">
        <v>-180.55</v>
      </c>
      <c r="C3264" s="13" t="s">
        <v>2389</v>
      </c>
      <c r="D3264" s="36">
        <v>1666.59</v>
      </c>
      <c r="E3264" s="43" t="s">
        <v>3596</v>
      </c>
    </row>
    <row r="3265" spans="1:5" x14ac:dyDescent="0.35">
      <c r="A3265" s="40">
        <v>44565</v>
      </c>
      <c r="B3265" s="38">
        <v>-24</v>
      </c>
      <c r="C3265" s="13" t="s">
        <v>2390</v>
      </c>
      <c r="D3265" s="36">
        <v>1847.14</v>
      </c>
      <c r="E3265" s="43" t="s">
        <v>3596</v>
      </c>
    </row>
    <row r="3266" spans="1:5" x14ac:dyDescent="0.35">
      <c r="A3266" s="40">
        <v>44562</v>
      </c>
      <c r="B3266" s="38">
        <v>53.1</v>
      </c>
      <c r="C3266" s="13" t="s">
        <v>2388</v>
      </c>
      <c r="D3266" s="36">
        <v>1871.14</v>
      </c>
      <c r="E3266" s="43" t="s">
        <v>3596</v>
      </c>
    </row>
    <row r="3267" spans="1:5" x14ac:dyDescent="0.35">
      <c r="A3267" s="40">
        <v>44561</v>
      </c>
      <c r="B3267" s="38">
        <v>-23.67</v>
      </c>
      <c r="C3267" s="13" t="s">
        <v>2386</v>
      </c>
      <c r="D3267" s="36">
        <v>1883.39</v>
      </c>
      <c r="E3267" s="43" t="s">
        <v>3596</v>
      </c>
    </row>
    <row r="3268" spans="1:5" x14ac:dyDescent="0.35">
      <c r="A3268" s="40">
        <v>44561</v>
      </c>
      <c r="B3268" s="38">
        <v>-35.950000000000003</v>
      </c>
      <c r="C3268" s="13" t="s">
        <v>2387</v>
      </c>
      <c r="D3268" s="36">
        <v>1907.06</v>
      </c>
      <c r="E3268" s="43" t="s">
        <v>3596</v>
      </c>
    </row>
    <row r="3269" spans="1:5" x14ac:dyDescent="0.35">
      <c r="A3269" s="40">
        <v>44561</v>
      </c>
      <c r="B3269" s="38">
        <v>-65.349999999999994</v>
      </c>
      <c r="C3269" s="13" t="s">
        <v>2275</v>
      </c>
      <c r="D3269" s="36">
        <v>1818.04</v>
      </c>
      <c r="E3269" s="43" t="s">
        <v>3596</v>
      </c>
    </row>
    <row r="3270" spans="1:5" x14ac:dyDescent="0.35">
      <c r="A3270" s="40">
        <v>44560</v>
      </c>
      <c r="B3270" s="38">
        <v>219</v>
      </c>
      <c r="C3270" s="13" t="s">
        <v>2385</v>
      </c>
      <c r="D3270" s="36">
        <v>2145.98</v>
      </c>
      <c r="E3270" s="43" t="s">
        <v>3596</v>
      </c>
    </row>
    <row r="3271" spans="1:5" x14ac:dyDescent="0.35">
      <c r="A3271" s="40">
        <v>44560</v>
      </c>
      <c r="B3271" s="38">
        <v>-53.1</v>
      </c>
      <c r="C3271" s="13" t="s">
        <v>2381</v>
      </c>
      <c r="D3271" s="36">
        <v>1943.01</v>
      </c>
      <c r="E3271" s="43" t="s">
        <v>3596</v>
      </c>
    </row>
    <row r="3272" spans="1:5" x14ac:dyDescent="0.35">
      <c r="A3272" s="40">
        <v>44560</v>
      </c>
      <c r="B3272" s="38">
        <v>-53.1</v>
      </c>
      <c r="C3272" s="13" t="s">
        <v>2381</v>
      </c>
      <c r="D3272" s="36">
        <v>1996.11</v>
      </c>
      <c r="E3272" s="43" t="s">
        <v>3596</v>
      </c>
    </row>
    <row r="3273" spans="1:5" x14ac:dyDescent="0.35">
      <c r="A3273" s="40">
        <v>44560</v>
      </c>
      <c r="B3273" s="38">
        <v>-44.59</v>
      </c>
      <c r="C3273" s="13" t="s">
        <v>2382</v>
      </c>
      <c r="D3273" s="36">
        <v>2049.21</v>
      </c>
      <c r="E3273" s="43" t="s">
        <v>3596</v>
      </c>
    </row>
    <row r="3274" spans="1:5" x14ac:dyDescent="0.35">
      <c r="A3274" s="40">
        <v>44560</v>
      </c>
      <c r="B3274" s="38">
        <v>-16.489999999999998</v>
      </c>
      <c r="C3274" s="13" t="s">
        <v>2384</v>
      </c>
      <c r="D3274" s="36">
        <v>2129.4899999999998</v>
      </c>
      <c r="E3274" s="43" t="s">
        <v>3596</v>
      </c>
    </row>
    <row r="3275" spans="1:5" x14ac:dyDescent="0.35">
      <c r="A3275" s="40">
        <v>44560</v>
      </c>
      <c r="B3275" s="38">
        <v>-26.49</v>
      </c>
      <c r="C3275" s="13" t="s">
        <v>2383</v>
      </c>
      <c r="D3275" s="36">
        <v>2093.8000000000002</v>
      </c>
      <c r="E3275" s="43" t="s">
        <v>3596</v>
      </c>
    </row>
    <row r="3276" spans="1:5" x14ac:dyDescent="0.35">
      <c r="A3276" s="40">
        <v>44560</v>
      </c>
      <c r="B3276" s="38">
        <v>-9.1999999999999993</v>
      </c>
      <c r="C3276" s="13" t="s">
        <v>2383</v>
      </c>
      <c r="D3276" s="36">
        <v>2120.29</v>
      </c>
      <c r="E3276" s="43" t="s">
        <v>3596</v>
      </c>
    </row>
    <row r="3277" spans="1:5" x14ac:dyDescent="0.35">
      <c r="A3277" s="40">
        <v>44557</v>
      </c>
      <c r="B3277" s="38">
        <v>-48.65</v>
      </c>
      <c r="C3277" s="13" t="s">
        <v>2380</v>
      </c>
      <c r="D3277" s="36">
        <v>1926.98</v>
      </c>
      <c r="E3277" s="43" t="s">
        <v>3596</v>
      </c>
    </row>
    <row r="3278" spans="1:5" x14ac:dyDescent="0.35">
      <c r="A3278" s="40">
        <v>44556</v>
      </c>
      <c r="B3278" s="39">
        <v>-14</v>
      </c>
      <c r="C3278" s="14" t="s">
        <v>2379</v>
      </c>
      <c r="D3278" s="37">
        <v>1975.63</v>
      </c>
      <c r="E3278" s="43" t="s">
        <v>3596</v>
      </c>
    </row>
    <row r="3279" spans="1:5" x14ac:dyDescent="0.35">
      <c r="A3279" s="40">
        <v>44555</v>
      </c>
      <c r="B3279" s="38">
        <v>-299</v>
      </c>
      <c r="C3279" s="13" t="s">
        <v>2377</v>
      </c>
      <c r="D3279" s="36">
        <v>1989.63</v>
      </c>
      <c r="E3279" s="43" t="s">
        <v>3596</v>
      </c>
    </row>
    <row r="3280" spans="1:5" x14ac:dyDescent="0.35">
      <c r="A3280" s="40">
        <v>44555</v>
      </c>
      <c r="B3280" s="38">
        <v>-299</v>
      </c>
      <c r="C3280" s="13" t="s">
        <v>2377</v>
      </c>
      <c r="D3280" s="36">
        <v>2288.63</v>
      </c>
      <c r="E3280" s="43" t="s">
        <v>3596</v>
      </c>
    </row>
    <row r="3281" spans="1:5" x14ac:dyDescent="0.35">
      <c r="A3281" s="40">
        <v>44555</v>
      </c>
      <c r="B3281" s="38">
        <v>-60</v>
      </c>
      <c r="C3281" s="13" t="s">
        <v>2378</v>
      </c>
      <c r="D3281" s="36">
        <v>2587.63</v>
      </c>
      <c r="E3281" s="43" t="s">
        <v>3596</v>
      </c>
    </row>
    <row r="3282" spans="1:5" x14ac:dyDescent="0.35">
      <c r="A3282" s="40">
        <v>44554</v>
      </c>
      <c r="B3282" s="38">
        <v>150</v>
      </c>
      <c r="C3282" s="13" t="s">
        <v>2376</v>
      </c>
      <c r="D3282" s="36">
        <v>2664.33</v>
      </c>
      <c r="E3282" s="43" t="s">
        <v>3596</v>
      </c>
    </row>
    <row r="3283" spans="1:5" x14ac:dyDescent="0.35">
      <c r="A3283" s="40">
        <v>44554</v>
      </c>
      <c r="B3283" s="38">
        <v>-16.7</v>
      </c>
      <c r="C3283" s="13" t="s">
        <v>2375</v>
      </c>
      <c r="D3283" s="36">
        <v>2647.63</v>
      </c>
      <c r="E3283" s="43" t="s">
        <v>3596</v>
      </c>
    </row>
    <row r="3284" spans="1:5" x14ac:dyDescent="0.35">
      <c r="A3284" s="40">
        <v>44553</v>
      </c>
      <c r="B3284" s="38">
        <v>-760</v>
      </c>
      <c r="C3284" s="13" t="s">
        <v>1395</v>
      </c>
      <c r="D3284" s="36">
        <v>2734.84</v>
      </c>
      <c r="E3284" s="43" t="s">
        <v>3596</v>
      </c>
    </row>
    <row r="3285" spans="1:5" x14ac:dyDescent="0.35">
      <c r="A3285" s="40">
        <v>44553</v>
      </c>
      <c r="B3285" s="38">
        <v>2248.56</v>
      </c>
      <c r="C3285" s="13" t="s">
        <v>2374</v>
      </c>
      <c r="D3285" s="36">
        <v>3494.84</v>
      </c>
      <c r="E3285" s="43" t="s">
        <v>3596</v>
      </c>
    </row>
    <row r="3286" spans="1:5" x14ac:dyDescent="0.35">
      <c r="A3286" s="40">
        <v>44553</v>
      </c>
      <c r="B3286" s="38">
        <v>-59</v>
      </c>
      <c r="C3286" s="13" t="s">
        <v>2372</v>
      </c>
      <c r="D3286" s="36">
        <v>2648.73</v>
      </c>
      <c r="E3286" s="43" t="s">
        <v>3596</v>
      </c>
    </row>
    <row r="3287" spans="1:5" x14ac:dyDescent="0.35">
      <c r="A3287" s="40">
        <v>44553</v>
      </c>
      <c r="B3287" s="38">
        <v>-10.85</v>
      </c>
      <c r="C3287" s="13" t="s">
        <v>1584</v>
      </c>
      <c r="D3287" s="36">
        <v>2707.73</v>
      </c>
      <c r="E3287" s="43" t="s">
        <v>3596</v>
      </c>
    </row>
    <row r="3288" spans="1:5" x14ac:dyDescent="0.35">
      <c r="A3288" s="40">
        <v>44553</v>
      </c>
      <c r="B3288" s="38">
        <v>-3.05</v>
      </c>
      <c r="C3288" s="13" t="s">
        <v>2373</v>
      </c>
      <c r="D3288" s="36">
        <v>2718.58</v>
      </c>
      <c r="E3288" s="43" t="s">
        <v>3596</v>
      </c>
    </row>
    <row r="3289" spans="1:5" x14ac:dyDescent="0.35">
      <c r="A3289" s="40">
        <v>44553</v>
      </c>
      <c r="B3289" s="38">
        <v>-13.21</v>
      </c>
      <c r="C3289" s="13" t="s">
        <v>2373</v>
      </c>
      <c r="D3289" s="36">
        <v>2721.63</v>
      </c>
      <c r="E3289" s="43" t="s">
        <v>3596</v>
      </c>
    </row>
    <row r="3290" spans="1:5" x14ac:dyDescent="0.35">
      <c r="A3290" s="40">
        <v>44553</v>
      </c>
      <c r="B3290" s="38">
        <v>-134.4</v>
      </c>
      <c r="C3290" s="13" t="s">
        <v>2371</v>
      </c>
      <c r="D3290" s="36">
        <v>2514.33</v>
      </c>
      <c r="E3290" s="43" t="s">
        <v>3596</v>
      </c>
    </row>
    <row r="3291" spans="1:5" x14ac:dyDescent="0.35">
      <c r="A3291" s="40">
        <v>44552</v>
      </c>
      <c r="B3291" s="38">
        <v>-5.4</v>
      </c>
      <c r="C3291" s="13" t="s">
        <v>2368</v>
      </c>
      <c r="D3291" s="36">
        <v>1246.28</v>
      </c>
      <c r="E3291" s="43" t="s">
        <v>3596</v>
      </c>
    </row>
    <row r="3292" spans="1:5" x14ac:dyDescent="0.35">
      <c r="A3292" s="40">
        <v>44552</v>
      </c>
      <c r="B3292" s="38">
        <v>-14.98</v>
      </c>
      <c r="C3292" s="13" t="s">
        <v>2369</v>
      </c>
      <c r="D3292" s="36">
        <v>1251.68</v>
      </c>
      <c r="E3292" s="43" t="s">
        <v>3596</v>
      </c>
    </row>
    <row r="3293" spans="1:5" x14ac:dyDescent="0.35">
      <c r="A3293" s="40">
        <v>44552</v>
      </c>
      <c r="B3293" s="38">
        <v>-32.5</v>
      </c>
      <c r="C3293" s="13" t="s">
        <v>2369</v>
      </c>
      <c r="D3293" s="36">
        <v>1266.6600000000001</v>
      </c>
      <c r="E3293" s="43" t="s">
        <v>3596</v>
      </c>
    </row>
    <row r="3294" spans="1:5" x14ac:dyDescent="0.35">
      <c r="A3294" s="40">
        <v>44552</v>
      </c>
      <c r="B3294" s="38">
        <v>-14.99</v>
      </c>
      <c r="C3294" s="13" t="s">
        <v>2370</v>
      </c>
      <c r="D3294" s="36">
        <v>1299.1600000000001</v>
      </c>
      <c r="E3294" s="43" t="s">
        <v>3596</v>
      </c>
    </row>
    <row r="3295" spans="1:5" x14ac:dyDescent="0.35">
      <c r="A3295" s="40">
        <v>44551</v>
      </c>
      <c r="B3295" s="38">
        <v>-10.119999999999999</v>
      </c>
      <c r="C3295" s="13" t="s">
        <v>2367</v>
      </c>
      <c r="D3295" s="36">
        <v>2639.16</v>
      </c>
      <c r="E3295" s="43" t="s">
        <v>3596</v>
      </c>
    </row>
    <row r="3296" spans="1:5" x14ac:dyDescent="0.35">
      <c r="A3296" s="40">
        <v>44551</v>
      </c>
      <c r="B3296" s="38">
        <v>-23.28</v>
      </c>
      <c r="C3296" s="13" t="s">
        <v>2367</v>
      </c>
      <c r="D3296" s="36">
        <v>2649.28</v>
      </c>
      <c r="E3296" s="43" t="s">
        <v>3596</v>
      </c>
    </row>
    <row r="3297" spans="1:5" x14ac:dyDescent="0.35">
      <c r="A3297" s="40">
        <v>44551</v>
      </c>
      <c r="B3297" s="38">
        <v>-9.41</v>
      </c>
      <c r="C3297" s="13" t="s">
        <v>2367</v>
      </c>
      <c r="D3297" s="36">
        <v>2672.56</v>
      </c>
      <c r="E3297" s="43" t="s">
        <v>3596</v>
      </c>
    </row>
    <row r="3298" spans="1:5" x14ac:dyDescent="0.35">
      <c r="A3298" s="40">
        <v>44551</v>
      </c>
      <c r="B3298" s="38">
        <v>-893.25</v>
      </c>
      <c r="C3298" s="13" t="s">
        <v>2362</v>
      </c>
      <c r="D3298" s="36">
        <v>1314.15</v>
      </c>
      <c r="E3298" s="43" t="s">
        <v>3596</v>
      </c>
    </row>
    <row r="3299" spans="1:5" x14ac:dyDescent="0.35">
      <c r="A3299" s="40">
        <v>44551</v>
      </c>
      <c r="B3299" s="38">
        <v>-149</v>
      </c>
      <c r="C3299" s="13" t="s">
        <v>2365</v>
      </c>
      <c r="D3299" s="36">
        <v>2488.7600000000002</v>
      </c>
      <c r="E3299" s="43" t="s">
        <v>3596</v>
      </c>
    </row>
    <row r="3300" spans="1:5" x14ac:dyDescent="0.35">
      <c r="A3300" s="40">
        <v>44551</v>
      </c>
      <c r="B3300" s="38">
        <v>-33.39</v>
      </c>
      <c r="C3300" s="13" t="s">
        <v>2363</v>
      </c>
      <c r="D3300" s="36">
        <v>2207.4</v>
      </c>
      <c r="E3300" s="43" t="s">
        <v>3596</v>
      </c>
    </row>
    <row r="3301" spans="1:5" x14ac:dyDescent="0.35">
      <c r="A3301" s="40">
        <v>44551</v>
      </c>
      <c r="B3301" s="38">
        <v>-1.4</v>
      </c>
      <c r="C3301" s="13" t="s">
        <v>2366</v>
      </c>
      <c r="D3301" s="36">
        <v>2637.76</v>
      </c>
      <c r="E3301" s="43" t="s">
        <v>3596</v>
      </c>
    </row>
    <row r="3302" spans="1:5" x14ac:dyDescent="0.35">
      <c r="A3302" s="40">
        <v>44551</v>
      </c>
      <c r="B3302" s="38">
        <v>-165.98</v>
      </c>
      <c r="C3302" s="13" t="s">
        <v>2364</v>
      </c>
      <c r="D3302" s="36">
        <v>2240.79</v>
      </c>
      <c r="E3302" s="43" t="s">
        <v>3596</v>
      </c>
    </row>
    <row r="3303" spans="1:5" x14ac:dyDescent="0.35">
      <c r="A3303" s="40">
        <v>44551</v>
      </c>
      <c r="B3303" s="38">
        <v>-40.99</v>
      </c>
      <c r="C3303" s="13" t="s">
        <v>2364</v>
      </c>
      <c r="D3303" s="36">
        <v>2406.77</v>
      </c>
      <c r="E3303" s="43" t="s">
        <v>3596</v>
      </c>
    </row>
    <row r="3304" spans="1:5" x14ac:dyDescent="0.35">
      <c r="A3304" s="40">
        <v>44551</v>
      </c>
      <c r="B3304" s="38">
        <v>-41</v>
      </c>
      <c r="C3304" s="13" t="s">
        <v>2364</v>
      </c>
      <c r="D3304" s="36">
        <v>2447.7600000000002</v>
      </c>
      <c r="E3304" s="43" t="s">
        <v>3596</v>
      </c>
    </row>
    <row r="3305" spans="1:5" x14ac:dyDescent="0.35">
      <c r="A3305" s="40">
        <v>44550</v>
      </c>
      <c r="B3305" s="38">
        <v>-65</v>
      </c>
      <c r="C3305" s="13" t="s">
        <v>2361</v>
      </c>
      <c r="D3305" s="36">
        <v>2681.97</v>
      </c>
      <c r="E3305" s="43" t="s">
        <v>3596</v>
      </c>
    </row>
    <row r="3306" spans="1:5" x14ac:dyDescent="0.35">
      <c r="A3306" s="40">
        <v>44549</v>
      </c>
      <c r="B3306" s="38">
        <v>-7.34</v>
      </c>
      <c r="C3306" s="13" t="s">
        <v>2360</v>
      </c>
      <c r="D3306" s="36">
        <v>2746.97</v>
      </c>
      <c r="E3306" s="43" t="s">
        <v>3596</v>
      </c>
    </row>
    <row r="3307" spans="1:5" x14ac:dyDescent="0.35">
      <c r="A3307" s="40">
        <v>44548</v>
      </c>
      <c r="B3307" s="38">
        <v>-100</v>
      </c>
      <c r="C3307" s="13" t="s">
        <v>2253</v>
      </c>
      <c r="D3307" s="36">
        <v>2754.31</v>
      </c>
      <c r="E3307" s="43" t="s">
        <v>3596</v>
      </c>
    </row>
    <row r="3308" spans="1:5" x14ac:dyDescent="0.35">
      <c r="A3308" s="40">
        <v>44548</v>
      </c>
      <c r="B3308" s="38">
        <v>12.01</v>
      </c>
      <c r="C3308" s="13" t="s">
        <v>2359</v>
      </c>
      <c r="D3308" s="36">
        <v>2854.31</v>
      </c>
      <c r="E3308" s="43" t="s">
        <v>3596</v>
      </c>
    </row>
    <row r="3309" spans="1:5" x14ac:dyDescent="0.35">
      <c r="A3309" s="40">
        <v>44547</v>
      </c>
      <c r="B3309" s="38">
        <v>-12.61</v>
      </c>
      <c r="C3309" s="13" t="s">
        <v>2358</v>
      </c>
      <c r="D3309" s="36">
        <v>3105.2</v>
      </c>
      <c r="E3309" s="43" t="s">
        <v>3596</v>
      </c>
    </row>
    <row r="3310" spans="1:5" x14ac:dyDescent="0.35">
      <c r="A3310" s="40">
        <v>44547</v>
      </c>
      <c r="B3310" s="38">
        <v>-33.39</v>
      </c>
      <c r="C3310" s="13" t="s">
        <v>2357</v>
      </c>
      <c r="D3310" s="36">
        <v>3071.81</v>
      </c>
      <c r="E3310" s="43" t="s">
        <v>3596</v>
      </c>
    </row>
    <row r="3311" spans="1:5" x14ac:dyDescent="0.35">
      <c r="A3311" s="40">
        <v>44547</v>
      </c>
      <c r="B3311" s="38">
        <v>-204.51</v>
      </c>
      <c r="C3311" s="13" t="s">
        <v>2353</v>
      </c>
      <c r="D3311" s="36">
        <v>2842.3</v>
      </c>
      <c r="E3311" s="43" t="s">
        <v>3596</v>
      </c>
    </row>
    <row r="3312" spans="1:5" x14ac:dyDescent="0.35">
      <c r="A3312" s="40">
        <v>44547</v>
      </c>
      <c r="B3312" s="38">
        <v>-25</v>
      </c>
      <c r="C3312" s="13" t="s">
        <v>2356</v>
      </c>
      <c r="D3312" s="36">
        <v>3046.81</v>
      </c>
      <c r="E3312" s="43" t="s">
        <v>3596</v>
      </c>
    </row>
    <row r="3313" spans="1:5" x14ac:dyDescent="0.35">
      <c r="A3313" s="40">
        <v>44547</v>
      </c>
      <c r="B3313" s="38">
        <v>-25</v>
      </c>
      <c r="C3313" s="13" t="s">
        <v>2354</v>
      </c>
      <c r="D3313" s="36">
        <v>3046.81</v>
      </c>
      <c r="E3313" s="43" t="s">
        <v>3596</v>
      </c>
    </row>
    <row r="3314" spans="1:5" x14ac:dyDescent="0.35">
      <c r="A3314" s="40">
        <v>44547</v>
      </c>
      <c r="B3314" s="38">
        <v>25</v>
      </c>
      <c r="C3314" s="13" t="s">
        <v>2355</v>
      </c>
      <c r="D3314" s="36">
        <v>3071.81</v>
      </c>
      <c r="E3314" s="43" t="s">
        <v>3596</v>
      </c>
    </row>
    <row r="3315" spans="1:5" x14ac:dyDescent="0.35">
      <c r="A3315" s="40">
        <v>44546</v>
      </c>
      <c r="B3315" s="38">
        <v>24</v>
      </c>
      <c r="C3315" s="13" t="s">
        <v>2352</v>
      </c>
      <c r="D3315" s="36">
        <v>3219.96</v>
      </c>
      <c r="E3315" s="43" t="s">
        <v>3596</v>
      </c>
    </row>
    <row r="3316" spans="1:5" x14ac:dyDescent="0.35">
      <c r="A3316" s="40">
        <v>44546</v>
      </c>
      <c r="B3316" s="38">
        <v>50</v>
      </c>
      <c r="C3316" s="13" t="s">
        <v>1885</v>
      </c>
      <c r="D3316" s="36">
        <v>3129.92</v>
      </c>
      <c r="E3316" s="43" t="s">
        <v>3596</v>
      </c>
    </row>
    <row r="3317" spans="1:5" x14ac:dyDescent="0.35">
      <c r="A3317" s="40">
        <v>44546</v>
      </c>
      <c r="B3317" s="38">
        <v>-12.11</v>
      </c>
      <c r="C3317" s="13" t="s">
        <v>2351</v>
      </c>
      <c r="D3317" s="36">
        <v>3117.81</v>
      </c>
      <c r="E3317" s="43" t="s">
        <v>3596</v>
      </c>
    </row>
    <row r="3318" spans="1:5" x14ac:dyDescent="0.35">
      <c r="A3318" s="40">
        <v>44546</v>
      </c>
      <c r="B3318" s="38">
        <v>-45.3</v>
      </c>
      <c r="C3318" s="13" t="s">
        <v>1654</v>
      </c>
      <c r="D3318" s="36">
        <v>3079.92</v>
      </c>
      <c r="E3318" s="43" t="s">
        <v>3596</v>
      </c>
    </row>
    <row r="3319" spans="1:5" x14ac:dyDescent="0.35">
      <c r="A3319" s="40">
        <v>44546</v>
      </c>
      <c r="B3319" s="38">
        <v>-94.74</v>
      </c>
      <c r="C3319" s="13" t="s">
        <v>2275</v>
      </c>
      <c r="D3319" s="36">
        <v>3125.22</v>
      </c>
      <c r="E3319" s="43" t="s">
        <v>3596</v>
      </c>
    </row>
    <row r="3320" spans="1:5" x14ac:dyDescent="0.35">
      <c r="A3320" s="40">
        <v>44545</v>
      </c>
      <c r="B3320" s="39">
        <v>-15.64</v>
      </c>
      <c r="C3320" s="14" t="s">
        <v>2350</v>
      </c>
      <c r="D3320" s="37">
        <v>3195.96</v>
      </c>
      <c r="E3320" s="43" t="s">
        <v>3596</v>
      </c>
    </row>
    <row r="3321" spans="1:5" x14ac:dyDescent="0.35">
      <c r="A3321" s="40">
        <v>44544</v>
      </c>
      <c r="B3321" s="38">
        <v>-19.23</v>
      </c>
      <c r="C3321" s="13" t="s">
        <v>2349</v>
      </c>
      <c r="D3321" s="36">
        <v>3243.1</v>
      </c>
      <c r="E3321" s="43" t="s">
        <v>3596</v>
      </c>
    </row>
    <row r="3322" spans="1:5" x14ac:dyDescent="0.35">
      <c r="A3322" s="40">
        <v>44544</v>
      </c>
      <c r="B3322" s="38">
        <v>-7.5</v>
      </c>
      <c r="C3322" s="13" t="s">
        <v>2348</v>
      </c>
      <c r="D3322" s="36">
        <v>3211.6</v>
      </c>
      <c r="E3322" s="43" t="s">
        <v>3596</v>
      </c>
    </row>
    <row r="3323" spans="1:5" x14ac:dyDescent="0.35">
      <c r="A3323" s="40">
        <v>44544</v>
      </c>
      <c r="B3323" s="38">
        <v>-24</v>
      </c>
      <c r="C3323" s="13" t="s">
        <v>2348</v>
      </c>
      <c r="D3323" s="36">
        <v>3219.1</v>
      </c>
      <c r="E3323" s="43" t="s">
        <v>3596</v>
      </c>
    </row>
    <row r="3324" spans="1:5" x14ac:dyDescent="0.35">
      <c r="A3324" s="40">
        <v>44540</v>
      </c>
      <c r="B3324" s="38">
        <v>-26</v>
      </c>
      <c r="C3324" s="13" t="s">
        <v>1584</v>
      </c>
      <c r="D3324" s="36">
        <v>3262.33</v>
      </c>
      <c r="E3324" s="43" t="s">
        <v>3596</v>
      </c>
    </row>
    <row r="3325" spans="1:5" x14ac:dyDescent="0.35">
      <c r="A3325" s="40">
        <v>44539</v>
      </c>
      <c r="B3325" s="38">
        <v>-760</v>
      </c>
      <c r="C3325" s="13" t="s">
        <v>1395</v>
      </c>
      <c r="D3325" s="36">
        <v>3288.33</v>
      </c>
      <c r="E3325" s="43" t="s">
        <v>3596</v>
      </c>
    </row>
    <row r="3326" spans="1:5" x14ac:dyDescent="0.35">
      <c r="A3326" s="40">
        <v>44539</v>
      </c>
      <c r="B3326" s="38">
        <v>2248.5700000000002</v>
      </c>
      <c r="C3326" s="13" t="s">
        <v>2347</v>
      </c>
      <c r="D3326" s="36">
        <v>4048.33</v>
      </c>
      <c r="E3326" s="43" t="s">
        <v>3596</v>
      </c>
    </row>
    <row r="3327" spans="1:5" x14ac:dyDescent="0.35">
      <c r="A3327" s="40">
        <v>44538</v>
      </c>
      <c r="B3327" s="38">
        <v>300</v>
      </c>
      <c r="C3327" s="13" t="s">
        <v>2346</v>
      </c>
      <c r="D3327" s="36">
        <v>1799.76</v>
      </c>
      <c r="E3327" s="43" t="s">
        <v>3596</v>
      </c>
    </row>
    <row r="3328" spans="1:5" x14ac:dyDescent="0.35">
      <c r="A3328" s="40">
        <v>44537</v>
      </c>
      <c r="B3328" s="38">
        <v>-28.39</v>
      </c>
      <c r="C3328" s="13" t="s">
        <v>2345</v>
      </c>
      <c r="D3328" s="36">
        <v>1538.86</v>
      </c>
      <c r="E3328" s="43" t="s">
        <v>3596</v>
      </c>
    </row>
    <row r="3329" spans="1:5" x14ac:dyDescent="0.35">
      <c r="A3329" s="40">
        <v>44537</v>
      </c>
      <c r="B3329" s="38">
        <v>-7.7</v>
      </c>
      <c r="C3329" s="13" t="s">
        <v>2343</v>
      </c>
      <c r="D3329" s="36">
        <v>1499.76</v>
      </c>
      <c r="E3329" s="43" t="s">
        <v>3596</v>
      </c>
    </row>
    <row r="3330" spans="1:5" x14ac:dyDescent="0.35">
      <c r="A3330" s="40">
        <v>44537</v>
      </c>
      <c r="B3330" s="38">
        <v>-31.4</v>
      </c>
      <c r="C3330" s="13" t="s">
        <v>2344</v>
      </c>
      <c r="D3330" s="36">
        <v>1507.46</v>
      </c>
      <c r="E3330" s="43" t="s">
        <v>3596</v>
      </c>
    </row>
    <row r="3331" spans="1:5" x14ac:dyDescent="0.35">
      <c r="A3331" s="40">
        <v>44534</v>
      </c>
      <c r="B3331" s="38">
        <v>-2500</v>
      </c>
      <c r="C3331" s="13" t="s">
        <v>2342</v>
      </c>
      <c r="D3331" s="36">
        <v>1567.25</v>
      </c>
      <c r="E3331" s="43" t="s">
        <v>3596</v>
      </c>
    </row>
    <row r="3332" spans="1:5" x14ac:dyDescent="0.35">
      <c r="A3332" s="40">
        <v>44533</v>
      </c>
      <c r="B3332" s="38">
        <v>-6.85</v>
      </c>
      <c r="C3332" s="13" t="s">
        <v>1584</v>
      </c>
      <c r="D3332" s="36">
        <v>4067.25</v>
      </c>
      <c r="E3332" s="43" t="s">
        <v>3596</v>
      </c>
    </row>
    <row r="3333" spans="1:5" x14ac:dyDescent="0.35">
      <c r="A3333" s="40">
        <v>44532</v>
      </c>
      <c r="B3333" s="38">
        <v>-29.69</v>
      </c>
      <c r="C3333" s="13" t="s">
        <v>2341</v>
      </c>
      <c r="D3333" s="36">
        <v>4074.1</v>
      </c>
      <c r="E3333" s="43" t="s">
        <v>3596</v>
      </c>
    </row>
    <row r="3334" spans="1:5" x14ac:dyDescent="0.35">
      <c r="A3334" s="40">
        <v>44531</v>
      </c>
      <c r="B3334" s="38">
        <v>-244</v>
      </c>
      <c r="C3334" s="13" t="s">
        <v>1571</v>
      </c>
      <c r="D3334" s="36">
        <v>4103.79</v>
      </c>
      <c r="E3334" s="43" t="s">
        <v>3596</v>
      </c>
    </row>
    <row r="3335" spans="1:5" x14ac:dyDescent="0.35">
      <c r="A3335" s="40">
        <v>44531</v>
      </c>
      <c r="B3335" s="38">
        <v>-29.04</v>
      </c>
      <c r="C3335" s="13" t="s">
        <v>2340</v>
      </c>
      <c r="D3335" s="36">
        <v>4528.34</v>
      </c>
      <c r="E3335" s="43" t="s">
        <v>3596</v>
      </c>
    </row>
    <row r="3336" spans="1:5" x14ac:dyDescent="0.35">
      <c r="A3336" s="40">
        <v>44531</v>
      </c>
      <c r="B3336" s="38">
        <v>-180.55</v>
      </c>
      <c r="C3336" s="13" t="s">
        <v>2339</v>
      </c>
      <c r="D3336" s="36">
        <v>4347.79</v>
      </c>
      <c r="E3336" s="43" t="s">
        <v>3596</v>
      </c>
    </row>
    <row r="3337" spans="1:5" x14ac:dyDescent="0.35">
      <c r="A3337" s="40">
        <v>44530</v>
      </c>
      <c r="B3337" s="38">
        <v>-65.39</v>
      </c>
      <c r="C3337" s="13" t="s">
        <v>2336</v>
      </c>
      <c r="D3337" s="36">
        <v>4557.38</v>
      </c>
      <c r="E3337" s="43" t="s">
        <v>3596</v>
      </c>
    </row>
    <row r="3338" spans="1:5" x14ac:dyDescent="0.35">
      <c r="A3338" s="40">
        <v>44530</v>
      </c>
      <c r="B3338" s="38">
        <v>-44.1</v>
      </c>
      <c r="C3338" s="13" t="s">
        <v>2337</v>
      </c>
      <c r="D3338" s="36">
        <v>4622.7700000000004</v>
      </c>
      <c r="E3338" s="43" t="s">
        <v>3596</v>
      </c>
    </row>
    <row r="3339" spans="1:5" x14ac:dyDescent="0.35">
      <c r="A3339" s="40">
        <v>44530</v>
      </c>
      <c r="B3339" s="38">
        <v>-21.9</v>
      </c>
      <c r="C3339" s="13" t="s">
        <v>2338</v>
      </c>
      <c r="D3339" s="36">
        <v>4666.87</v>
      </c>
      <c r="E3339" s="43" t="s">
        <v>3596</v>
      </c>
    </row>
    <row r="3340" spans="1:5" x14ac:dyDescent="0.35">
      <c r="A3340" s="40">
        <v>44527</v>
      </c>
      <c r="B3340" s="38">
        <v>-22.85</v>
      </c>
      <c r="C3340" s="13" t="s">
        <v>1584</v>
      </c>
      <c r="D3340" s="36">
        <v>4688.7700000000004</v>
      </c>
      <c r="E3340" s="43" t="s">
        <v>3596</v>
      </c>
    </row>
    <row r="3341" spans="1:5" x14ac:dyDescent="0.35">
      <c r="A3341" s="40">
        <v>44527</v>
      </c>
      <c r="B3341" s="38">
        <v>-3.5</v>
      </c>
      <c r="C3341" s="13" t="s">
        <v>2335</v>
      </c>
      <c r="D3341" s="36">
        <v>4711.62</v>
      </c>
      <c r="E3341" s="43" t="s">
        <v>3596</v>
      </c>
    </row>
    <row r="3342" spans="1:5" x14ac:dyDescent="0.35">
      <c r="A3342" s="40">
        <v>44525</v>
      </c>
      <c r="B3342" s="38">
        <v>-760</v>
      </c>
      <c r="C3342" s="13" t="s">
        <v>1395</v>
      </c>
      <c r="D3342" s="36">
        <v>4825.12</v>
      </c>
      <c r="E3342" s="43" t="s">
        <v>3596</v>
      </c>
    </row>
    <row r="3343" spans="1:5" x14ac:dyDescent="0.35">
      <c r="A3343" s="40">
        <v>44525</v>
      </c>
      <c r="B3343" s="38">
        <v>-110</v>
      </c>
      <c r="C3343" s="13" t="s">
        <v>2333</v>
      </c>
      <c r="D3343" s="36">
        <v>4715.12</v>
      </c>
      <c r="E3343" s="43" t="s">
        <v>3596</v>
      </c>
    </row>
    <row r="3344" spans="1:5" x14ac:dyDescent="0.35">
      <c r="A3344" s="40">
        <v>44525</v>
      </c>
      <c r="B3344" s="38">
        <v>2248.5500000000002</v>
      </c>
      <c r="C3344" s="13" t="s">
        <v>2334</v>
      </c>
      <c r="D3344" s="36">
        <v>5585.12</v>
      </c>
      <c r="E3344" s="43" t="s">
        <v>3596</v>
      </c>
    </row>
    <row r="3345" spans="1:5" x14ac:dyDescent="0.35">
      <c r="A3345" s="40">
        <v>44524</v>
      </c>
      <c r="B3345" s="38">
        <v>-33.89</v>
      </c>
      <c r="C3345" s="13" t="s">
        <v>2332</v>
      </c>
      <c r="D3345" s="36">
        <v>3350.07</v>
      </c>
      <c r="E3345" s="43" t="s">
        <v>3596</v>
      </c>
    </row>
    <row r="3346" spans="1:5" x14ac:dyDescent="0.35">
      <c r="A3346" s="40">
        <v>44524</v>
      </c>
      <c r="B3346" s="38">
        <v>-13.5</v>
      </c>
      <c r="C3346" s="13" t="s">
        <v>2331</v>
      </c>
      <c r="D3346" s="36">
        <v>3336.57</v>
      </c>
      <c r="E3346" s="43" t="s">
        <v>3596</v>
      </c>
    </row>
    <row r="3347" spans="1:5" x14ac:dyDescent="0.35">
      <c r="A3347" s="40">
        <v>44523</v>
      </c>
      <c r="B3347" s="38">
        <v>-20.27</v>
      </c>
      <c r="C3347" s="13" t="s">
        <v>2269</v>
      </c>
      <c r="D3347" s="36">
        <v>3383.96</v>
      </c>
      <c r="E3347" s="43" t="s">
        <v>3596</v>
      </c>
    </row>
    <row r="3348" spans="1:5" x14ac:dyDescent="0.35">
      <c r="A3348" s="40">
        <v>44523</v>
      </c>
      <c r="B3348" s="38">
        <v>-41</v>
      </c>
      <c r="C3348" s="13" t="s">
        <v>2330</v>
      </c>
      <c r="D3348" s="36">
        <v>3404.23</v>
      </c>
      <c r="E3348" s="43" t="s">
        <v>3596</v>
      </c>
    </row>
    <row r="3349" spans="1:5" x14ac:dyDescent="0.35">
      <c r="A3349" s="40">
        <v>44522</v>
      </c>
      <c r="B3349" s="38">
        <v>1800</v>
      </c>
      <c r="C3349" s="13" t="s">
        <v>2329</v>
      </c>
      <c r="D3349" s="36">
        <v>3445.23</v>
      </c>
      <c r="E3349" s="43" t="s">
        <v>3596</v>
      </c>
    </row>
    <row r="3350" spans="1:5" x14ac:dyDescent="0.35">
      <c r="A3350" s="40">
        <v>44521</v>
      </c>
      <c r="B3350" s="38">
        <v>-19.149999999999999</v>
      </c>
      <c r="C3350" s="13" t="s">
        <v>2328</v>
      </c>
      <c r="D3350" s="36">
        <v>1645.23</v>
      </c>
      <c r="E3350" s="43" t="s">
        <v>3596</v>
      </c>
    </row>
    <row r="3351" spans="1:5" x14ac:dyDescent="0.35">
      <c r="A3351" s="40">
        <v>44520</v>
      </c>
      <c r="B3351" s="38">
        <v>-89.9</v>
      </c>
      <c r="C3351" s="13" t="s">
        <v>2327</v>
      </c>
      <c r="D3351" s="36">
        <v>1672.08</v>
      </c>
      <c r="E3351" s="43" t="s">
        <v>3596</v>
      </c>
    </row>
    <row r="3352" spans="1:5" x14ac:dyDescent="0.35">
      <c r="A3352" s="40">
        <v>44520</v>
      </c>
      <c r="B3352" s="38">
        <v>-7.7</v>
      </c>
      <c r="C3352" s="13" t="s">
        <v>2326</v>
      </c>
      <c r="D3352" s="36">
        <v>1664.38</v>
      </c>
      <c r="E3352" s="43" t="s">
        <v>3596</v>
      </c>
    </row>
    <row r="3353" spans="1:5" x14ac:dyDescent="0.35">
      <c r="A3353" s="40">
        <v>44518</v>
      </c>
      <c r="B3353" s="38">
        <v>-57.14</v>
      </c>
      <c r="C3353" s="13" t="s">
        <v>2325</v>
      </c>
      <c r="D3353" s="36">
        <v>1761.98</v>
      </c>
      <c r="E3353" s="43" t="s">
        <v>3596</v>
      </c>
    </row>
    <row r="3354" spans="1:5" x14ac:dyDescent="0.35">
      <c r="A3354" s="40">
        <v>44517</v>
      </c>
      <c r="B3354" s="38">
        <v>-21.25</v>
      </c>
      <c r="C3354" s="13" t="s">
        <v>1584</v>
      </c>
      <c r="D3354" s="36">
        <v>1819.12</v>
      </c>
      <c r="E3354" s="43" t="s">
        <v>3596</v>
      </c>
    </row>
    <row r="3355" spans="1:5" x14ac:dyDescent="0.35">
      <c r="A3355" s="40">
        <v>44516</v>
      </c>
      <c r="B3355" s="38">
        <v>-118</v>
      </c>
      <c r="C3355" s="13" t="s">
        <v>2321</v>
      </c>
      <c r="D3355" s="36">
        <v>1968.53</v>
      </c>
      <c r="E3355" s="43" t="s">
        <v>3596</v>
      </c>
    </row>
    <row r="3356" spans="1:5" x14ac:dyDescent="0.35">
      <c r="A3356" s="40">
        <v>44516</v>
      </c>
      <c r="B3356" s="38">
        <v>-21.82</v>
      </c>
      <c r="C3356" s="13" t="s">
        <v>2323</v>
      </c>
      <c r="D3356" s="36">
        <v>2093.7800000000002</v>
      </c>
      <c r="E3356" s="43" t="s">
        <v>3596</v>
      </c>
    </row>
    <row r="3357" spans="1:5" x14ac:dyDescent="0.35">
      <c r="A3357" s="40">
        <v>44516</v>
      </c>
      <c r="B3357" s="38">
        <v>-128.16</v>
      </c>
      <c r="C3357" s="13" t="s">
        <v>2320</v>
      </c>
      <c r="D3357" s="36">
        <v>1840.37</v>
      </c>
      <c r="E3357" s="43" t="s">
        <v>3596</v>
      </c>
    </row>
    <row r="3358" spans="1:5" x14ac:dyDescent="0.35">
      <c r="A3358" s="40">
        <v>44516</v>
      </c>
      <c r="B3358" s="38">
        <v>-7.25</v>
      </c>
      <c r="C3358" s="13" t="s">
        <v>2322</v>
      </c>
      <c r="D3358" s="36">
        <v>2086.5300000000002</v>
      </c>
      <c r="E3358" s="43" t="s">
        <v>3596</v>
      </c>
    </row>
    <row r="3359" spans="1:5" x14ac:dyDescent="0.35">
      <c r="A3359" s="40">
        <v>44516</v>
      </c>
      <c r="B3359" s="38">
        <v>-48.9</v>
      </c>
      <c r="C3359" s="13" t="s">
        <v>2324</v>
      </c>
      <c r="D3359" s="36">
        <v>2115.6</v>
      </c>
      <c r="E3359" s="43" t="s">
        <v>3596</v>
      </c>
    </row>
    <row r="3360" spans="1:5" x14ac:dyDescent="0.35">
      <c r="A3360" s="40">
        <v>44511</v>
      </c>
      <c r="B3360" s="38">
        <v>-760</v>
      </c>
      <c r="C3360" s="13" t="s">
        <v>1395</v>
      </c>
      <c r="D3360" s="36">
        <v>2164.5</v>
      </c>
      <c r="E3360" s="43" t="s">
        <v>3596</v>
      </c>
    </row>
    <row r="3361" spans="1:5" x14ac:dyDescent="0.35">
      <c r="A3361" s="40">
        <v>44511</v>
      </c>
      <c r="B3361" s="38">
        <v>2465.41</v>
      </c>
      <c r="C3361" s="13" t="s">
        <v>2319</v>
      </c>
      <c r="D3361" s="36">
        <v>2924.5</v>
      </c>
      <c r="E3361" s="43" t="s">
        <v>3596</v>
      </c>
    </row>
    <row r="3362" spans="1:5" x14ac:dyDescent="0.35">
      <c r="A3362" s="40">
        <v>44510</v>
      </c>
      <c r="B3362" s="38">
        <v>-20.399999999999999</v>
      </c>
      <c r="C3362" s="13" t="s">
        <v>2317</v>
      </c>
      <c r="D3362" s="36">
        <v>1054.03</v>
      </c>
      <c r="E3362" s="43" t="s">
        <v>3596</v>
      </c>
    </row>
    <row r="3363" spans="1:5" x14ac:dyDescent="0.35">
      <c r="A3363" s="40">
        <v>44510</v>
      </c>
      <c r="B3363" s="38">
        <v>-12.9</v>
      </c>
      <c r="C3363" s="13" t="s">
        <v>2316</v>
      </c>
      <c r="D3363" s="36">
        <v>1041.1300000000001</v>
      </c>
      <c r="E3363" s="43" t="s">
        <v>3596</v>
      </c>
    </row>
    <row r="3364" spans="1:5" x14ac:dyDescent="0.35">
      <c r="A3364" s="40">
        <v>44510</v>
      </c>
      <c r="B3364" s="38">
        <v>-33.81</v>
      </c>
      <c r="C3364" s="13" t="s">
        <v>2315</v>
      </c>
      <c r="D3364" s="36">
        <v>1007.32</v>
      </c>
      <c r="E3364" s="43" t="s">
        <v>3596</v>
      </c>
    </row>
    <row r="3365" spans="1:5" x14ac:dyDescent="0.35">
      <c r="A3365" s="40">
        <v>44510</v>
      </c>
      <c r="B3365" s="38">
        <v>-548.23</v>
      </c>
      <c r="C3365" s="13" t="s">
        <v>2314</v>
      </c>
      <c r="D3365" s="36">
        <v>459.09</v>
      </c>
      <c r="E3365" s="43" t="s">
        <v>3596</v>
      </c>
    </row>
    <row r="3366" spans="1:5" x14ac:dyDescent="0.35">
      <c r="A3366" s="40">
        <v>44510</v>
      </c>
      <c r="B3366" s="38">
        <v>-89.5</v>
      </c>
      <c r="C3366" s="13" t="s">
        <v>2318</v>
      </c>
      <c r="D3366" s="36">
        <v>1074.43</v>
      </c>
      <c r="E3366" s="43" t="s">
        <v>3596</v>
      </c>
    </row>
    <row r="3367" spans="1:5" x14ac:dyDescent="0.35">
      <c r="A3367" s="40">
        <v>44509</v>
      </c>
      <c r="B3367" s="38">
        <v>-41.88</v>
      </c>
      <c r="C3367" s="13" t="s">
        <v>2312</v>
      </c>
      <c r="D3367" s="36">
        <v>1276.57</v>
      </c>
      <c r="E3367" s="43" t="s">
        <v>3596</v>
      </c>
    </row>
    <row r="3368" spans="1:5" x14ac:dyDescent="0.35">
      <c r="A3368" s="40">
        <v>44509</v>
      </c>
      <c r="B3368" s="38">
        <v>-33.26</v>
      </c>
      <c r="C3368" s="13" t="s">
        <v>2312</v>
      </c>
      <c r="D3368" s="36">
        <v>1323.45</v>
      </c>
      <c r="E3368" s="43" t="s">
        <v>3596</v>
      </c>
    </row>
    <row r="3369" spans="1:5" x14ac:dyDescent="0.35">
      <c r="A3369" s="40">
        <v>44509</v>
      </c>
      <c r="B3369" s="38">
        <v>-45.44</v>
      </c>
      <c r="C3369" s="13" t="s">
        <v>2311</v>
      </c>
      <c r="D3369" s="36">
        <v>1231.1300000000001</v>
      </c>
      <c r="E3369" s="43" t="s">
        <v>3596</v>
      </c>
    </row>
    <row r="3370" spans="1:5" x14ac:dyDescent="0.35">
      <c r="A3370" s="40">
        <v>44509</v>
      </c>
      <c r="B3370" s="38">
        <v>-10.119999999999999</v>
      </c>
      <c r="C3370" s="13" t="s">
        <v>2310</v>
      </c>
      <c r="D3370" s="36">
        <v>1203.4000000000001</v>
      </c>
      <c r="E3370" s="43" t="s">
        <v>3596</v>
      </c>
    </row>
    <row r="3371" spans="1:5" x14ac:dyDescent="0.35">
      <c r="A3371" s="40">
        <v>44509</v>
      </c>
      <c r="B3371" s="38">
        <v>-17.61</v>
      </c>
      <c r="C3371" s="13" t="s">
        <v>2310</v>
      </c>
      <c r="D3371" s="36">
        <v>1213.52</v>
      </c>
      <c r="E3371" s="43" t="s">
        <v>3596</v>
      </c>
    </row>
    <row r="3372" spans="1:5" x14ac:dyDescent="0.35">
      <c r="A3372" s="40">
        <v>44509</v>
      </c>
      <c r="B3372" s="38">
        <v>-20.239999999999998</v>
      </c>
      <c r="C3372" s="13" t="s">
        <v>2309</v>
      </c>
      <c r="D3372" s="36">
        <v>1163.93</v>
      </c>
      <c r="E3372" s="43" t="s">
        <v>3596</v>
      </c>
    </row>
    <row r="3373" spans="1:5" x14ac:dyDescent="0.35">
      <c r="A3373" s="40">
        <v>44509</v>
      </c>
      <c r="B3373" s="38">
        <v>-19.23</v>
      </c>
      <c r="C3373" s="13" t="s">
        <v>2309</v>
      </c>
      <c r="D3373" s="36">
        <v>1184.17</v>
      </c>
      <c r="E3373" s="43" t="s">
        <v>3596</v>
      </c>
    </row>
    <row r="3374" spans="1:5" x14ac:dyDescent="0.35">
      <c r="A3374" s="40">
        <v>44509</v>
      </c>
      <c r="B3374" s="38">
        <v>-5</v>
      </c>
      <c r="C3374" s="13" t="s">
        <v>2313</v>
      </c>
      <c r="D3374" s="36">
        <v>1318.45</v>
      </c>
      <c r="E3374" s="43" t="s">
        <v>3596</v>
      </c>
    </row>
    <row r="3375" spans="1:5" x14ac:dyDescent="0.35">
      <c r="A3375" s="40">
        <v>44506</v>
      </c>
      <c r="B3375" s="38">
        <v>63</v>
      </c>
      <c r="C3375" s="13" t="s">
        <v>2306</v>
      </c>
      <c r="D3375" s="36">
        <v>1293.71</v>
      </c>
      <c r="E3375" s="43" t="s">
        <v>3596</v>
      </c>
    </row>
    <row r="3376" spans="1:5" x14ac:dyDescent="0.35">
      <c r="A3376" s="40">
        <v>44506</v>
      </c>
      <c r="B3376" s="38">
        <v>95</v>
      </c>
      <c r="C3376" s="13" t="s">
        <v>2308</v>
      </c>
      <c r="D3376" s="36">
        <v>1160.71</v>
      </c>
      <c r="E3376" s="43" t="s">
        <v>3596</v>
      </c>
    </row>
    <row r="3377" spans="1:5" x14ac:dyDescent="0.35">
      <c r="A3377" s="40">
        <v>44506</v>
      </c>
      <c r="B3377" s="38">
        <v>63</v>
      </c>
      <c r="C3377" s="13" t="s">
        <v>2305</v>
      </c>
      <c r="D3377" s="36">
        <v>1356.71</v>
      </c>
      <c r="E3377" s="43" t="s">
        <v>3596</v>
      </c>
    </row>
    <row r="3378" spans="1:5" x14ac:dyDescent="0.35">
      <c r="A3378" s="40">
        <v>44506</v>
      </c>
      <c r="B3378" s="38">
        <v>70</v>
      </c>
      <c r="C3378" s="13" t="s">
        <v>2307</v>
      </c>
      <c r="D3378" s="36">
        <v>1230.71</v>
      </c>
      <c r="E3378" s="43" t="s">
        <v>3596</v>
      </c>
    </row>
    <row r="3379" spans="1:5" x14ac:dyDescent="0.35">
      <c r="A3379" s="40">
        <v>44503</v>
      </c>
      <c r="B3379" s="38">
        <v>-38.380000000000003</v>
      </c>
      <c r="C3379" s="13" t="s">
        <v>2303</v>
      </c>
      <c r="D3379" s="36">
        <v>1065.71</v>
      </c>
      <c r="E3379" s="43" t="s">
        <v>3596</v>
      </c>
    </row>
    <row r="3380" spans="1:5" x14ac:dyDescent="0.35">
      <c r="A3380" s="40">
        <v>44503</v>
      </c>
      <c r="B3380" s="38">
        <v>-26.99</v>
      </c>
      <c r="C3380" s="13" t="s">
        <v>2304</v>
      </c>
      <c r="D3380" s="36">
        <v>1104.0899999999999</v>
      </c>
      <c r="E3380" s="43" t="s">
        <v>3596</v>
      </c>
    </row>
    <row r="3381" spans="1:5" x14ac:dyDescent="0.35">
      <c r="A3381" s="40">
        <v>44502</v>
      </c>
      <c r="B3381" s="38">
        <v>-20</v>
      </c>
      <c r="C3381" s="13" t="s">
        <v>2298</v>
      </c>
      <c r="D3381" s="36">
        <v>1133.58</v>
      </c>
      <c r="E3381" s="43" t="s">
        <v>3596</v>
      </c>
    </row>
    <row r="3382" spans="1:5" x14ac:dyDescent="0.35">
      <c r="A3382" s="40">
        <v>44502</v>
      </c>
      <c r="B3382" s="38">
        <v>-27.08</v>
      </c>
      <c r="C3382" s="13" t="s">
        <v>2302</v>
      </c>
      <c r="D3382" s="36">
        <v>1311.83</v>
      </c>
      <c r="E3382" s="43" t="s">
        <v>3596</v>
      </c>
    </row>
    <row r="3383" spans="1:5" x14ac:dyDescent="0.35">
      <c r="A3383" s="40">
        <v>44502</v>
      </c>
      <c r="B3383" s="38">
        <v>-2.5</v>
      </c>
      <c r="C3383" s="13" t="s">
        <v>24</v>
      </c>
      <c r="D3383" s="36">
        <v>1131.08</v>
      </c>
      <c r="E3383" s="43" t="s">
        <v>3596</v>
      </c>
    </row>
    <row r="3384" spans="1:5" x14ac:dyDescent="0.35">
      <c r="A3384" s="40">
        <v>44502</v>
      </c>
      <c r="B3384" s="38">
        <v>-74</v>
      </c>
      <c r="C3384" s="13" t="s">
        <v>2299</v>
      </c>
      <c r="D3384" s="36">
        <v>1153.58</v>
      </c>
      <c r="E3384" s="43" t="s">
        <v>3596</v>
      </c>
    </row>
    <row r="3385" spans="1:5" x14ac:dyDescent="0.35">
      <c r="A3385" s="40">
        <v>44502</v>
      </c>
      <c r="B3385" s="38">
        <v>-18.989999999999998</v>
      </c>
      <c r="C3385" s="13" t="s">
        <v>2301</v>
      </c>
      <c r="D3385" s="36">
        <v>1292.8399999999999</v>
      </c>
      <c r="E3385" s="43" t="s">
        <v>3596</v>
      </c>
    </row>
    <row r="3386" spans="1:5" x14ac:dyDescent="0.35">
      <c r="A3386" s="40">
        <v>44502</v>
      </c>
      <c r="B3386" s="38">
        <v>-65.260000000000005</v>
      </c>
      <c r="C3386" s="13" t="s">
        <v>2300</v>
      </c>
      <c r="D3386" s="36">
        <v>1227.58</v>
      </c>
      <c r="E3386" s="43" t="s">
        <v>3596</v>
      </c>
    </row>
    <row r="3387" spans="1:5" x14ac:dyDescent="0.35">
      <c r="A3387" s="40">
        <v>44501</v>
      </c>
      <c r="B3387" s="38">
        <v>-2500</v>
      </c>
      <c r="C3387" s="13" t="s">
        <v>2297</v>
      </c>
      <c r="D3387" s="36">
        <v>1519.46</v>
      </c>
      <c r="E3387" s="43" t="s">
        <v>3596</v>
      </c>
    </row>
    <row r="3388" spans="1:5" x14ac:dyDescent="0.35">
      <c r="A3388" s="40">
        <v>44501</v>
      </c>
      <c r="B3388" s="38">
        <v>-180.55</v>
      </c>
      <c r="C3388" s="13" t="s">
        <v>2296</v>
      </c>
      <c r="D3388" s="36">
        <v>1338.91</v>
      </c>
      <c r="E3388" s="43" t="s">
        <v>3596</v>
      </c>
    </row>
    <row r="3389" spans="1:5" x14ac:dyDescent="0.35">
      <c r="A3389" s="40">
        <v>44500</v>
      </c>
      <c r="B3389" s="38">
        <v>-22</v>
      </c>
      <c r="C3389" s="13" t="s">
        <v>2294</v>
      </c>
      <c r="D3389" s="36">
        <v>4019.46</v>
      </c>
      <c r="E3389" s="43" t="s">
        <v>3596</v>
      </c>
    </row>
    <row r="3390" spans="1:5" x14ac:dyDescent="0.35">
      <c r="A3390" s="40">
        <v>44500</v>
      </c>
      <c r="B3390" s="38">
        <v>-19</v>
      </c>
      <c r="C3390" s="13" t="s">
        <v>2295</v>
      </c>
      <c r="D3390" s="36">
        <v>4041.46</v>
      </c>
      <c r="E3390" s="43" t="s">
        <v>3596</v>
      </c>
    </row>
    <row r="3391" spans="1:5" x14ac:dyDescent="0.35">
      <c r="A3391" s="40">
        <v>44499</v>
      </c>
      <c r="B3391" s="38">
        <v>-36</v>
      </c>
      <c r="C3391" s="13" t="s">
        <v>2293</v>
      </c>
      <c r="D3391" s="36">
        <v>4060.46</v>
      </c>
      <c r="E3391" s="43" t="s">
        <v>3596</v>
      </c>
    </row>
    <row r="3392" spans="1:5" x14ac:dyDescent="0.35">
      <c r="A3392" s="40">
        <v>44497</v>
      </c>
      <c r="B3392" s="38">
        <v>-760</v>
      </c>
      <c r="C3392" s="13" t="s">
        <v>1395</v>
      </c>
      <c r="D3392" s="36">
        <v>4096.46</v>
      </c>
      <c r="E3392" s="43" t="s">
        <v>3596</v>
      </c>
    </row>
    <row r="3393" spans="1:5" x14ac:dyDescent="0.35">
      <c r="A3393" s="40">
        <v>44497</v>
      </c>
      <c r="B3393" s="38">
        <v>2213.48</v>
      </c>
      <c r="C3393" s="13" t="s">
        <v>2292</v>
      </c>
      <c r="D3393" s="36">
        <v>4856.46</v>
      </c>
      <c r="E3393" s="43" t="s">
        <v>3596</v>
      </c>
    </row>
    <row r="3394" spans="1:5" x14ac:dyDescent="0.35">
      <c r="A3394" s="40">
        <v>44496</v>
      </c>
      <c r="B3394" s="38">
        <v>-19</v>
      </c>
      <c r="C3394" s="13" t="s">
        <v>2291</v>
      </c>
      <c r="D3394" s="36">
        <v>2642.98</v>
      </c>
      <c r="E3394" s="43" t="s">
        <v>3596</v>
      </c>
    </row>
    <row r="3395" spans="1:5" x14ac:dyDescent="0.35">
      <c r="A3395" s="40">
        <v>44495</v>
      </c>
      <c r="B3395" s="38">
        <v>-350</v>
      </c>
      <c r="C3395" s="13" t="s">
        <v>2288</v>
      </c>
      <c r="D3395" s="36">
        <v>2661.98</v>
      </c>
      <c r="E3395" s="43" t="s">
        <v>3596</v>
      </c>
    </row>
    <row r="3396" spans="1:5" x14ac:dyDescent="0.35">
      <c r="A3396" s="40">
        <v>44495</v>
      </c>
      <c r="B3396" s="38">
        <v>-22.77</v>
      </c>
      <c r="C3396" s="13" t="s">
        <v>2290</v>
      </c>
      <c r="D3396" s="36">
        <v>3043.18</v>
      </c>
      <c r="E3396" s="43" t="s">
        <v>3596</v>
      </c>
    </row>
    <row r="3397" spans="1:5" x14ac:dyDescent="0.35">
      <c r="A3397" s="40">
        <v>44495</v>
      </c>
      <c r="B3397" s="38">
        <v>-31.2</v>
      </c>
      <c r="C3397" s="13" t="s">
        <v>2289</v>
      </c>
      <c r="D3397" s="36">
        <v>3011.98</v>
      </c>
      <c r="E3397" s="43" t="s">
        <v>3596</v>
      </c>
    </row>
    <row r="3398" spans="1:5" x14ac:dyDescent="0.35">
      <c r="A3398" s="40">
        <v>44494</v>
      </c>
      <c r="B3398" s="38">
        <v>-89.61</v>
      </c>
      <c r="C3398" s="13" t="s">
        <v>2275</v>
      </c>
      <c r="D3398" s="36">
        <v>3065.95</v>
      </c>
      <c r="E3398" s="43" t="s">
        <v>3596</v>
      </c>
    </row>
    <row r="3399" spans="1:5" x14ac:dyDescent="0.35">
      <c r="A3399" s="40">
        <v>44492</v>
      </c>
      <c r="B3399" s="38">
        <v>-29.11</v>
      </c>
      <c r="C3399" s="13" t="s">
        <v>2286</v>
      </c>
      <c r="D3399" s="36">
        <v>3201.76</v>
      </c>
      <c r="E3399" s="43" t="s">
        <v>3596</v>
      </c>
    </row>
    <row r="3400" spans="1:5" x14ac:dyDescent="0.35">
      <c r="A3400" s="40">
        <v>44492</v>
      </c>
      <c r="B3400" s="38">
        <v>-39.6</v>
      </c>
      <c r="C3400" s="13" t="s">
        <v>2285</v>
      </c>
      <c r="D3400" s="36">
        <v>3162.16</v>
      </c>
      <c r="E3400" s="43" t="s">
        <v>3596</v>
      </c>
    </row>
    <row r="3401" spans="1:5" x14ac:dyDescent="0.35">
      <c r="A3401" s="40">
        <v>44492</v>
      </c>
      <c r="B3401" s="38">
        <v>-6.6</v>
      </c>
      <c r="C3401" s="13" t="s">
        <v>2285</v>
      </c>
      <c r="D3401" s="36">
        <v>3155.56</v>
      </c>
      <c r="E3401" s="43" t="s">
        <v>3596</v>
      </c>
    </row>
    <row r="3402" spans="1:5" x14ac:dyDescent="0.35">
      <c r="A3402" s="40">
        <v>44492</v>
      </c>
      <c r="B3402" s="38">
        <v>-35.68</v>
      </c>
      <c r="C3402" s="13" t="s">
        <v>2287</v>
      </c>
      <c r="D3402" s="36">
        <v>3230.87</v>
      </c>
      <c r="E3402" s="43" t="s">
        <v>3596</v>
      </c>
    </row>
    <row r="3403" spans="1:5" x14ac:dyDescent="0.35">
      <c r="A3403" s="40">
        <v>44491</v>
      </c>
      <c r="B3403" s="38">
        <v>-55.39</v>
      </c>
      <c r="C3403" s="13" t="s">
        <v>2284</v>
      </c>
      <c r="D3403" s="36">
        <v>3286.54</v>
      </c>
      <c r="E3403" s="43" t="s">
        <v>3596</v>
      </c>
    </row>
    <row r="3404" spans="1:5" x14ac:dyDescent="0.35">
      <c r="A3404" s="40">
        <v>44491</v>
      </c>
      <c r="B3404" s="38">
        <v>-19.989999999999998</v>
      </c>
      <c r="C3404" s="13" t="s">
        <v>2283</v>
      </c>
      <c r="D3404" s="36">
        <v>3266.55</v>
      </c>
      <c r="E3404" s="43" t="s">
        <v>3596</v>
      </c>
    </row>
    <row r="3405" spans="1:5" x14ac:dyDescent="0.35">
      <c r="A3405" s="40">
        <v>44490</v>
      </c>
      <c r="B3405" s="38">
        <v>-243.67</v>
      </c>
      <c r="C3405" s="13" t="s">
        <v>2282</v>
      </c>
      <c r="D3405" s="36">
        <v>3341.93</v>
      </c>
      <c r="E3405" s="43" t="s">
        <v>3596</v>
      </c>
    </row>
    <row r="3406" spans="1:5" x14ac:dyDescent="0.35">
      <c r="A3406" s="40">
        <v>44489</v>
      </c>
      <c r="B3406" s="38">
        <v>-51.44</v>
      </c>
      <c r="C3406" s="13" t="s">
        <v>2281</v>
      </c>
      <c r="D3406" s="36">
        <v>3585.6</v>
      </c>
      <c r="E3406" s="43" t="s">
        <v>3596</v>
      </c>
    </row>
    <row r="3407" spans="1:5" x14ac:dyDescent="0.35">
      <c r="A3407" s="40">
        <v>44488</v>
      </c>
      <c r="B3407" s="38">
        <v>-23.73</v>
      </c>
      <c r="C3407" s="13" t="s">
        <v>2279</v>
      </c>
      <c r="D3407" s="36">
        <v>3737.04</v>
      </c>
      <c r="E3407" s="43" t="s">
        <v>3596</v>
      </c>
    </row>
    <row r="3408" spans="1:5" x14ac:dyDescent="0.35">
      <c r="A3408" s="40">
        <v>44488</v>
      </c>
      <c r="B3408" s="38">
        <v>-25.49</v>
      </c>
      <c r="C3408" s="13" t="s">
        <v>2279</v>
      </c>
      <c r="D3408" s="36">
        <v>3760.77</v>
      </c>
      <c r="E3408" s="43" t="s">
        <v>3596</v>
      </c>
    </row>
    <row r="3409" spans="1:5" x14ac:dyDescent="0.35">
      <c r="A3409" s="40">
        <v>44488</v>
      </c>
      <c r="B3409" s="38">
        <v>-7.76</v>
      </c>
      <c r="C3409" s="45" t="s">
        <v>2280</v>
      </c>
      <c r="D3409" s="36">
        <v>3786.26</v>
      </c>
      <c r="E3409" s="43" t="s">
        <v>3596</v>
      </c>
    </row>
    <row r="3410" spans="1:5" x14ac:dyDescent="0.35">
      <c r="A3410" s="40">
        <v>44488</v>
      </c>
      <c r="B3410" s="38">
        <v>-100</v>
      </c>
      <c r="C3410" s="45" t="s">
        <v>2278</v>
      </c>
      <c r="D3410" s="36">
        <v>3637.04</v>
      </c>
      <c r="E3410" s="43" t="s">
        <v>3596</v>
      </c>
    </row>
    <row r="3411" spans="1:5" x14ac:dyDescent="0.35">
      <c r="A3411" s="40">
        <v>44486</v>
      </c>
      <c r="B3411" s="38">
        <v>250</v>
      </c>
      <c r="C3411" s="45" t="s">
        <v>2277</v>
      </c>
      <c r="D3411" s="36">
        <v>3769.02</v>
      </c>
      <c r="E3411" s="43" t="s">
        <v>3596</v>
      </c>
    </row>
    <row r="3412" spans="1:5" x14ac:dyDescent="0.35">
      <c r="A3412" s="40">
        <v>44486</v>
      </c>
      <c r="B3412" s="38">
        <v>25</v>
      </c>
      <c r="C3412" s="45" t="s">
        <v>2276</v>
      </c>
      <c r="D3412" s="36">
        <v>3794.02</v>
      </c>
      <c r="E3412" s="43" t="s">
        <v>3596</v>
      </c>
    </row>
    <row r="3413" spans="1:5" x14ac:dyDescent="0.35">
      <c r="A3413" s="40">
        <v>44485</v>
      </c>
      <c r="B3413" s="38">
        <v>-40</v>
      </c>
      <c r="C3413" s="45" t="s">
        <v>2022</v>
      </c>
      <c r="D3413" s="36">
        <v>3563.83</v>
      </c>
      <c r="E3413" s="43" t="s">
        <v>3596</v>
      </c>
    </row>
    <row r="3414" spans="1:5" x14ac:dyDescent="0.35">
      <c r="A3414" s="40">
        <v>44485</v>
      </c>
      <c r="B3414" s="38">
        <v>-44.81</v>
      </c>
      <c r="C3414" s="45" t="s">
        <v>2275</v>
      </c>
      <c r="D3414" s="36">
        <v>3519.02</v>
      </c>
      <c r="E3414" s="43" t="s">
        <v>3596</v>
      </c>
    </row>
    <row r="3415" spans="1:5" x14ac:dyDescent="0.35">
      <c r="A3415" s="40">
        <v>44484</v>
      </c>
      <c r="B3415" s="38">
        <v>-66.7</v>
      </c>
      <c r="C3415" s="13" t="s">
        <v>2274</v>
      </c>
      <c r="D3415" s="36">
        <v>3605.69</v>
      </c>
      <c r="E3415" s="43" t="s">
        <v>3596</v>
      </c>
    </row>
    <row r="3416" spans="1:5" x14ac:dyDescent="0.35">
      <c r="A3416" s="40">
        <v>44484</v>
      </c>
      <c r="B3416" s="38">
        <v>-1.86</v>
      </c>
      <c r="C3416" s="13" t="s">
        <v>2273</v>
      </c>
      <c r="D3416" s="36">
        <v>3603.83</v>
      </c>
      <c r="E3416" s="43" t="s">
        <v>3596</v>
      </c>
    </row>
    <row r="3417" spans="1:5" x14ac:dyDescent="0.35">
      <c r="A3417" s="40">
        <v>44483</v>
      </c>
      <c r="B3417" s="38">
        <v>-760</v>
      </c>
      <c r="C3417" s="13" t="s">
        <v>1395</v>
      </c>
      <c r="D3417" s="36">
        <v>3672.39</v>
      </c>
      <c r="E3417" s="43" t="s">
        <v>3596</v>
      </c>
    </row>
    <row r="3418" spans="1:5" x14ac:dyDescent="0.35">
      <c r="A3418" s="40">
        <v>44483</v>
      </c>
      <c r="B3418" s="38">
        <v>2213.48</v>
      </c>
      <c r="C3418" s="13" t="s">
        <v>2272</v>
      </c>
      <c r="D3418" s="36">
        <v>4432.3900000000003</v>
      </c>
      <c r="E3418" s="43" t="s">
        <v>3596</v>
      </c>
    </row>
    <row r="3419" spans="1:5" x14ac:dyDescent="0.35">
      <c r="A3419" s="40">
        <v>44482</v>
      </c>
      <c r="B3419" s="38">
        <v>-34.799999999999997</v>
      </c>
      <c r="C3419" s="13" t="s">
        <v>1654</v>
      </c>
      <c r="D3419" s="36">
        <v>2218.91</v>
      </c>
      <c r="E3419" s="43" t="s">
        <v>3596</v>
      </c>
    </row>
    <row r="3420" spans="1:5" x14ac:dyDescent="0.35">
      <c r="A3420" s="40">
        <v>44481</v>
      </c>
      <c r="B3420" s="38">
        <v>-18.34</v>
      </c>
      <c r="C3420" s="13" t="s">
        <v>2271</v>
      </c>
      <c r="D3420" s="36">
        <v>2293.73</v>
      </c>
      <c r="E3420" s="43" t="s">
        <v>3596</v>
      </c>
    </row>
    <row r="3421" spans="1:5" x14ac:dyDescent="0.35">
      <c r="A3421" s="40">
        <v>44481</v>
      </c>
      <c r="B3421" s="38">
        <v>-22</v>
      </c>
      <c r="C3421" s="13" t="s">
        <v>2271</v>
      </c>
      <c r="D3421" s="36">
        <v>2312.0700000000002</v>
      </c>
      <c r="E3421" s="43" t="s">
        <v>3596</v>
      </c>
    </row>
    <row r="3422" spans="1:5" x14ac:dyDescent="0.35">
      <c r="A3422" s="40">
        <v>44481</v>
      </c>
      <c r="B3422" s="38">
        <v>-40.020000000000003</v>
      </c>
      <c r="C3422" s="13" t="s">
        <v>2270</v>
      </c>
      <c r="D3422" s="36">
        <v>2253.71</v>
      </c>
      <c r="E3422" s="43" t="s">
        <v>3596</v>
      </c>
    </row>
    <row r="3423" spans="1:5" x14ac:dyDescent="0.35">
      <c r="A3423" s="40">
        <v>44480</v>
      </c>
      <c r="B3423" s="38">
        <v>-18.399999999999999</v>
      </c>
      <c r="C3423" s="13" t="s">
        <v>1584</v>
      </c>
      <c r="D3423" s="36">
        <v>2334.0700000000002</v>
      </c>
      <c r="E3423" s="43" t="s">
        <v>3596</v>
      </c>
    </row>
    <row r="3424" spans="1:5" x14ac:dyDescent="0.35">
      <c r="A3424" s="40">
        <v>44477</v>
      </c>
      <c r="B3424" s="38">
        <v>-24.84</v>
      </c>
      <c r="C3424" s="13" t="s">
        <v>2269</v>
      </c>
      <c r="D3424" s="36">
        <v>2352.4699999999998</v>
      </c>
      <c r="E3424" s="43" t="s">
        <v>3596</v>
      </c>
    </row>
    <row r="3425" spans="1:5" x14ac:dyDescent="0.35">
      <c r="A3425" s="40">
        <v>44475</v>
      </c>
      <c r="B3425" s="38">
        <v>-40</v>
      </c>
      <c r="C3425" s="45" t="s">
        <v>2268</v>
      </c>
      <c r="D3425" s="36">
        <v>2377.31</v>
      </c>
      <c r="E3425" s="43" t="s">
        <v>3596</v>
      </c>
    </row>
    <row r="3426" spans="1:5" x14ac:dyDescent="0.35">
      <c r="A3426" s="40">
        <v>44474</v>
      </c>
      <c r="B3426" s="38">
        <v>-42.95</v>
      </c>
      <c r="C3426" s="45" t="s">
        <v>2267</v>
      </c>
      <c r="D3426" s="36">
        <v>2421.31</v>
      </c>
      <c r="E3426" s="43" t="s">
        <v>3596</v>
      </c>
    </row>
    <row r="3427" spans="1:5" x14ac:dyDescent="0.35">
      <c r="A3427" s="40">
        <v>44474</v>
      </c>
      <c r="B3427" s="38">
        <v>-4</v>
      </c>
      <c r="C3427" s="45" t="s">
        <v>2266</v>
      </c>
      <c r="D3427" s="36">
        <v>2417.31</v>
      </c>
      <c r="E3427" s="43" t="s">
        <v>3596</v>
      </c>
    </row>
    <row r="3428" spans="1:5" x14ac:dyDescent="0.35">
      <c r="A3428" s="40">
        <v>44473</v>
      </c>
      <c r="B3428" s="38">
        <v>50</v>
      </c>
      <c r="C3428" s="45" t="s">
        <v>2264</v>
      </c>
      <c r="D3428" s="36">
        <v>2464.2600000000002</v>
      </c>
      <c r="E3428" s="43" t="s">
        <v>3596</v>
      </c>
    </row>
    <row r="3429" spans="1:5" x14ac:dyDescent="0.35">
      <c r="A3429" s="40">
        <v>44473</v>
      </c>
      <c r="B3429" s="38">
        <v>-50</v>
      </c>
      <c r="C3429" s="45" t="s">
        <v>2265</v>
      </c>
      <c r="D3429" s="36">
        <v>2414.2600000000002</v>
      </c>
      <c r="E3429" s="43" t="s">
        <v>3596</v>
      </c>
    </row>
    <row r="3430" spans="1:5" x14ac:dyDescent="0.35">
      <c r="A3430" s="40">
        <v>44472</v>
      </c>
      <c r="B3430" s="38">
        <v>-150</v>
      </c>
      <c r="C3430" s="45" t="s">
        <v>2263</v>
      </c>
      <c r="D3430" s="36">
        <v>2464.2600000000002</v>
      </c>
      <c r="E3430" s="43" t="s">
        <v>3596</v>
      </c>
    </row>
    <row r="3431" spans="1:5" x14ac:dyDescent="0.35">
      <c r="A3431" s="40">
        <v>44470</v>
      </c>
      <c r="B3431" s="38">
        <v>-180.55</v>
      </c>
      <c r="C3431" s="13" t="s">
        <v>2262</v>
      </c>
      <c r="D3431" s="36">
        <v>2614.2600000000002</v>
      </c>
      <c r="E3431" s="43" t="s">
        <v>3596</v>
      </c>
    </row>
    <row r="3432" spans="1:5" x14ac:dyDescent="0.35">
      <c r="A3432" s="40">
        <v>44469</v>
      </c>
      <c r="B3432" s="38">
        <v>-760</v>
      </c>
      <c r="C3432" s="13" t="s">
        <v>1395</v>
      </c>
      <c r="D3432" s="36">
        <v>2265.21</v>
      </c>
      <c r="E3432" s="43" t="s">
        <v>3596</v>
      </c>
    </row>
    <row r="3433" spans="1:5" x14ac:dyDescent="0.35">
      <c r="A3433" s="40">
        <v>44469</v>
      </c>
      <c r="B3433" s="38">
        <v>2213.48</v>
      </c>
      <c r="C3433" s="13" t="s">
        <v>2261</v>
      </c>
      <c r="D3433" s="36">
        <v>3025.21</v>
      </c>
      <c r="E3433" s="43" t="s">
        <v>3596</v>
      </c>
    </row>
    <row r="3434" spans="1:5" x14ac:dyDescent="0.35">
      <c r="A3434" s="40">
        <v>44469</v>
      </c>
      <c r="B3434" s="38">
        <v>529.6</v>
      </c>
      <c r="C3434" s="13" t="s">
        <v>2260</v>
      </c>
      <c r="D3434" s="36">
        <v>2794.81</v>
      </c>
      <c r="E3434" s="43" t="s">
        <v>3596</v>
      </c>
    </row>
    <row r="3435" spans="1:5" x14ac:dyDescent="0.35">
      <c r="A3435" s="40">
        <v>44468</v>
      </c>
      <c r="B3435" s="38">
        <v>-41.17</v>
      </c>
      <c r="C3435" s="13" t="s">
        <v>2259</v>
      </c>
      <c r="D3435" s="36">
        <v>811.73</v>
      </c>
      <c r="E3435" s="43" t="s">
        <v>3596</v>
      </c>
    </row>
    <row r="3436" spans="1:5" x14ac:dyDescent="0.35">
      <c r="A3436" s="40">
        <v>44467</v>
      </c>
      <c r="B3436" s="38">
        <v>-47.99</v>
      </c>
      <c r="C3436" s="13" t="s">
        <v>2258</v>
      </c>
      <c r="D3436" s="36">
        <v>852.9</v>
      </c>
      <c r="E3436" s="43" t="s">
        <v>3596</v>
      </c>
    </row>
    <row r="3437" spans="1:5" x14ac:dyDescent="0.35">
      <c r="A3437" s="40">
        <v>44461</v>
      </c>
      <c r="B3437" s="38">
        <v>-250</v>
      </c>
      <c r="C3437" s="13" t="s">
        <v>2257</v>
      </c>
      <c r="D3437" s="36">
        <v>900.89</v>
      </c>
      <c r="E3437" s="43" t="s">
        <v>3596</v>
      </c>
    </row>
    <row r="3438" spans="1:5" x14ac:dyDescent="0.35">
      <c r="A3438" s="40">
        <v>44460</v>
      </c>
      <c r="B3438" s="38">
        <v>-4</v>
      </c>
      <c r="C3438" s="13" t="s">
        <v>2256</v>
      </c>
      <c r="D3438" s="36">
        <v>1150.8900000000001</v>
      </c>
      <c r="E3438" s="43" t="s">
        <v>3596</v>
      </c>
    </row>
    <row r="3439" spans="1:5" x14ac:dyDescent="0.35">
      <c r="A3439" s="40">
        <v>44458</v>
      </c>
      <c r="B3439" s="38">
        <v>-54.13</v>
      </c>
      <c r="C3439" s="13" t="s">
        <v>1490</v>
      </c>
      <c r="D3439" s="36">
        <v>1154.8900000000001</v>
      </c>
      <c r="E3439" s="43" t="s">
        <v>3596</v>
      </c>
    </row>
    <row r="3440" spans="1:5" x14ac:dyDescent="0.35">
      <c r="A3440" s="40">
        <v>44457</v>
      </c>
      <c r="B3440" s="38">
        <v>-1000</v>
      </c>
      <c r="C3440" s="13" t="s">
        <v>2253</v>
      </c>
      <c r="D3440" s="36">
        <v>1209.02</v>
      </c>
      <c r="E3440" s="43" t="s">
        <v>3596</v>
      </c>
    </row>
    <row r="3441" spans="1:5" x14ac:dyDescent="0.35">
      <c r="A3441" s="40">
        <v>44457</v>
      </c>
      <c r="B3441" s="38">
        <v>-55.39</v>
      </c>
      <c r="C3441" s="13" t="s">
        <v>2254</v>
      </c>
      <c r="D3441" s="36">
        <v>2209.02</v>
      </c>
      <c r="E3441" s="43" t="s">
        <v>3596</v>
      </c>
    </row>
    <row r="3442" spans="1:5" x14ac:dyDescent="0.35">
      <c r="A3442" s="40">
        <v>44457</v>
      </c>
      <c r="B3442" s="38">
        <v>-41.16</v>
      </c>
      <c r="C3442" s="13" t="s">
        <v>2255</v>
      </c>
      <c r="D3442" s="36">
        <v>2264.41</v>
      </c>
      <c r="E3442" s="43" t="s">
        <v>3596</v>
      </c>
    </row>
    <row r="3443" spans="1:5" x14ac:dyDescent="0.35">
      <c r="A3443" s="40">
        <v>44455</v>
      </c>
      <c r="B3443" s="38">
        <v>-760</v>
      </c>
      <c r="C3443" s="13" t="s">
        <v>1395</v>
      </c>
      <c r="D3443" s="36">
        <v>2835.17</v>
      </c>
      <c r="E3443" s="43" t="s">
        <v>3596</v>
      </c>
    </row>
    <row r="3444" spans="1:5" x14ac:dyDescent="0.35">
      <c r="A3444" s="40">
        <v>44455</v>
      </c>
      <c r="B3444" s="38">
        <v>-59</v>
      </c>
      <c r="C3444" s="13" t="s">
        <v>2252</v>
      </c>
      <c r="D3444" s="36">
        <v>3595.17</v>
      </c>
      <c r="E3444" s="43" t="s">
        <v>3596</v>
      </c>
    </row>
    <row r="3445" spans="1:5" x14ac:dyDescent="0.35">
      <c r="A3445" s="40">
        <v>44455</v>
      </c>
      <c r="B3445" s="38">
        <v>2213.48</v>
      </c>
      <c r="C3445" s="13" t="s">
        <v>1473</v>
      </c>
      <c r="D3445" s="36">
        <v>3654.17</v>
      </c>
      <c r="E3445" s="43" t="s">
        <v>3596</v>
      </c>
    </row>
    <row r="3446" spans="1:5" x14ac:dyDescent="0.35">
      <c r="A3446" s="40">
        <v>44455</v>
      </c>
      <c r="B3446" s="38">
        <v>-529.6</v>
      </c>
      <c r="C3446" s="13" t="s">
        <v>2251</v>
      </c>
      <c r="D3446" s="36">
        <v>2305.5700000000002</v>
      </c>
      <c r="E3446" s="43" t="s">
        <v>3596</v>
      </c>
    </row>
    <row r="3447" spans="1:5" x14ac:dyDescent="0.35">
      <c r="A3447" s="40">
        <v>44454</v>
      </c>
      <c r="B3447" s="38">
        <v>-4</v>
      </c>
      <c r="C3447" s="13" t="s">
        <v>2250</v>
      </c>
      <c r="D3447" s="36">
        <v>1440.69</v>
      </c>
      <c r="E3447" s="43" t="s">
        <v>3596</v>
      </c>
    </row>
    <row r="3448" spans="1:5" x14ac:dyDescent="0.35">
      <c r="A3448" s="40">
        <v>44453</v>
      </c>
      <c r="B3448" s="38">
        <v>-22.24</v>
      </c>
      <c r="C3448" s="13" t="s">
        <v>2249</v>
      </c>
      <c r="D3448" s="36">
        <v>1580.72</v>
      </c>
      <c r="E3448" s="43" t="s">
        <v>3596</v>
      </c>
    </row>
    <row r="3449" spans="1:5" x14ac:dyDescent="0.35">
      <c r="A3449" s="40">
        <v>44453</v>
      </c>
      <c r="B3449" s="38">
        <v>-94</v>
      </c>
      <c r="C3449" s="13" t="s">
        <v>2247</v>
      </c>
      <c r="D3449" s="36">
        <v>1444.69</v>
      </c>
      <c r="E3449" s="43" t="s">
        <v>3596</v>
      </c>
    </row>
    <row r="3450" spans="1:5" x14ac:dyDescent="0.35">
      <c r="A3450" s="40">
        <v>44453</v>
      </c>
      <c r="B3450" s="38">
        <v>-42.03</v>
      </c>
      <c r="C3450" s="13" t="s">
        <v>2248</v>
      </c>
      <c r="D3450" s="36">
        <v>1538.69</v>
      </c>
      <c r="E3450" s="43" t="s">
        <v>3596</v>
      </c>
    </row>
    <row r="3451" spans="1:5" x14ac:dyDescent="0.35">
      <c r="A3451" s="40">
        <v>44452</v>
      </c>
      <c r="B3451" s="38">
        <v>-44.9</v>
      </c>
      <c r="C3451" s="13" t="s">
        <v>1490</v>
      </c>
      <c r="D3451" s="36">
        <v>1602.96</v>
      </c>
      <c r="E3451" s="43" t="s">
        <v>3596</v>
      </c>
    </row>
    <row r="3452" spans="1:5" x14ac:dyDescent="0.35">
      <c r="A3452" s="40">
        <v>44448</v>
      </c>
      <c r="B3452" s="38">
        <v>-1000</v>
      </c>
      <c r="C3452" s="13" t="s">
        <v>2245</v>
      </c>
      <c r="D3452" s="36">
        <v>1647.86</v>
      </c>
      <c r="E3452" s="43" t="s">
        <v>3596</v>
      </c>
    </row>
    <row r="3453" spans="1:5" x14ac:dyDescent="0.35">
      <c r="A3453" s="40">
        <v>44448</v>
      </c>
      <c r="B3453" s="38">
        <v>-45.7</v>
      </c>
      <c r="C3453" s="13" t="s">
        <v>2246</v>
      </c>
      <c r="D3453" s="36">
        <v>2647.86</v>
      </c>
      <c r="E3453" s="43" t="s">
        <v>3596</v>
      </c>
    </row>
    <row r="3454" spans="1:5" x14ac:dyDescent="0.35">
      <c r="A3454" s="40">
        <v>44446</v>
      </c>
      <c r="B3454" s="38">
        <v>-20.3</v>
      </c>
      <c r="C3454" s="13" t="s">
        <v>2242</v>
      </c>
      <c r="D3454" s="36">
        <v>2715.05</v>
      </c>
      <c r="E3454" s="43" t="s">
        <v>3596</v>
      </c>
    </row>
    <row r="3455" spans="1:5" x14ac:dyDescent="0.35">
      <c r="A3455" s="40">
        <v>44446</v>
      </c>
      <c r="B3455" s="38">
        <v>-32.729999999999997</v>
      </c>
      <c r="C3455" s="13" t="s">
        <v>2243</v>
      </c>
      <c r="D3455" s="36">
        <v>2735.35</v>
      </c>
      <c r="E3455" s="43" t="s">
        <v>3596</v>
      </c>
    </row>
    <row r="3456" spans="1:5" x14ac:dyDescent="0.35">
      <c r="A3456" s="40">
        <v>44446</v>
      </c>
      <c r="B3456" s="38">
        <v>-21.49</v>
      </c>
      <c r="C3456" s="13" t="s">
        <v>2241</v>
      </c>
      <c r="D3456" s="36">
        <v>2693.56</v>
      </c>
      <c r="E3456" s="43" t="s">
        <v>3596</v>
      </c>
    </row>
    <row r="3457" spans="1:5" x14ac:dyDescent="0.35">
      <c r="A3457" s="40">
        <v>44446</v>
      </c>
      <c r="B3457" s="38">
        <v>-100.58</v>
      </c>
      <c r="C3457" s="13" t="s">
        <v>2244</v>
      </c>
      <c r="D3457" s="36">
        <v>2768.08</v>
      </c>
      <c r="E3457" s="43" t="s">
        <v>3596</v>
      </c>
    </row>
    <row r="3458" spans="1:5" x14ac:dyDescent="0.35">
      <c r="A3458" s="40">
        <v>44444</v>
      </c>
      <c r="B3458" s="38">
        <v>-43.17</v>
      </c>
      <c r="C3458" s="13" t="s">
        <v>1490</v>
      </c>
      <c r="D3458" s="36">
        <v>2868.66</v>
      </c>
      <c r="E3458" s="43" t="s">
        <v>3596</v>
      </c>
    </row>
    <row r="3459" spans="1:5" x14ac:dyDescent="0.35">
      <c r="A3459" s="40">
        <v>44443</v>
      </c>
      <c r="B3459" s="38">
        <v>-112.25</v>
      </c>
      <c r="C3459" s="13" t="s">
        <v>2240</v>
      </c>
      <c r="D3459" s="36">
        <v>2911.83</v>
      </c>
      <c r="E3459" s="43" t="s">
        <v>3596</v>
      </c>
    </row>
    <row r="3460" spans="1:5" x14ac:dyDescent="0.35">
      <c r="A3460" s="40">
        <v>44441</v>
      </c>
      <c r="B3460" s="38">
        <v>-760</v>
      </c>
      <c r="C3460" s="13" t="s">
        <v>1395</v>
      </c>
      <c r="D3460" s="36">
        <v>3024.08</v>
      </c>
      <c r="E3460" s="43" t="s">
        <v>3596</v>
      </c>
    </row>
    <row r="3461" spans="1:5" x14ac:dyDescent="0.35">
      <c r="A3461" s="40">
        <v>44441</v>
      </c>
      <c r="B3461" s="38">
        <v>2248.81</v>
      </c>
      <c r="C3461" s="13" t="s">
        <v>2239</v>
      </c>
      <c r="D3461" s="36">
        <v>3784.08</v>
      </c>
      <c r="E3461" s="43" t="s">
        <v>3596</v>
      </c>
    </row>
    <row r="3462" spans="1:5" x14ac:dyDescent="0.35">
      <c r="A3462" s="40">
        <v>44440</v>
      </c>
      <c r="B3462" s="38">
        <v>-180.55</v>
      </c>
      <c r="C3462" s="45" t="s">
        <v>2238</v>
      </c>
      <c r="D3462" s="36">
        <v>1535.27</v>
      </c>
      <c r="E3462" s="43" t="s">
        <v>3596</v>
      </c>
    </row>
    <row r="3463" spans="1:5" x14ac:dyDescent="0.35">
      <c r="A3463" s="40">
        <v>44439</v>
      </c>
      <c r="B3463" s="38">
        <v>-3.6</v>
      </c>
      <c r="C3463" s="45" t="s">
        <v>2237</v>
      </c>
      <c r="D3463" s="36">
        <v>1715.82</v>
      </c>
      <c r="E3463" s="43" t="s">
        <v>3596</v>
      </c>
    </row>
    <row r="3464" spans="1:5" x14ac:dyDescent="0.35">
      <c r="A3464" s="40">
        <v>44434</v>
      </c>
      <c r="B3464" s="38">
        <v>-7.0000000000000007E-2</v>
      </c>
      <c r="C3464" s="45" t="s">
        <v>2234</v>
      </c>
      <c r="D3464" s="36">
        <v>1719.42</v>
      </c>
      <c r="E3464" s="43" t="s">
        <v>3596</v>
      </c>
    </row>
    <row r="3465" spans="1:5" x14ac:dyDescent="0.35">
      <c r="A3465" s="40">
        <v>44434</v>
      </c>
      <c r="B3465" s="38">
        <v>-2.35</v>
      </c>
      <c r="C3465" s="45" t="s">
        <v>2236</v>
      </c>
      <c r="D3465" s="36">
        <v>1719.49</v>
      </c>
      <c r="E3465" s="43" t="s">
        <v>3596</v>
      </c>
    </row>
    <row r="3466" spans="1:5" x14ac:dyDescent="0.35">
      <c r="A3466" s="40">
        <v>44433</v>
      </c>
      <c r="B3466" s="38">
        <v>-34.39</v>
      </c>
      <c r="C3466" s="45" t="s">
        <v>1490</v>
      </c>
      <c r="D3466" s="36">
        <v>1721.84</v>
      </c>
      <c r="E3466" s="43" t="s">
        <v>3596</v>
      </c>
    </row>
    <row r="3467" spans="1:5" x14ac:dyDescent="0.35">
      <c r="A3467" s="40">
        <v>44432</v>
      </c>
      <c r="B3467" s="38">
        <v>-250</v>
      </c>
      <c r="C3467" s="45" t="s">
        <v>2233</v>
      </c>
      <c r="D3467" s="36">
        <v>1756.23</v>
      </c>
      <c r="E3467" s="43" t="s">
        <v>3596</v>
      </c>
    </row>
    <row r="3468" spans="1:5" x14ac:dyDescent="0.35">
      <c r="A3468" s="40">
        <v>44432</v>
      </c>
      <c r="B3468" s="38">
        <v>-195.64</v>
      </c>
      <c r="C3468" s="13" t="s">
        <v>2235</v>
      </c>
      <c r="D3468" s="36">
        <v>2012.1</v>
      </c>
      <c r="E3468" s="43" t="s">
        <v>3596</v>
      </c>
    </row>
    <row r="3469" spans="1:5" x14ac:dyDescent="0.35">
      <c r="A3469" s="40">
        <v>44432</v>
      </c>
      <c r="B3469" s="38">
        <v>-5.87</v>
      </c>
      <c r="C3469" s="13" t="s">
        <v>2234</v>
      </c>
      <c r="D3469" s="36">
        <v>2006.23</v>
      </c>
      <c r="E3469" s="43" t="s">
        <v>3596</v>
      </c>
    </row>
    <row r="3470" spans="1:5" x14ac:dyDescent="0.35">
      <c r="A3470" s="40">
        <v>44431</v>
      </c>
      <c r="B3470" s="38">
        <v>250</v>
      </c>
      <c r="C3470" s="13" t="s">
        <v>2232</v>
      </c>
      <c r="D3470" s="36">
        <v>2207.7399999999998</v>
      </c>
      <c r="E3470" s="43" t="s">
        <v>3596</v>
      </c>
    </row>
    <row r="3471" spans="1:5" x14ac:dyDescent="0.35">
      <c r="A3471" s="40">
        <v>44429</v>
      </c>
      <c r="B3471" s="38">
        <v>-500</v>
      </c>
      <c r="C3471" s="13" t="s">
        <v>2231</v>
      </c>
      <c r="D3471" s="36">
        <v>1957.74</v>
      </c>
      <c r="E3471" s="43" t="s">
        <v>3596</v>
      </c>
    </row>
    <row r="3472" spans="1:5" x14ac:dyDescent="0.35">
      <c r="A3472" s="40">
        <v>44429</v>
      </c>
      <c r="B3472" s="38">
        <v>-5.99</v>
      </c>
      <c r="C3472" s="13" t="s">
        <v>2227</v>
      </c>
      <c r="D3472" s="36">
        <v>2457.7399999999998</v>
      </c>
      <c r="E3472" s="43" t="s">
        <v>3596</v>
      </c>
    </row>
    <row r="3473" spans="1:5" x14ac:dyDescent="0.35">
      <c r="A3473" s="40">
        <v>44429</v>
      </c>
      <c r="B3473" s="38">
        <v>-51.03</v>
      </c>
      <c r="C3473" s="13" t="s">
        <v>1490</v>
      </c>
      <c r="D3473" s="36">
        <v>2463.73</v>
      </c>
      <c r="E3473" s="43" t="s">
        <v>3596</v>
      </c>
    </row>
    <row r="3474" spans="1:5" x14ac:dyDescent="0.35">
      <c r="A3474" s="40">
        <v>44427</v>
      </c>
      <c r="B3474" s="38">
        <v>-760</v>
      </c>
      <c r="C3474" s="13" t="s">
        <v>1395</v>
      </c>
      <c r="D3474" s="36">
        <v>2514.7600000000002</v>
      </c>
      <c r="E3474" s="43" t="s">
        <v>3596</v>
      </c>
    </row>
    <row r="3475" spans="1:5" x14ac:dyDescent="0.35">
      <c r="A3475" s="40">
        <v>44427</v>
      </c>
      <c r="B3475" s="38">
        <v>2692.81</v>
      </c>
      <c r="C3475" s="13" t="s">
        <v>2230</v>
      </c>
      <c r="D3475" s="36">
        <v>3274.76</v>
      </c>
      <c r="E3475" s="43" t="s">
        <v>3596</v>
      </c>
    </row>
    <row r="3476" spans="1:5" x14ac:dyDescent="0.35">
      <c r="A3476" s="40">
        <v>44426</v>
      </c>
      <c r="B3476" s="38">
        <v>-59</v>
      </c>
      <c r="C3476" s="13" t="s">
        <v>2229</v>
      </c>
      <c r="D3476" s="36">
        <v>637.46</v>
      </c>
      <c r="E3476" s="43" t="s">
        <v>3596</v>
      </c>
    </row>
    <row r="3477" spans="1:5" x14ac:dyDescent="0.35">
      <c r="A3477" s="40">
        <v>44426</v>
      </c>
      <c r="B3477" s="38">
        <v>-55.51</v>
      </c>
      <c r="C3477" s="13" t="s">
        <v>2228</v>
      </c>
      <c r="D3477" s="36">
        <v>581.95000000000005</v>
      </c>
      <c r="E3477" s="43" t="s">
        <v>3596</v>
      </c>
    </row>
    <row r="3478" spans="1:5" x14ac:dyDescent="0.35">
      <c r="A3478" s="40">
        <v>44424</v>
      </c>
      <c r="B3478" s="38">
        <v>-34.58</v>
      </c>
      <c r="C3478" s="13" t="s">
        <v>2227</v>
      </c>
      <c r="D3478" s="36">
        <v>696.46</v>
      </c>
      <c r="E3478" s="43" t="s">
        <v>3596</v>
      </c>
    </row>
    <row r="3479" spans="1:5" x14ac:dyDescent="0.35">
      <c r="A3479" s="40">
        <v>44422</v>
      </c>
      <c r="B3479" s="38">
        <v>-44.83</v>
      </c>
      <c r="C3479" s="13" t="s">
        <v>1490</v>
      </c>
      <c r="D3479" s="36">
        <v>731.04</v>
      </c>
      <c r="E3479" s="43" t="s">
        <v>3596</v>
      </c>
    </row>
    <row r="3480" spans="1:5" x14ac:dyDescent="0.35">
      <c r="A3480" s="40">
        <v>44420</v>
      </c>
      <c r="B3480" s="38">
        <v>-4.49</v>
      </c>
      <c r="C3480" s="13" t="s">
        <v>1471</v>
      </c>
      <c r="D3480" s="36">
        <v>775.87</v>
      </c>
      <c r="E3480" s="43" t="s">
        <v>3596</v>
      </c>
    </row>
    <row r="3481" spans="1:5" x14ac:dyDescent="0.35">
      <c r="A3481" s="40">
        <v>44420</v>
      </c>
      <c r="B3481" s="38">
        <v>-3.99</v>
      </c>
      <c r="C3481" s="13" t="s">
        <v>2225</v>
      </c>
      <c r="D3481" s="36">
        <v>780.36</v>
      </c>
      <c r="E3481" s="43" t="s">
        <v>3596</v>
      </c>
    </row>
    <row r="3482" spans="1:5" x14ac:dyDescent="0.35">
      <c r="A3482" s="40">
        <v>44420</v>
      </c>
      <c r="B3482" s="38">
        <v>-1</v>
      </c>
      <c r="C3482" s="13" t="s">
        <v>2226</v>
      </c>
      <c r="D3482" s="36">
        <v>784.35</v>
      </c>
      <c r="E3482" s="43" t="s">
        <v>3596</v>
      </c>
    </row>
    <row r="3483" spans="1:5" x14ac:dyDescent="0.35">
      <c r="A3483" s="40">
        <v>44419</v>
      </c>
      <c r="B3483" s="38">
        <v>-21</v>
      </c>
      <c r="C3483" s="13" t="s">
        <v>2223</v>
      </c>
      <c r="D3483" s="36">
        <v>785.35</v>
      </c>
      <c r="E3483" s="43" t="s">
        <v>3596</v>
      </c>
    </row>
    <row r="3484" spans="1:5" x14ac:dyDescent="0.35">
      <c r="A3484" s="40">
        <v>44419</v>
      </c>
      <c r="B3484" s="38">
        <v>-72</v>
      </c>
      <c r="C3484" s="13" t="s">
        <v>2223</v>
      </c>
      <c r="D3484" s="36">
        <v>806.35</v>
      </c>
      <c r="E3484" s="43" t="s">
        <v>3596</v>
      </c>
    </row>
    <row r="3485" spans="1:5" x14ac:dyDescent="0.35">
      <c r="A3485" s="40">
        <v>44419</v>
      </c>
      <c r="B3485" s="38">
        <v>-57.87</v>
      </c>
      <c r="C3485" s="13" t="s">
        <v>2224</v>
      </c>
      <c r="D3485" s="36">
        <v>878.35</v>
      </c>
      <c r="E3485" s="43" t="s">
        <v>3596</v>
      </c>
    </row>
    <row r="3486" spans="1:5" x14ac:dyDescent="0.35">
      <c r="A3486" s="40">
        <v>44418</v>
      </c>
      <c r="B3486" s="38">
        <v>-1200</v>
      </c>
      <c r="C3486" s="13" t="s">
        <v>2222</v>
      </c>
      <c r="D3486" s="36">
        <v>1452.81</v>
      </c>
      <c r="E3486" s="43" t="s">
        <v>3596</v>
      </c>
    </row>
    <row r="3487" spans="1:5" x14ac:dyDescent="0.35">
      <c r="A3487" s="40">
        <v>44418</v>
      </c>
      <c r="B3487" s="38">
        <v>-400</v>
      </c>
      <c r="C3487" s="13" t="s">
        <v>2221</v>
      </c>
      <c r="D3487" s="36">
        <v>1052.81</v>
      </c>
      <c r="E3487" s="43" t="s">
        <v>3596</v>
      </c>
    </row>
    <row r="3488" spans="1:5" x14ac:dyDescent="0.35">
      <c r="A3488" s="40">
        <v>44418</v>
      </c>
      <c r="B3488" s="38">
        <v>-99.79</v>
      </c>
      <c r="C3488" s="13" t="s">
        <v>2220</v>
      </c>
      <c r="D3488" s="36">
        <v>953.02</v>
      </c>
      <c r="E3488" s="43" t="s">
        <v>3596</v>
      </c>
    </row>
    <row r="3489" spans="1:5" x14ac:dyDescent="0.35">
      <c r="A3489" s="40">
        <v>44418</v>
      </c>
      <c r="B3489" s="38">
        <v>-16.8</v>
      </c>
      <c r="C3489" s="13" t="s">
        <v>1584</v>
      </c>
      <c r="D3489" s="36">
        <v>936.22</v>
      </c>
      <c r="E3489" s="43" t="s">
        <v>3596</v>
      </c>
    </row>
    <row r="3490" spans="1:5" x14ac:dyDescent="0.35">
      <c r="A3490" s="40">
        <v>44417</v>
      </c>
      <c r="B3490" s="38">
        <v>-64.78</v>
      </c>
      <c r="C3490" s="13" t="s">
        <v>1490</v>
      </c>
      <c r="D3490" s="36">
        <v>2652.81</v>
      </c>
      <c r="E3490" s="43" t="s">
        <v>3596</v>
      </c>
    </row>
    <row r="3491" spans="1:5" x14ac:dyDescent="0.35">
      <c r="A3491" s="40">
        <v>44413</v>
      </c>
      <c r="B3491" s="38">
        <v>-760</v>
      </c>
      <c r="C3491" s="13" t="s">
        <v>1395</v>
      </c>
      <c r="D3491" s="36">
        <v>2741.99</v>
      </c>
      <c r="E3491" s="43" t="s">
        <v>3596</v>
      </c>
    </row>
    <row r="3492" spans="1:5" x14ac:dyDescent="0.35">
      <c r="A3492" s="40">
        <v>44413</v>
      </c>
      <c r="B3492" s="38">
        <v>-86.6</v>
      </c>
      <c r="C3492" s="13" t="s">
        <v>2218</v>
      </c>
      <c r="D3492" s="36">
        <v>3501.99</v>
      </c>
      <c r="E3492" s="43" t="s">
        <v>3596</v>
      </c>
    </row>
    <row r="3493" spans="1:5" x14ac:dyDescent="0.35">
      <c r="A3493" s="40">
        <v>44413</v>
      </c>
      <c r="B3493" s="38">
        <v>2260.63</v>
      </c>
      <c r="C3493" s="13" t="s">
        <v>2219</v>
      </c>
      <c r="D3493" s="36">
        <v>3588.59</v>
      </c>
      <c r="E3493" s="43" t="s">
        <v>3596</v>
      </c>
    </row>
    <row r="3494" spans="1:5" x14ac:dyDescent="0.35">
      <c r="A3494" s="40">
        <v>44413</v>
      </c>
      <c r="B3494" s="38">
        <v>-24.4</v>
      </c>
      <c r="C3494" s="13" t="s">
        <v>1654</v>
      </c>
      <c r="D3494" s="36">
        <v>2717.59</v>
      </c>
      <c r="E3494" s="43" t="s">
        <v>3596</v>
      </c>
    </row>
    <row r="3495" spans="1:5" x14ac:dyDescent="0.35">
      <c r="A3495" s="40">
        <v>44412</v>
      </c>
      <c r="B3495" s="38">
        <v>-239</v>
      </c>
      <c r="C3495" s="13" t="s">
        <v>2216</v>
      </c>
      <c r="D3495" s="36">
        <v>1327.96</v>
      </c>
      <c r="E3495" s="43" t="s">
        <v>3596</v>
      </c>
    </row>
    <row r="3496" spans="1:5" x14ac:dyDescent="0.35">
      <c r="A3496" s="40">
        <v>44412</v>
      </c>
      <c r="B3496" s="38">
        <v>-12.99</v>
      </c>
      <c r="C3496" s="13" t="s">
        <v>2217</v>
      </c>
      <c r="D3496" s="36">
        <v>1566.96</v>
      </c>
      <c r="E3496" s="43" t="s">
        <v>3596</v>
      </c>
    </row>
    <row r="3497" spans="1:5" x14ac:dyDescent="0.35">
      <c r="A3497" s="40">
        <v>44411</v>
      </c>
      <c r="B3497" s="38">
        <v>-10.15</v>
      </c>
      <c r="C3497" s="13" t="s">
        <v>2215</v>
      </c>
      <c r="D3497" s="36">
        <v>1656.81</v>
      </c>
      <c r="E3497" s="43" t="s">
        <v>3596</v>
      </c>
    </row>
    <row r="3498" spans="1:5" x14ac:dyDescent="0.35">
      <c r="A3498" s="40">
        <v>44411</v>
      </c>
      <c r="B3498" s="38">
        <v>-34.590000000000003</v>
      </c>
      <c r="C3498" s="13" t="s">
        <v>1471</v>
      </c>
      <c r="D3498" s="36">
        <v>1579.95</v>
      </c>
      <c r="E3498" s="43" t="s">
        <v>3596</v>
      </c>
    </row>
    <row r="3499" spans="1:5" x14ac:dyDescent="0.35">
      <c r="A3499" s="40">
        <v>44411</v>
      </c>
      <c r="B3499" s="38">
        <v>-42.27</v>
      </c>
      <c r="C3499" s="13" t="s">
        <v>2214</v>
      </c>
      <c r="D3499" s="36">
        <v>1614.54</v>
      </c>
      <c r="E3499" s="43" t="s">
        <v>3596</v>
      </c>
    </row>
    <row r="3500" spans="1:5" x14ac:dyDescent="0.35">
      <c r="A3500" s="40">
        <v>44410</v>
      </c>
      <c r="B3500" s="38">
        <v>-179.45</v>
      </c>
      <c r="C3500" s="13" t="s">
        <v>2213</v>
      </c>
      <c r="D3500" s="36">
        <v>1666.96</v>
      </c>
      <c r="E3500" s="43" t="s">
        <v>3596</v>
      </c>
    </row>
    <row r="3501" spans="1:5" x14ac:dyDescent="0.35">
      <c r="A3501" s="40">
        <v>44407</v>
      </c>
      <c r="B3501" s="38">
        <v>-25</v>
      </c>
      <c r="C3501" s="13" t="s">
        <v>2212</v>
      </c>
      <c r="D3501" s="36">
        <v>1567.51</v>
      </c>
      <c r="E3501" s="43" t="s">
        <v>3596</v>
      </c>
    </row>
    <row r="3502" spans="1:5" x14ac:dyDescent="0.35">
      <c r="A3502" s="40">
        <v>44407</v>
      </c>
      <c r="B3502" s="38">
        <v>28.9</v>
      </c>
      <c r="C3502" s="13" t="s">
        <v>2210</v>
      </c>
      <c r="D3502" s="36">
        <v>1846.41</v>
      </c>
      <c r="E3502" s="43" t="s">
        <v>3596</v>
      </c>
    </row>
    <row r="3503" spans="1:5" x14ac:dyDescent="0.35">
      <c r="A3503" s="40">
        <v>44407</v>
      </c>
      <c r="B3503" s="38">
        <v>250</v>
      </c>
      <c r="C3503" s="13" t="s">
        <v>2211</v>
      </c>
      <c r="D3503" s="36">
        <v>1817.51</v>
      </c>
      <c r="E3503" s="43" t="s">
        <v>3596</v>
      </c>
    </row>
    <row r="3504" spans="1:5" x14ac:dyDescent="0.35">
      <c r="A3504" s="40">
        <v>44405</v>
      </c>
      <c r="B3504" s="38">
        <v>-3.8</v>
      </c>
      <c r="C3504" s="13" t="s">
        <v>2209</v>
      </c>
      <c r="D3504" s="36">
        <v>1592.51</v>
      </c>
      <c r="E3504" s="43" t="s">
        <v>3596</v>
      </c>
    </row>
    <row r="3505" spans="1:5" x14ac:dyDescent="0.35">
      <c r="A3505" s="40">
        <v>44404</v>
      </c>
      <c r="B3505" s="38">
        <v>-30.46</v>
      </c>
      <c r="C3505" s="13" t="s">
        <v>2208</v>
      </c>
      <c r="D3505" s="36">
        <v>1599.41</v>
      </c>
      <c r="E3505" s="43" t="s">
        <v>3596</v>
      </c>
    </row>
    <row r="3506" spans="1:5" x14ac:dyDescent="0.35">
      <c r="A3506" s="40">
        <v>44404</v>
      </c>
      <c r="B3506" s="38">
        <v>-3.1</v>
      </c>
      <c r="C3506" s="13" t="s">
        <v>2207</v>
      </c>
      <c r="D3506" s="36">
        <v>1596.31</v>
      </c>
      <c r="E3506" s="43" t="s">
        <v>3596</v>
      </c>
    </row>
    <row r="3507" spans="1:5" x14ac:dyDescent="0.35">
      <c r="A3507" s="40">
        <v>44401</v>
      </c>
      <c r="B3507" s="38">
        <v>-50.67</v>
      </c>
      <c r="C3507" s="13" t="s">
        <v>1490</v>
      </c>
      <c r="D3507" s="36">
        <v>1629.87</v>
      </c>
      <c r="E3507" s="43" t="s">
        <v>3596</v>
      </c>
    </row>
    <row r="3508" spans="1:5" x14ac:dyDescent="0.35">
      <c r="A3508" s="40">
        <v>44399</v>
      </c>
      <c r="B3508" s="38">
        <v>-760</v>
      </c>
      <c r="C3508" s="13" t="s">
        <v>1395</v>
      </c>
      <c r="D3508" s="36">
        <v>1680.54</v>
      </c>
      <c r="E3508" s="43" t="s">
        <v>3596</v>
      </c>
    </row>
    <row r="3509" spans="1:5" x14ac:dyDescent="0.35">
      <c r="A3509" s="40">
        <v>44399</v>
      </c>
      <c r="B3509" s="38">
        <v>2326.5300000000002</v>
      </c>
      <c r="C3509" s="13" t="s">
        <v>2206</v>
      </c>
      <c r="D3509" s="36">
        <v>2473.0700000000002</v>
      </c>
      <c r="E3509" s="43" t="s">
        <v>3596</v>
      </c>
    </row>
    <row r="3510" spans="1:5" x14ac:dyDescent="0.35">
      <c r="A3510" s="40">
        <v>44399</v>
      </c>
      <c r="B3510" s="38">
        <v>-32.53</v>
      </c>
      <c r="C3510" s="13" t="s">
        <v>2205</v>
      </c>
      <c r="D3510" s="36">
        <v>2440.54</v>
      </c>
      <c r="E3510" s="43" t="s">
        <v>3596</v>
      </c>
    </row>
    <row r="3511" spans="1:5" x14ac:dyDescent="0.35">
      <c r="A3511" s="40">
        <v>44397</v>
      </c>
      <c r="B3511" s="38">
        <v>-66.989999999999995</v>
      </c>
      <c r="C3511" s="13" t="s">
        <v>2203</v>
      </c>
      <c r="D3511" s="36">
        <v>205.1</v>
      </c>
      <c r="E3511" s="43" t="s">
        <v>3596</v>
      </c>
    </row>
    <row r="3512" spans="1:5" x14ac:dyDescent="0.35">
      <c r="A3512" s="40">
        <v>44397</v>
      </c>
      <c r="B3512" s="38">
        <v>-73.400000000000006</v>
      </c>
      <c r="C3512" s="13" t="s">
        <v>2204</v>
      </c>
      <c r="D3512" s="36">
        <v>272.08999999999997</v>
      </c>
      <c r="E3512" s="43" t="s">
        <v>3596</v>
      </c>
    </row>
    <row r="3513" spans="1:5" x14ac:dyDescent="0.35">
      <c r="A3513" s="40">
        <v>44397</v>
      </c>
      <c r="B3513" s="38">
        <v>-58.56</v>
      </c>
      <c r="C3513" s="13" t="s">
        <v>1490</v>
      </c>
      <c r="D3513" s="36">
        <v>146.54</v>
      </c>
      <c r="E3513" s="43" t="s">
        <v>3596</v>
      </c>
    </row>
    <row r="3514" spans="1:5" x14ac:dyDescent="0.35">
      <c r="A3514" s="40">
        <v>44396</v>
      </c>
      <c r="B3514" s="38">
        <v>-60</v>
      </c>
      <c r="C3514" s="13" t="s">
        <v>2202</v>
      </c>
      <c r="D3514" s="36">
        <v>347.99</v>
      </c>
      <c r="E3514" s="43" t="s">
        <v>3596</v>
      </c>
    </row>
    <row r="3515" spans="1:5" x14ac:dyDescent="0.35">
      <c r="A3515" s="40">
        <v>44396</v>
      </c>
      <c r="B3515" s="38">
        <v>-2.5</v>
      </c>
      <c r="C3515" s="13" t="s">
        <v>24</v>
      </c>
      <c r="D3515" s="36">
        <v>345.49</v>
      </c>
      <c r="E3515" s="43" t="s">
        <v>3596</v>
      </c>
    </row>
    <row r="3516" spans="1:5" x14ac:dyDescent="0.35">
      <c r="A3516" s="40">
        <v>44395</v>
      </c>
      <c r="B3516" s="38">
        <v>-21.25</v>
      </c>
      <c r="C3516" s="13" t="s">
        <v>1471</v>
      </c>
      <c r="D3516" s="36">
        <v>407.99</v>
      </c>
      <c r="E3516" s="43" t="s">
        <v>3596</v>
      </c>
    </row>
    <row r="3517" spans="1:5" x14ac:dyDescent="0.35">
      <c r="A3517" s="40">
        <v>44394</v>
      </c>
      <c r="B3517" s="38">
        <v>-59</v>
      </c>
      <c r="C3517" s="13" t="s">
        <v>2201</v>
      </c>
      <c r="D3517" s="36">
        <v>429.24</v>
      </c>
      <c r="E3517" s="43" t="s">
        <v>3596</v>
      </c>
    </row>
    <row r="3518" spans="1:5" x14ac:dyDescent="0.35">
      <c r="A3518" s="40">
        <v>44393</v>
      </c>
      <c r="B3518" s="38">
        <v>-15.99</v>
      </c>
      <c r="C3518" s="13" t="s">
        <v>2200</v>
      </c>
      <c r="D3518" s="36">
        <v>488.24</v>
      </c>
      <c r="E3518" s="43" t="s">
        <v>3596</v>
      </c>
    </row>
    <row r="3519" spans="1:5" x14ac:dyDescent="0.35">
      <c r="A3519" s="40">
        <v>44392</v>
      </c>
      <c r="B3519" s="38">
        <v>-14.47</v>
      </c>
      <c r="C3519" s="13" t="s">
        <v>1471</v>
      </c>
      <c r="D3519" s="36">
        <v>504.23</v>
      </c>
      <c r="E3519" s="43" t="s">
        <v>3596</v>
      </c>
    </row>
    <row r="3520" spans="1:5" x14ac:dyDescent="0.35">
      <c r="A3520" s="40">
        <v>44391</v>
      </c>
      <c r="B3520" s="38">
        <v>-7.65</v>
      </c>
      <c r="C3520" s="13" t="s">
        <v>2199</v>
      </c>
      <c r="D3520" s="36">
        <v>518.70000000000005</v>
      </c>
      <c r="E3520" s="43" t="s">
        <v>3596</v>
      </c>
    </row>
    <row r="3521" spans="1:5" x14ac:dyDescent="0.35">
      <c r="A3521" s="40">
        <v>44390</v>
      </c>
      <c r="B3521" s="38">
        <v>-42.24</v>
      </c>
      <c r="C3521" s="13" t="s">
        <v>2198</v>
      </c>
      <c r="D3521" s="36">
        <v>1135.3</v>
      </c>
      <c r="E3521" s="43" t="s">
        <v>3596</v>
      </c>
    </row>
    <row r="3522" spans="1:5" x14ac:dyDescent="0.35">
      <c r="A3522" s="40">
        <v>44390</v>
      </c>
      <c r="B3522" s="38">
        <v>-576.96</v>
      </c>
      <c r="C3522" s="13" t="s">
        <v>2196</v>
      </c>
      <c r="D3522" s="36">
        <v>526.35</v>
      </c>
      <c r="E3522" s="43" t="s">
        <v>3596</v>
      </c>
    </row>
    <row r="3523" spans="1:5" x14ac:dyDescent="0.35">
      <c r="A3523" s="40">
        <v>44390</v>
      </c>
      <c r="B3523" s="38">
        <v>-31.99</v>
      </c>
      <c r="C3523" s="13" t="s">
        <v>2197</v>
      </c>
      <c r="D3523" s="36">
        <v>1103.31</v>
      </c>
      <c r="E3523" s="43" t="s">
        <v>3596</v>
      </c>
    </row>
    <row r="3524" spans="1:5" x14ac:dyDescent="0.35">
      <c r="A3524" s="40">
        <v>44389</v>
      </c>
      <c r="B3524" s="38">
        <v>-61.85</v>
      </c>
      <c r="C3524" s="13" t="s">
        <v>2195</v>
      </c>
      <c r="D3524" s="36">
        <v>1177.54</v>
      </c>
      <c r="E3524" s="43" t="s">
        <v>3596</v>
      </c>
    </row>
    <row r="3525" spans="1:5" x14ac:dyDescent="0.35">
      <c r="A3525" s="40">
        <v>44389</v>
      </c>
      <c r="B3525" s="38">
        <v>-94.28</v>
      </c>
      <c r="C3525" s="13" t="s">
        <v>1490</v>
      </c>
      <c r="D3525" s="36">
        <v>1239.3900000000001</v>
      </c>
      <c r="E3525" s="43" t="s">
        <v>3596</v>
      </c>
    </row>
    <row r="3526" spans="1:5" x14ac:dyDescent="0.35">
      <c r="A3526" s="40">
        <v>44388</v>
      </c>
      <c r="B3526" s="38">
        <v>-17</v>
      </c>
      <c r="C3526" s="13" t="s">
        <v>1470</v>
      </c>
      <c r="D3526" s="36">
        <v>1333.67</v>
      </c>
      <c r="E3526" s="43" t="s">
        <v>3596</v>
      </c>
    </row>
    <row r="3527" spans="1:5" x14ac:dyDescent="0.35">
      <c r="A3527" s="40">
        <v>44386</v>
      </c>
      <c r="B3527" s="38">
        <v>-21.4</v>
      </c>
      <c r="C3527" s="13" t="s">
        <v>1584</v>
      </c>
      <c r="D3527" s="36">
        <v>1350.67</v>
      </c>
      <c r="E3527" s="43" t="s">
        <v>3596</v>
      </c>
    </row>
    <row r="3528" spans="1:5" x14ac:dyDescent="0.35">
      <c r="A3528" s="40">
        <v>44385</v>
      </c>
      <c r="B3528" s="38">
        <v>2163.73</v>
      </c>
      <c r="C3528" s="13" t="s">
        <v>2194</v>
      </c>
      <c r="D3528" s="36">
        <v>2382.0700000000002</v>
      </c>
      <c r="E3528" s="43" t="s">
        <v>3596</v>
      </c>
    </row>
    <row r="3529" spans="1:5" ht="43.5" x14ac:dyDescent="0.35">
      <c r="A3529" s="40">
        <v>44384</v>
      </c>
      <c r="B3529" s="38">
        <v>326.43</v>
      </c>
      <c r="C3529" s="45" t="s">
        <v>2192</v>
      </c>
      <c r="D3529" s="36">
        <v>791.77</v>
      </c>
      <c r="E3529" s="43" t="s">
        <v>3596</v>
      </c>
    </row>
    <row r="3530" spans="1:5" ht="43.5" x14ac:dyDescent="0.35">
      <c r="A3530" s="40">
        <v>44384</v>
      </c>
      <c r="B3530" s="38">
        <v>-573.42999999999995</v>
      </c>
      <c r="C3530" s="45" t="s">
        <v>2193</v>
      </c>
      <c r="D3530" s="36">
        <v>218.34</v>
      </c>
      <c r="E3530" s="43" t="s">
        <v>3596</v>
      </c>
    </row>
    <row r="3531" spans="1:5" ht="43.5" x14ac:dyDescent="0.35">
      <c r="A3531" s="40">
        <v>44383</v>
      </c>
      <c r="B3531" s="38">
        <v>25.67</v>
      </c>
      <c r="C3531" s="45" t="s">
        <v>2191</v>
      </c>
      <c r="D3531" s="36">
        <v>1118.2</v>
      </c>
      <c r="E3531" s="43" t="s">
        <v>3596</v>
      </c>
    </row>
    <row r="3532" spans="1:5" ht="43.5" x14ac:dyDescent="0.35">
      <c r="A3532" s="40">
        <v>44383</v>
      </c>
      <c r="B3532" s="38">
        <v>33.19</v>
      </c>
      <c r="C3532" s="45" t="s">
        <v>2190</v>
      </c>
      <c r="D3532" s="36">
        <v>1143.8699999999999</v>
      </c>
      <c r="E3532" s="43" t="s">
        <v>3596</v>
      </c>
    </row>
    <row r="3533" spans="1:5" ht="29" x14ac:dyDescent="0.35">
      <c r="A3533" s="40">
        <v>44382</v>
      </c>
      <c r="B3533" s="38">
        <v>-6.19</v>
      </c>
      <c r="C3533" s="45" t="s">
        <v>2189</v>
      </c>
      <c r="D3533" s="36">
        <v>1177.06</v>
      </c>
      <c r="E3533" s="43" t="s">
        <v>3596</v>
      </c>
    </row>
    <row r="3534" spans="1:5" ht="29" x14ac:dyDescent="0.35">
      <c r="A3534" s="40">
        <v>44381</v>
      </c>
      <c r="B3534" s="38">
        <v>30</v>
      </c>
      <c r="C3534" s="45" t="s">
        <v>2188</v>
      </c>
      <c r="D3534" s="36">
        <v>1183.25</v>
      </c>
      <c r="E3534" s="43" t="s">
        <v>3596</v>
      </c>
    </row>
    <row r="3535" spans="1:5" x14ac:dyDescent="0.35">
      <c r="A3535" s="40">
        <v>44381</v>
      </c>
      <c r="B3535" s="38">
        <v>-15.98</v>
      </c>
      <c r="C3535" s="13" t="s">
        <v>2187</v>
      </c>
      <c r="D3535" s="36">
        <v>1153.25</v>
      </c>
      <c r="E3535" s="43" t="s">
        <v>3596</v>
      </c>
    </row>
    <row r="3536" spans="1:5" x14ac:dyDescent="0.35">
      <c r="A3536" s="40">
        <v>44379</v>
      </c>
      <c r="B3536" s="38">
        <v>-31.22</v>
      </c>
      <c r="C3536" s="13" t="s">
        <v>2016</v>
      </c>
      <c r="D3536" s="36">
        <v>1169.23</v>
      </c>
      <c r="E3536" s="43" t="s">
        <v>3596</v>
      </c>
    </row>
    <row r="3537" spans="1:5" x14ac:dyDescent="0.35">
      <c r="A3537" s="40">
        <v>44378</v>
      </c>
      <c r="B3537" s="38">
        <v>-33.270000000000003</v>
      </c>
      <c r="C3537" s="13" t="s">
        <v>2019</v>
      </c>
      <c r="D3537" s="36">
        <v>1391.4</v>
      </c>
      <c r="E3537" s="43" t="s">
        <v>3596</v>
      </c>
    </row>
    <row r="3538" spans="1:5" x14ac:dyDescent="0.35">
      <c r="A3538" s="40">
        <v>44378</v>
      </c>
      <c r="B3538" s="38">
        <v>-179.45</v>
      </c>
      <c r="C3538" s="13" t="s">
        <v>2017</v>
      </c>
      <c r="D3538" s="36">
        <v>1200.45</v>
      </c>
      <c r="E3538" s="43" t="s">
        <v>3596</v>
      </c>
    </row>
    <row r="3539" spans="1:5" x14ac:dyDescent="0.35">
      <c r="A3539" s="40">
        <v>44378</v>
      </c>
      <c r="B3539" s="38">
        <v>-11.5</v>
      </c>
      <c r="C3539" s="13" t="s">
        <v>2018</v>
      </c>
      <c r="D3539" s="36">
        <v>1379.9</v>
      </c>
      <c r="E3539" s="43" t="s">
        <v>3596</v>
      </c>
    </row>
    <row r="3540" spans="1:5" x14ac:dyDescent="0.35">
      <c r="A3540" s="40">
        <v>44377</v>
      </c>
      <c r="B3540" s="38">
        <v>1000</v>
      </c>
      <c r="C3540" s="13" t="s">
        <v>2020</v>
      </c>
      <c r="D3540" s="36">
        <v>1424.67</v>
      </c>
      <c r="E3540" s="43" t="s">
        <v>3596</v>
      </c>
    </row>
    <row r="3541" spans="1:5" x14ac:dyDescent="0.35">
      <c r="A3541" s="40">
        <v>44374</v>
      </c>
      <c r="B3541" s="38">
        <v>-351.85</v>
      </c>
      <c r="C3541" s="13" t="s">
        <v>2021</v>
      </c>
      <c r="D3541" s="36">
        <v>424.67</v>
      </c>
      <c r="E3541" s="43" t="s">
        <v>3596</v>
      </c>
    </row>
    <row r="3542" spans="1:5" x14ac:dyDescent="0.35">
      <c r="A3542" s="40">
        <v>44374</v>
      </c>
      <c r="B3542" s="38">
        <v>-44.26</v>
      </c>
      <c r="C3542" s="13" t="s">
        <v>1471</v>
      </c>
      <c r="D3542" s="36">
        <v>476.52</v>
      </c>
      <c r="E3542" s="43" t="s">
        <v>3596</v>
      </c>
    </row>
    <row r="3543" spans="1:5" x14ac:dyDescent="0.35">
      <c r="A3543" s="40">
        <v>44374</v>
      </c>
      <c r="B3543" s="38">
        <v>300</v>
      </c>
      <c r="C3543" s="13" t="s">
        <v>3389</v>
      </c>
      <c r="D3543" s="36">
        <v>776.52</v>
      </c>
      <c r="E3543" s="43" t="s">
        <v>3596</v>
      </c>
    </row>
    <row r="3544" spans="1:5" x14ac:dyDescent="0.35">
      <c r="A3544" s="40">
        <v>44373</v>
      </c>
      <c r="B3544" s="38">
        <v>-600</v>
      </c>
      <c r="C3544" s="13" t="s">
        <v>2022</v>
      </c>
      <c r="D3544" s="36">
        <v>520.78</v>
      </c>
      <c r="E3544" s="43" t="s">
        <v>3596</v>
      </c>
    </row>
    <row r="3545" spans="1:5" x14ac:dyDescent="0.35">
      <c r="A3545" s="40">
        <v>44372</v>
      </c>
      <c r="B3545" s="38">
        <v>-380</v>
      </c>
      <c r="C3545" s="13" t="s">
        <v>2023</v>
      </c>
      <c r="D3545" s="36">
        <v>1120.78</v>
      </c>
      <c r="E3545" s="43" t="s">
        <v>3596</v>
      </c>
    </row>
    <row r="3546" spans="1:5" x14ac:dyDescent="0.35">
      <c r="A3546" s="40">
        <v>44371</v>
      </c>
      <c r="B3546" s="38">
        <v>-760</v>
      </c>
      <c r="C3546" s="13" t="s">
        <v>1395</v>
      </c>
      <c r="D3546" s="36">
        <v>1500.78</v>
      </c>
      <c r="E3546" s="43" t="s">
        <v>3596</v>
      </c>
    </row>
    <row r="3547" spans="1:5" x14ac:dyDescent="0.35">
      <c r="A3547" s="40">
        <v>44371</v>
      </c>
      <c r="B3547" s="38">
        <v>2163.7399999999998</v>
      </c>
      <c r="C3547" s="13" t="s">
        <v>2024</v>
      </c>
      <c r="D3547" s="36">
        <v>2260.7800000000002</v>
      </c>
      <c r="E3547" s="43" t="s">
        <v>3596</v>
      </c>
    </row>
    <row r="3548" spans="1:5" x14ac:dyDescent="0.35">
      <c r="A3548" s="40">
        <v>44370</v>
      </c>
      <c r="B3548" s="38">
        <v>-15.29</v>
      </c>
      <c r="C3548" s="13" t="s">
        <v>2025</v>
      </c>
      <c r="D3548" s="36">
        <v>97.04</v>
      </c>
      <c r="E3548" s="43" t="s">
        <v>3596</v>
      </c>
    </row>
    <row r="3549" spans="1:5" x14ac:dyDescent="0.35">
      <c r="A3549" s="40">
        <v>44369</v>
      </c>
      <c r="B3549" s="38">
        <v>-38.979999999999997</v>
      </c>
      <c r="C3549" s="13" t="s">
        <v>2028</v>
      </c>
      <c r="D3549" s="36">
        <v>211.59</v>
      </c>
      <c r="E3549" s="43" t="s">
        <v>3596</v>
      </c>
    </row>
    <row r="3550" spans="1:5" x14ac:dyDescent="0.35">
      <c r="A3550" s="40">
        <v>44369</v>
      </c>
      <c r="B3550" s="38">
        <v>-36.869999999999997</v>
      </c>
      <c r="C3550" s="13" t="s">
        <v>2027</v>
      </c>
      <c r="D3550" s="36">
        <v>174.72</v>
      </c>
      <c r="E3550" s="43" t="s">
        <v>3596</v>
      </c>
    </row>
    <row r="3551" spans="1:5" x14ac:dyDescent="0.35">
      <c r="A3551" s="40">
        <v>44369</v>
      </c>
      <c r="B3551" s="38">
        <v>-62.39</v>
      </c>
      <c r="C3551" s="13" t="s">
        <v>2026</v>
      </c>
      <c r="D3551" s="36">
        <v>112.33</v>
      </c>
      <c r="E3551" s="43" t="s">
        <v>3596</v>
      </c>
    </row>
    <row r="3552" spans="1:5" x14ac:dyDescent="0.35">
      <c r="A3552" s="40">
        <v>44368</v>
      </c>
      <c r="B3552" s="38">
        <v>-59.78</v>
      </c>
      <c r="C3552" s="13" t="s">
        <v>1490</v>
      </c>
      <c r="D3552" s="36">
        <v>250.57</v>
      </c>
      <c r="E3552" s="43" t="s">
        <v>3596</v>
      </c>
    </row>
    <row r="3553" spans="1:5" x14ac:dyDescent="0.35">
      <c r="A3553" s="40">
        <v>44366</v>
      </c>
      <c r="B3553" s="38">
        <v>-100</v>
      </c>
      <c r="C3553" s="13" t="s">
        <v>1393</v>
      </c>
      <c r="D3553" s="36">
        <v>340.35</v>
      </c>
      <c r="E3553" s="43" t="s">
        <v>3596</v>
      </c>
    </row>
    <row r="3554" spans="1:5" x14ac:dyDescent="0.35">
      <c r="A3554" s="40">
        <v>44366</v>
      </c>
      <c r="B3554" s="38">
        <v>-8.9</v>
      </c>
      <c r="C3554" s="13" t="s">
        <v>2030</v>
      </c>
      <c r="D3554" s="36">
        <v>440.35</v>
      </c>
      <c r="E3554" s="43" t="s">
        <v>3596</v>
      </c>
    </row>
    <row r="3555" spans="1:5" x14ac:dyDescent="0.35">
      <c r="A3555" s="40">
        <v>44366</v>
      </c>
      <c r="B3555" s="38">
        <v>-30</v>
      </c>
      <c r="C3555" s="13" t="s">
        <v>2029</v>
      </c>
      <c r="D3555" s="36">
        <v>310.35000000000002</v>
      </c>
      <c r="E3555" s="43" t="s">
        <v>3596</v>
      </c>
    </row>
    <row r="3556" spans="1:5" x14ac:dyDescent="0.35">
      <c r="A3556" s="40">
        <v>44365</v>
      </c>
      <c r="B3556" s="38">
        <v>-315</v>
      </c>
      <c r="C3556" s="13" t="s">
        <v>1571</v>
      </c>
      <c r="D3556" s="36">
        <v>449.25</v>
      </c>
      <c r="E3556" s="43" t="s">
        <v>3596</v>
      </c>
    </row>
    <row r="3557" spans="1:5" x14ac:dyDescent="0.35">
      <c r="A3557" s="40">
        <v>44365</v>
      </c>
      <c r="B3557" s="38">
        <v>-578</v>
      </c>
      <c r="C3557" s="13" t="s">
        <v>2032</v>
      </c>
      <c r="D3557" s="36">
        <v>749.75</v>
      </c>
      <c r="E3557" s="43" t="s">
        <v>3596</v>
      </c>
    </row>
    <row r="3558" spans="1:5" x14ac:dyDescent="0.35">
      <c r="A3558" s="40">
        <v>44365</v>
      </c>
      <c r="B3558" s="38">
        <v>-26.18</v>
      </c>
      <c r="C3558" s="13" t="s">
        <v>2033</v>
      </c>
      <c r="D3558" s="36">
        <v>1327.75</v>
      </c>
      <c r="E3558" s="43" t="s">
        <v>3596</v>
      </c>
    </row>
    <row r="3559" spans="1:5" x14ac:dyDescent="0.35">
      <c r="A3559" s="40">
        <v>44365</v>
      </c>
      <c r="B3559" s="38">
        <v>14.5</v>
      </c>
      <c r="C3559" s="13" t="s">
        <v>2031</v>
      </c>
      <c r="D3559" s="36">
        <v>764.25</v>
      </c>
      <c r="E3559" s="43" t="s">
        <v>3596</v>
      </c>
    </row>
    <row r="3560" spans="1:5" x14ac:dyDescent="0.35">
      <c r="A3560" s="40">
        <v>44365</v>
      </c>
      <c r="B3560" s="38">
        <v>-59</v>
      </c>
      <c r="C3560" s="13" t="s">
        <v>2035</v>
      </c>
      <c r="D3560" s="36">
        <v>1376.42</v>
      </c>
      <c r="E3560" s="43" t="s">
        <v>3596</v>
      </c>
    </row>
    <row r="3561" spans="1:5" x14ac:dyDescent="0.35">
      <c r="A3561" s="40">
        <v>44365</v>
      </c>
      <c r="B3561" s="38">
        <v>-22.49</v>
      </c>
      <c r="C3561" s="13" t="s">
        <v>2034</v>
      </c>
      <c r="D3561" s="36">
        <v>1353.93</v>
      </c>
      <c r="E3561" s="43" t="s">
        <v>3596</v>
      </c>
    </row>
    <row r="3562" spans="1:5" x14ac:dyDescent="0.35">
      <c r="A3562" s="40">
        <v>44364</v>
      </c>
      <c r="B3562" s="38">
        <v>-23.99</v>
      </c>
      <c r="C3562" s="13" t="s">
        <v>2037</v>
      </c>
      <c r="D3562" s="36">
        <v>1368.23</v>
      </c>
      <c r="E3562" s="43" t="s">
        <v>3596</v>
      </c>
    </row>
    <row r="3563" spans="1:5" x14ac:dyDescent="0.35">
      <c r="A3563" s="40">
        <v>44364</v>
      </c>
      <c r="B3563" s="38">
        <v>67.19</v>
      </c>
      <c r="C3563" s="13" t="s">
        <v>2036</v>
      </c>
      <c r="D3563" s="36">
        <v>1435.42</v>
      </c>
      <c r="E3563" s="43" t="s">
        <v>3596</v>
      </c>
    </row>
    <row r="3564" spans="1:5" x14ac:dyDescent="0.35">
      <c r="A3564" s="40">
        <v>44363</v>
      </c>
      <c r="B3564" s="38">
        <v>-29.58</v>
      </c>
      <c r="C3564" s="13" t="s">
        <v>2040</v>
      </c>
      <c r="D3564" s="36">
        <v>1423.83</v>
      </c>
      <c r="E3564" s="43" t="s">
        <v>3596</v>
      </c>
    </row>
    <row r="3565" spans="1:5" x14ac:dyDescent="0.35">
      <c r="A3565" s="40">
        <v>44363</v>
      </c>
      <c r="B3565" s="38">
        <v>-21.61</v>
      </c>
      <c r="C3565" s="13" t="s">
        <v>2039</v>
      </c>
      <c r="D3565" s="36">
        <v>1402.22</v>
      </c>
      <c r="E3565" s="43" t="s">
        <v>3596</v>
      </c>
    </row>
    <row r="3566" spans="1:5" x14ac:dyDescent="0.35">
      <c r="A3566" s="40">
        <v>44363</v>
      </c>
      <c r="B3566" s="38">
        <v>-10</v>
      </c>
      <c r="C3566" s="13" t="s">
        <v>2038</v>
      </c>
      <c r="D3566" s="36">
        <v>1392.22</v>
      </c>
      <c r="E3566" s="43" t="s">
        <v>3596</v>
      </c>
    </row>
    <row r="3567" spans="1:5" x14ac:dyDescent="0.35">
      <c r="A3567" s="40">
        <v>44362</v>
      </c>
      <c r="B3567" s="38">
        <v>-58.25</v>
      </c>
      <c r="C3567" s="13" t="s">
        <v>2044</v>
      </c>
      <c r="D3567" s="36">
        <v>1569.49</v>
      </c>
      <c r="E3567" s="43" t="s">
        <v>3596</v>
      </c>
    </row>
    <row r="3568" spans="1:5" x14ac:dyDescent="0.35">
      <c r="A3568" s="40">
        <v>44362</v>
      </c>
      <c r="B3568" s="38">
        <v>-60.1</v>
      </c>
      <c r="C3568" s="13" t="s">
        <v>2043</v>
      </c>
      <c r="D3568" s="36">
        <v>1509.39</v>
      </c>
      <c r="E3568" s="43" t="s">
        <v>3596</v>
      </c>
    </row>
    <row r="3569" spans="1:5" x14ac:dyDescent="0.35">
      <c r="A3569" s="40">
        <v>44362</v>
      </c>
      <c r="B3569" s="38">
        <v>-31.79</v>
      </c>
      <c r="C3569" s="13" t="s">
        <v>2045</v>
      </c>
      <c r="D3569" s="36">
        <v>1627.74</v>
      </c>
      <c r="E3569" s="43" t="s">
        <v>3596</v>
      </c>
    </row>
    <row r="3570" spans="1:5" x14ac:dyDescent="0.35">
      <c r="A3570" s="40">
        <v>44362</v>
      </c>
      <c r="B3570" s="38">
        <v>-20.68</v>
      </c>
      <c r="C3570" s="13" t="s">
        <v>2041</v>
      </c>
      <c r="D3570" s="36">
        <v>1453.41</v>
      </c>
      <c r="E3570" s="43" t="s">
        <v>3596</v>
      </c>
    </row>
    <row r="3571" spans="1:5" x14ac:dyDescent="0.35">
      <c r="A3571" s="40">
        <v>44362</v>
      </c>
      <c r="B3571" s="38">
        <v>-35.299999999999997</v>
      </c>
      <c r="C3571" s="13" t="s">
        <v>2042</v>
      </c>
      <c r="D3571" s="36">
        <v>1474.09</v>
      </c>
      <c r="E3571" s="43" t="s">
        <v>3596</v>
      </c>
    </row>
    <row r="3572" spans="1:5" x14ac:dyDescent="0.35">
      <c r="A3572" s="40">
        <v>44362</v>
      </c>
      <c r="B3572" s="38">
        <v>-36.03</v>
      </c>
      <c r="C3572" s="13" t="s">
        <v>2046</v>
      </c>
      <c r="D3572" s="36">
        <v>1659.53</v>
      </c>
      <c r="E3572" s="43" t="s">
        <v>3596</v>
      </c>
    </row>
    <row r="3573" spans="1:5" x14ac:dyDescent="0.35">
      <c r="A3573" s="40">
        <v>44362</v>
      </c>
      <c r="B3573" s="38">
        <v>-12.5</v>
      </c>
      <c r="C3573" s="13" t="s">
        <v>2038</v>
      </c>
      <c r="D3573" s="36">
        <v>1695.56</v>
      </c>
      <c r="E3573" s="43" t="s">
        <v>3596</v>
      </c>
    </row>
    <row r="3574" spans="1:5" x14ac:dyDescent="0.35">
      <c r="A3574" s="40">
        <v>44359</v>
      </c>
      <c r="B3574" s="38">
        <v>-100</v>
      </c>
      <c r="C3574" s="13" t="s">
        <v>1393</v>
      </c>
      <c r="D3574" s="36">
        <v>1787.79</v>
      </c>
      <c r="E3574" s="43" t="s">
        <v>3596</v>
      </c>
    </row>
    <row r="3575" spans="1:5" x14ac:dyDescent="0.35">
      <c r="A3575" s="40">
        <v>44359</v>
      </c>
      <c r="B3575" s="38">
        <v>-26.73</v>
      </c>
      <c r="C3575" s="13" t="s">
        <v>2048</v>
      </c>
      <c r="D3575" s="36">
        <v>1761.06</v>
      </c>
      <c r="E3575" s="43" t="s">
        <v>3596</v>
      </c>
    </row>
    <row r="3576" spans="1:5" x14ac:dyDescent="0.35">
      <c r="A3576" s="40">
        <v>44359</v>
      </c>
      <c r="B3576" s="38">
        <v>-53</v>
      </c>
      <c r="C3576" s="13" t="s">
        <v>2047</v>
      </c>
      <c r="D3576" s="36">
        <v>1708.06</v>
      </c>
      <c r="E3576" s="43" t="s">
        <v>3596</v>
      </c>
    </row>
    <row r="3577" spans="1:5" x14ac:dyDescent="0.35">
      <c r="A3577" s="40">
        <v>44358</v>
      </c>
      <c r="B3577" s="38">
        <v>-201.58</v>
      </c>
      <c r="C3577" s="13" t="s">
        <v>2049</v>
      </c>
      <c r="D3577" s="36">
        <v>1887.79</v>
      </c>
      <c r="E3577" s="43" t="s">
        <v>3596</v>
      </c>
    </row>
    <row r="3578" spans="1:5" x14ac:dyDescent="0.35">
      <c r="A3578" s="40">
        <v>44357</v>
      </c>
      <c r="B3578" s="38">
        <v>-500</v>
      </c>
      <c r="C3578" s="13" t="s">
        <v>1395</v>
      </c>
      <c r="D3578" s="36">
        <v>1589.37</v>
      </c>
      <c r="E3578" s="43" t="s">
        <v>3596</v>
      </c>
    </row>
    <row r="3579" spans="1:5" x14ac:dyDescent="0.35">
      <c r="A3579" s="40">
        <v>44357</v>
      </c>
      <c r="B3579" s="38">
        <v>-100</v>
      </c>
      <c r="C3579" s="13" t="s">
        <v>1393</v>
      </c>
      <c r="D3579" s="36">
        <v>2089.37</v>
      </c>
      <c r="E3579" s="43" t="s">
        <v>3596</v>
      </c>
    </row>
    <row r="3580" spans="1:5" x14ac:dyDescent="0.35">
      <c r="A3580" s="40">
        <v>44357</v>
      </c>
      <c r="B3580" s="38">
        <v>500</v>
      </c>
      <c r="C3580" s="13" t="s">
        <v>2050</v>
      </c>
      <c r="D3580" s="36">
        <v>2089.37</v>
      </c>
      <c r="E3580" s="43" t="s">
        <v>3596</v>
      </c>
    </row>
    <row r="3581" spans="1:5" x14ac:dyDescent="0.35">
      <c r="A3581" s="40">
        <v>44357</v>
      </c>
      <c r="B3581" s="38">
        <v>-10</v>
      </c>
      <c r="C3581" s="13" t="s">
        <v>2051</v>
      </c>
      <c r="D3581" s="36">
        <v>2189.37</v>
      </c>
      <c r="E3581" s="43" t="s">
        <v>3596</v>
      </c>
    </row>
    <row r="3582" spans="1:5" x14ac:dyDescent="0.35">
      <c r="A3582" s="40">
        <v>44357</v>
      </c>
      <c r="B3582" s="38">
        <v>2163.7399999999998</v>
      </c>
      <c r="C3582" s="13" t="s">
        <v>2052</v>
      </c>
      <c r="D3582" s="36">
        <v>2199.37</v>
      </c>
      <c r="E3582" s="43" t="s">
        <v>3596</v>
      </c>
    </row>
    <row r="3583" spans="1:5" x14ac:dyDescent="0.35">
      <c r="A3583" s="40">
        <v>44356</v>
      </c>
      <c r="B3583" s="38">
        <v>-25</v>
      </c>
      <c r="C3583" s="13" t="s">
        <v>1597</v>
      </c>
      <c r="D3583" s="36">
        <v>35.630000000000003</v>
      </c>
      <c r="E3583" s="43" t="s">
        <v>3596</v>
      </c>
    </row>
    <row r="3584" spans="1:5" x14ac:dyDescent="0.35">
      <c r="A3584" s="40">
        <v>44356</v>
      </c>
      <c r="B3584" s="38">
        <v>-24</v>
      </c>
      <c r="C3584" s="13" t="s">
        <v>1476</v>
      </c>
      <c r="D3584" s="36">
        <v>60.63</v>
      </c>
      <c r="E3584" s="43" t="s">
        <v>3596</v>
      </c>
    </row>
    <row r="3585" spans="1:5" x14ac:dyDescent="0.35">
      <c r="A3585" s="40">
        <v>44356</v>
      </c>
      <c r="B3585" s="38">
        <v>67</v>
      </c>
      <c r="C3585" s="13" t="s">
        <v>2012</v>
      </c>
      <c r="D3585" s="36">
        <v>84.63</v>
      </c>
      <c r="E3585" s="43" t="s">
        <v>3596</v>
      </c>
    </row>
    <row r="3586" spans="1:5" x14ac:dyDescent="0.35">
      <c r="A3586" s="40">
        <v>44356</v>
      </c>
      <c r="B3586" s="38">
        <v>-15.93</v>
      </c>
      <c r="C3586" s="13" t="s">
        <v>2054</v>
      </c>
      <c r="D3586" s="36">
        <v>45.81</v>
      </c>
      <c r="E3586" s="43" t="s">
        <v>3596</v>
      </c>
    </row>
    <row r="3587" spans="1:5" x14ac:dyDescent="0.35">
      <c r="A3587" s="40">
        <v>44356</v>
      </c>
      <c r="B3587" s="38">
        <v>-28.18</v>
      </c>
      <c r="C3587" s="13" t="s">
        <v>2053</v>
      </c>
      <c r="D3587" s="36">
        <v>17.63</v>
      </c>
      <c r="E3587" s="43" t="s">
        <v>3596</v>
      </c>
    </row>
    <row r="3588" spans="1:5" x14ac:dyDescent="0.35">
      <c r="A3588" s="40">
        <v>44355</v>
      </c>
      <c r="B3588" s="38">
        <v>-12.14</v>
      </c>
      <c r="C3588" s="13" t="s">
        <v>2055</v>
      </c>
      <c r="D3588" s="36">
        <v>61.74</v>
      </c>
      <c r="E3588" s="43" t="s">
        <v>3596</v>
      </c>
    </row>
    <row r="3589" spans="1:5" x14ac:dyDescent="0.35">
      <c r="A3589" s="40">
        <v>44355</v>
      </c>
      <c r="B3589" s="38">
        <v>-4</v>
      </c>
      <c r="C3589" s="13" t="s">
        <v>2056</v>
      </c>
      <c r="D3589" s="36">
        <v>73.88</v>
      </c>
      <c r="E3589" s="43" t="s">
        <v>3596</v>
      </c>
    </row>
    <row r="3590" spans="1:5" x14ac:dyDescent="0.35">
      <c r="A3590" s="40">
        <v>44353</v>
      </c>
      <c r="B3590" s="38">
        <v>-8.0399999999999991</v>
      </c>
      <c r="C3590" s="13" t="s">
        <v>1471</v>
      </c>
      <c r="D3590" s="36">
        <v>77.88</v>
      </c>
      <c r="E3590" s="43" t="s">
        <v>3596</v>
      </c>
    </row>
    <row r="3591" spans="1:5" x14ac:dyDescent="0.35">
      <c r="A3591" s="40">
        <v>44352</v>
      </c>
      <c r="B3591" s="38">
        <v>-1526.08</v>
      </c>
      <c r="C3591" s="13" t="s">
        <v>2057</v>
      </c>
      <c r="D3591" s="36">
        <v>85.92</v>
      </c>
      <c r="E3591" s="43" t="s">
        <v>3596</v>
      </c>
    </row>
    <row r="3592" spans="1:5" x14ac:dyDescent="0.35">
      <c r="A3592" s="40">
        <v>44351</v>
      </c>
      <c r="B3592" s="38">
        <v>-380</v>
      </c>
      <c r="C3592" s="13" t="s">
        <v>2023</v>
      </c>
      <c r="D3592" s="36">
        <v>1612</v>
      </c>
      <c r="E3592" s="43" t="s">
        <v>3596</v>
      </c>
    </row>
    <row r="3593" spans="1:5" x14ac:dyDescent="0.35">
      <c r="A3593" s="40">
        <v>44351</v>
      </c>
      <c r="B3593" s="38">
        <v>-10</v>
      </c>
      <c r="C3593" s="13" t="s">
        <v>2058</v>
      </c>
      <c r="D3593" s="36">
        <v>1992</v>
      </c>
      <c r="E3593" s="43" t="s">
        <v>3596</v>
      </c>
    </row>
    <row r="3594" spans="1:5" x14ac:dyDescent="0.35">
      <c r="A3594" s="40">
        <v>44351</v>
      </c>
      <c r="B3594" s="38">
        <v>-11</v>
      </c>
      <c r="C3594" s="13" t="s">
        <v>2059</v>
      </c>
      <c r="D3594" s="36">
        <v>2002</v>
      </c>
      <c r="E3594" s="43" t="s">
        <v>3596</v>
      </c>
    </row>
    <row r="3595" spans="1:5" x14ac:dyDescent="0.35">
      <c r="A3595" s="40">
        <v>44350</v>
      </c>
      <c r="B3595" s="38">
        <v>-380</v>
      </c>
      <c r="C3595" s="13" t="s">
        <v>2023</v>
      </c>
      <c r="D3595" s="36">
        <v>1213</v>
      </c>
      <c r="E3595" s="43" t="s">
        <v>3596</v>
      </c>
    </row>
    <row r="3596" spans="1:5" x14ac:dyDescent="0.35">
      <c r="A3596" s="40">
        <v>44350</v>
      </c>
      <c r="B3596" s="38">
        <v>-40</v>
      </c>
      <c r="C3596" s="13" t="s">
        <v>2060</v>
      </c>
      <c r="D3596" s="36">
        <v>1593</v>
      </c>
      <c r="E3596" s="43" t="s">
        <v>3596</v>
      </c>
    </row>
    <row r="3597" spans="1:5" x14ac:dyDescent="0.35">
      <c r="A3597" s="40">
        <v>44350</v>
      </c>
      <c r="B3597" s="38">
        <v>800</v>
      </c>
      <c r="C3597" s="13" t="s">
        <v>1521</v>
      </c>
      <c r="D3597" s="36">
        <v>2013</v>
      </c>
      <c r="E3597" s="43" t="s">
        <v>3596</v>
      </c>
    </row>
    <row r="3598" spans="1:5" x14ac:dyDescent="0.35">
      <c r="A3598" s="40">
        <v>44349</v>
      </c>
      <c r="B3598" s="38">
        <v>-14.39</v>
      </c>
      <c r="C3598" s="13" t="s">
        <v>2061</v>
      </c>
      <c r="D3598" s="36">
        <v>1633</v>
      </c>
      <c r="E3598" s="43" t="s">
        <v>3596</v>
      </c>
    </row>
    <row r="3599" spans="1:5" x14ac:dyDescent="0.35">
      <c r="A3599" s="40">
        <v>44348</v>
      </c>
      <c r="B3599" s="38">
        <v>-15.22</v>
      </c>
      <c r="C3599" s="13" t="s">
        <v>1984</v>
      </c>
      <c r="D3599" s="36">
        <v>2104.4299999999998</v>
      </c>
      <c r="E3599" s="43" t="s">
        <v>3596</v>
      </c>
    </row>
    <row r="3600" spans="1:5" x14ac:dyDescent="0.35">
      <c r="A3600" s="40">
        <v>44348</v>
      </c>
      <c r="B3600" s="38">
        <v>-45.33</v>
      </c>
      <c r="C3600" s="13" t="s">
        <v>1983</v>
      </c>
      <c r="D3600" s="36">
        <v>2059.1</v>
      </c>
      <c r="E3600" s="43" t="s">
        <v>3596</v>
      </c>
    </row>
    <row r="3601" spans="1:5" x14ac:dyDescent="0.35">
      <c r="A3601" s="40">
        <v>44348</v>
      </c>
      <c r="B3601" s="38">
        <v>-64.989999999999995</v>
      </c>
      <c r="C3601" s="13" t="s">
        <v>1979</v>
      </c>
      <c r="D3601" s="36">
        <v>1900.84</v>
      </c>
      <c r="E3601" s="43" t="s">
        <v>3596</v>
      </c>
    </row>
    <row r="3602" spans="1:5" x14ac:dyDescent="0.35">
      <c r="A3602" s="40">
        <v>44348</v>
      </c>
      <c r="B3602" s="38">
        <v>-28.95</v>
      </c>
      <c r="C3602" s="13" t="s">
        <v>1980</v>
      </c>
      <c r="D3602" s="36">
        <v>1965.83</v>
      </c>
      <c r="E3602" s="43" t="s">
        <v>3596</v>
      </c>
    </row>
    <row r="3603" spans="1:5" x14ac:dyDescent="0.35">
      <c r="A3603" s="40">
        <v>44348</v>
      </c>
      <c r="B3603" s="38">
        <v>-20</v>
      </c>
      <c r="C3603" s="13" t="s">
        <v>3385</v>
      </c>
      <c r="D3603" s="36">
        <v>2240.65</v>
      </c>
      <c r="E3603" s="43" t="s">
        <v>3596</v>
      </c>
    </row>
    <row r="3604" spans="1:5" x14ac:dyDescent="0.35">
      <c r="A3604" s="40">
        <v>44348</v>
      </c>
      <c r="B3604" s="38">
        <v>-179.45</v>
      </c>
      <c r="C3604" s="13" t="s">
        <v>2062</v>
      </c>
      <c r="D3604" s="36">
        <v>1647.39</v>
      </c>
      <c r="E3604" s="43" t="s">
        <v>3596</v>
      </c>
    </row>
    <row r="3605" spans="1:5" x14ac:dyDescent="0.35">
      <c r="A3605" s="40">
        <v>44348</v>
      </c>
      <c r="B3605" s="38">
        <v>-18.579999999999998</v>
      </c>
      <c r="C3605" s="13" t="s">
        <v>1981</v>
      </c>
      <c r="D3605" s="36">
        <v>1994.78</v>
      </c>
      <c r="E3605" s="43" t="s">
        <v>3596</v>
      </c>
    </row>
    <row r="3606" spans="1:5" x14ac:dyDescent="0.35">
      <c r="A3606" s="40">
        <v>44348</v>
      </c>
      <c r="B3606" s="38">
        <v>-21.21</v>
      </c>
      <c r="C3606" s="13" t="s">
        <v>1981</v>
      </c>
      <c r="D3606" s="36">
        <v>2013.36</v>
      </c>
      <c r="E3606" s="43" t="s">
        <v>3596</v>
      </c>
    </row>
    <row r="3607" spans="1:5" x14ac:dyDescent="0.35">
      <c r="A3607" s="40">
        <v>44348</v>
      </c>
      <c r="B3607" s="38">
        <v>-18.579999999999998</v>
      </c>
      <c r="C3607" s="13" t="s">
        <v>1981</v>
      </c>
      <c r="D3607" s="36">
        <v>2034.57</v>
      </c>
      <c r="E3607" s="43" t="s">
        <v>3596</v>
      </c>
    </row>
    <row r="3608" spans="1:5" x14ac:dyDescent="0.35">
      <c r="A3608" s="40">
        <v>44348</v>
      </c>
      <c r="B3608" s="38">
        <v>-74</v>
      </c>
      <c r="C3608" s="13" t="s">
        <v>1978</v>
      </c>
      <c r="D3608" s="36">
        <v>1826.84</v>
      </c>
      <c r="E3608" s="43" t="s">
        <v>3596</v>
      </c>
    </row>
    <row r="3609" spans="1:5" x14ac:dyDescent="0.35">
      <c r="A3609" s="40">
        <v>44348</v>
      </c>
      <c r="B3609" s="38">
        <v>-51</v>
      </c>
      <c r="C3609" s="13" t="s">
        <v>1985</v>
      </c>
      <c r="D3609" s="36">
        <v>2119.65</v>
      </c>
      <c r="E3609" s="43" t="s">
        <v>3596</v>
      </c>
    </row>
    <row r="3610" spans="1:5" x14ac:dyDescent="0.35">
      <c r="A3610" s="40">
        <v>44348</v>
      </c>
      <c r="B3610" s="38">
        <v>-27</v>
      </c>
      <c r="C3610" s="13" t="s">
        <v>1985</v>
      </c>
      <c r="D3610" s="36">
        <v>2170.65</v>
      </c>
      <c r="E3610" s="43" t="s">
        <v>3596</v>
      </c>
    </row>
    <row r="3611" spans="1:5" x14ac:dyDescent="0.35">
      <c r="A3611" s="40">
        <v>44348</v>
      </c>
      <c r="B3611" s="38">
        <v>-22</v>
      </c>
      <c r="C3611" s="13" t="s">
        <v>1985</v>
      </c>
      <c r="D3611" s="36">
        <v>2197.65</v>
      </c>
      <c r="E3611" s="43" t="s">
        <v>3596</v>
      </c>
    </row>
    <row r="3612" spans="1:5" x14ac:dyDescent="0.35">
      <c r="A3612" s="40">
        <v>44348</v>
      </c>
      <c r="B3612" s="38">
        <v>-21</v>
      </c>
      <c r="C3612" s="13" t="s">
        <v>1985</v>
      </c>
      <c r="D3612" s="36">
        <v>2219.65</v>
      </c>
      <c r="E3612" s="43" t="s">
        <v>3596</v>
      </c>
    </row>
    <row r="3613" spans="1:5" x14ac:dyDescent="0.35">
      <c r="A3613" s="40">
        <v>44348</v>
      </c>
      <c r="B3613" s="38">
        <v>-5.95</v>
      </c>
      <c r="C3613" s="13" t="s">
        <v>1982</v>
      </c>
      <c r="D3613" s="36">
        <v>2053.15</v>
      </c>
      <c r="E3613" s="43" t="s">
        <v>3596</v>
      </c>
    </row>
    <row r="3614" spans="1:5" x14ac:dyDescent="0.35">
      <c r="A3614" s="40">
        <v>44345</v>
      </c>
      <c r="B3614" s="38">
        <v>-100</v>
      </c>
      <c r="C3614" s="13" t="s">
        <v>1393</v>
      </c>
      <c r="D3614" s="36">
        <v>2258.5500000000002</v>
      </c>
      <c r="E3614" s="43" t="s">
        <v>3596</v>
      </c>
    </row>
    <row r="3615" spans="1:5" x14ac:dyDescent="0.35">
      <c r="A3615" s="40">
        <v>44345</v>
      </c>
      <c r="B3615" s="38">
        <v>10</v>
      </c>
      <c r="C3615" s="13" t="s">
        <v>1986</v>
      </c>
      <c r="D3615" s="36">
        <v>2260.65</v>
      </c>
      <c r="E3615" s="43" t="s">
        <v>3596</v>
      </c>
    </row>
    <row r="3616" spans="1:5" x14ac:dyDescent="0.35">
      <c r="A3616" s="40">
        <v>44345</v>
      </c>
      <c r="B3616" s="38">
        <v>-7.9</v>
      </c>
      <c r="C3616" s="13" t="s">
        <v>1987</v>
      </c>
      <c r="D3616" s="36">
        <v>2250.65</v>
      </c>
      <c r="E3616" s="43" t="s">
        <v>3596</v>
      </c>
    </row>
    <row r="3617" spans="1:5" x14ac:dyDescent="0.35">
      <c r="A3617" s="40">
        <v>44344</v>
      </c>
      <c r="B3617" s="38">
        <v>-18</v>
      </c>
      <c r="C3617" s="13" t="s">
        <v>1571</v>
      </c>
      <c r="D3617" s="36">
        <v>2358.5500000000002</v>
      </c>
      <c r="E3617" s="43" t="s">
        <v>3596</v>
      </c>
    </row>
    <row r="3618" spans="1:5" x14ac:dyDescent="0.35">
      <c r="A3618" s="40">
        <v>44344</v>
      </c>
      <c r="B3618" s="38">
        <v>-6.3</v>
      </c>
      <c r="C3618" s="13" t="s">
        <v>1471</v>
      </c>
      <c r="D3618" s="36">
        <v>2376.5500000000002</v>
      </c>
      <c r="E3618" s="43" t="s">
        <v>3596</v>
      </c>
    </row>
    <row r="3619" spans="1:5" x14ac:dyDescent="0.35">
      <c r="A3619" s="40">
        <v>44344</v>
      </c>
      <c r="B3619" s="38">
        <v>-8.8000000000000007</v>
      </c>
      <c r="C3619" s="13" t="s">
        <v>1988</v>
      </c>
      <c r="D3619" s="36">
        <v>2382.85</v>
      </c>
      <c r="E3619" s="43" t="s">
        <v>3596</v>
      </c>
    </row>
    <row r="3620" spans="1:5" x14ac:dyDescent="0.35">
      <c r="A3620" s="40">
        <v>44343</v>
      </c>
      <c r="B3620" s="38">
        <v>-500</v>
      </c>
      <c r="C3620" s="13" t="s">
        <v>1395</v>
      </c>
      <c r="D3620" s="36">
        <v>2391.65</v>
      </c>
      <c r="E3620" s="43" t="s">
        <v>3596</v>
      </c>
    </row>
    <row r="3621" spans="1:5" x14ac:dyDescent="0.35">
      <c r="A3621" s="40">
        <v>44343</v>
      </c>
      <c r="B3621" s="38">
        <v>2163.7399999999998</v>
      </c>
      <c r="C3621" s="13" t="s">
        <v>1989</v>
      </c>
      <c r="D3621" s="36">
        <v>2891.65</v>
      </c>
      <c r="E3621" s="43" t="s">
        <v>3596</v>
      </c>
    </row>
    <row r="3622" spans="1:5" x14ac:dyDescent="0.35">
      <c r="A3622" s="40">
        <v>44342</v>
      </c>
      <c r="B3622" s="38">
        <v>-32.950000000000003</v>
      </c>
      <c r="C3622" s="13" t="s">
        <v>1991</v>
      </c>
      <c r="D3622" s="36">
        <v>763.5</v>
      </c>
      <c r="E3622" s="43" t="s">
        <v>3596</v>
      </c>
    </row>
    <row r="3623" spans="1:5" x14ac:dyDescent="0.35">
      <c r="A3623" s="40">
        <v>44342</v>
      </c>
      <c r="B3623" s="38">
        <v>-35.590000000000003</v>
      </c>
      <c r="C3623" s="13" t="s">
        <v>1990</v>
      </c>
      <c r="D3623" s="36">
        <v>727.91</v>
      </c>
      <c r="E3623" s="43" t="s">
        <v>3596</v>
      </c>
    </row>
    <row r="3624" spans="1:5" x14ac:dyDescent="0.35">
      <c r="A3624" s="40">
        <v>44342</v>
      </c>
      <c r="B3624" s="38">
        <v>-12.77</v>
      </c>
      <c r="C3624" s="13" t="s">
        <v>1992</v>
      </c>
      <c r="D3624" s="36">
        <v>796.45</v>
      </c>
      <c r="E3624" s="43" t="s">
        <v>3596</v>
      </c>
    </row>
    <row r="3625" spans="1:5" x14ac:dyDescent="0.35">
      <c r="A3625" s="40">
        <v>44342</v>
      </c>
      <c r="B3625" s="38">
        <v>-425.75</v>
      </c>
      <c r="C3625" s="13" t="s">
        <v>1993</v>
      </c>
      <c r="D3625" s="36">
        <v>809.22</v>
      </c>
      <c r="E3625" s="43" t="s">
        <v>3596</v>
      </c>
    </row>
    <row r="3626" spans="1:5" x14ac:dyDescent="0.35">
      <c r="A3626" s="40">
        <v>44340</v>
      </c>
      <c r="B3626" s="38">
        <v>20</v>
      </c>
      <c r="C3626" s="13" t="s">
        <v>1423</v>
      </c>
      <c r="D3626" s="36">
        <v>1290.6400000000001</v>
      </c>
      <c r="E3626" s="43" t="s">
        <v>3596</v>
      </c>
    </row>
    <row r="3627" spans="1:5" x14ac:dyDescent="0.35">
      <c r="A3627" s="40">
        <v>44340</v>
      </c>
      <c r="B3627" s="38">
        <v>-55.67</v>
      </c>
      <c r="C3627" s="13" t="s">
        <v>1490</v>
      </c>
      <c r="D3627" s="36">
        <v>1234.97</v>
      </c>
      <c r="E3627" s="43" t="s">
        <v>3596</v>
      </c>
    </row>
    <row r="3628" spans="1:5" x14ac:dyDescent="0.35">
      <c r="A3628" s="40">
        <v>44339</v>
      </c>
      <c r="B3628" s="38">
        <v>-25.5</v>
      </c>
      <c r="C3628" s="13" t="s">
        <v>1571</v>
      </c>
      <c r="D3628" s="36">
        <v>1295.6400000000001</v>
      </c>
      <c r="E3628" s="43" t="s">
        <v>3596</v>
      </c>
    </row>
    <row r="3629" spans="1:5" x14ac:dyDescent="0.35">
      <c r="A3629" s="40">
        <v>44339</v>
      </c>
      <c r="B3629" s="38">
        <v>-25</v>
      </c>
      <c r="C3629" s="13" t="s">
        <v>1571</v>
      </c>
      <c r="D3629" s="36">
        <v>1270.6400000000001</v>
      </c>
      <c r="E3629" s="43" t="s">
        <v>3596</v>
      </c>
    </row>
    <row r="3630" spans="1:5" x14ac:dyDescent="0.35">
      <c r="A3630" s="40">
        <v>44338</v>
      </c>
      <c r="B3630" s="38">
        <v>-100</v>
      </c>
      <c r="C3630" s="13" t="s">
        <v>1393</v>
      </c>
      <c r="D3630" s="36">
        <v>1321.14</v>
      </c>
      <c r="E3630" s="43" t="s">
        <v>3596</v>
      </c>
    </row>
    <row r="3631" spans="1:5" x14ac:dyDescent="0.35">
      <c r="A3631" s="40">
        <v>44338</v>
      </c>
      <c r="B3631" s="38">
        <v>-12.65</v>
      </c>
      <c r="C3631" s="13" t="s">
        <v>1995</v>
      </c>
      <c r="D3631" s="36">
        <v>1428.14</v>
      </c>
      <c r="E3631" s="43" t="s">
        <v>3596</v>
      </c>
    </row>
    <row r="3632" spans="1:5" x14ac:dyDescent="0.35">
      <c r="A3632" s="40">
        <v>44338</v>
      </c>
      <c r="B3632" s="38">
        <v>-7</v>
      </c>
      <c r="C3632" s="13" t="s">
        <v>1994</v>
      </c>
      <c r="D3632" s="36">
        <v>1421.14</v>
      </c>
      <c r="E3632" s="43" t="s">
        <v>3596</v>
      </c>
    </row>
    <row r="3633" spans="1:5" x14ac:dyDescent="0.35">
      <c r="A3633" s="40">
        <v>44337</v>
      </c>
      <c r="B3633" s="38">
        <v>-40</v>
      </c>
      <c r="C3633" s="13" t="s">
        <v>1997</v>
      </c>
      <c r="D3633" s="36">
        <v>1459.09</v>
      </c>
      <c r="E3633" s="43" t="s">
        <v>3596</v>
      </c>
    </row>
    <row r="3634" spans="1:5" x14ac:dyDescent="0.35">
      <c r="A3634" s="40">
        <v>44337</v>
      </c>
      <c r="B3634" s="38">
        <v>-8.5</v>
      </c>
      <c r="C3634" s="13" t="s">
        <v>1481</v>
      </c>
      <c r="D3634" s="36">
        <v>1440.79</v>
      </c>
      <c r="E3634" s="43" t="s">
        <v>3596</v>
      </c>
    </row>
    <row r="3635" spans="1:5" x14ac:dyDescent="0.35">
      <c r="A3635" s="40">
        <v>44337</v>
      </c>
      <c r="B3635" s="38">
        <v>-9.8000000000000007</v>
      </c>
      <c r="C3635" s="13" t="s">
        <v>1996</v>
      </c>
      <c r="D3635" s="36">
        <v>1449.29</v>
      </c>
      <c r="E3635" s="43" t="s">
        <v>3596</v>
      </c>
    </row>
    <row r="3636" spans="1:5" x14ac:dyDescent="0.35">
      <c r="A3636" s="40">
        <v>44335</v>
      </c>
      <c r="B3636" s="38">
        <v>-59</v>
      </c>
      <c r="C3636" s="13" t="s">
        <v>2000</v>
      </c>
      <c r="D3636" s="36">
        <v>1575.38</v>
      </c>
      <c r="E3636" s="43" t="s">
        <v>3596</v>
      </c>
    </row>
    <row r="3637" spans="1:5" x14ac:dyDescent="0.35">
      <c r="A3637" s="40">
        <v>44335</v>
      </c>
      <c r="B3637" s="38">
        <v>-9.98</v>
      </c>
      <c r="C3637" s="13" t="s">
        <v>1998</v>
      </c>
      <c r="D3637" s="36">
        <v>1499.09</v>
      </c>
      <c r="E3637" s="43" t="s">
        <v>3596</v>
      </c>
    </row>
    <row r="3638" spans="1:5" x14ac:dyDescent="0.35">
      <c r="A3638" s="40">
        <v>44335</v>
      </c>
      <c r="B3638" s="38">
        <v>-66.31</v>
      </c>
      <c r="C3638" s="13" t="s">
        <v>1999</v>
      </c>
      <c r="D3638" s="36">
        <v>1509.07</v>
      </c>
      <c r="E3638" s="43" t="s">
        <v>3596</v>
      </c>
    </row>
    <row r="3639" spans="1:5" x14ac:dyDescent="0.35">
      <c r="A3639" s="40">
        <v>44334</v>
      </c>
      <c r="B3639" s="38">
        <v>-23.99</v>
      </c>
      <c r="C3639" s="13" t="s">
        <v>2001</v>
      </c>
      <c r="D3639" s="36">
        <v>1634.38</v>
      </c>
      <c r="E3639" s="43" t="s">
        <v>3596</v>
      </c>
    </row>
    <row r="3640" spans="1:5" x14ac:dyDescent="0.35">
      <c r="A3640" s="40">
        <v>44334</v>
      </c>
      <c r="B3640" s="38">
        <v>-39</v>
      </c>
      <c r="C3640" s="13" t="s">
        <v>2002</v>
      </c>
      <c r="D3640" s="36">
        <v>1658.37</v>
      </c>
      <c r="E3640" s="43" t="s">
        <v>3596</v>
      </c>
    </row>
    <row r="3641" spans="1:5" x14ac:dyDescent="0.35">
      <c r="A3641" s="40">
        <v>44332</v>
      </c>
      <c r="B3641" s="38">
        <v>-18</v>
      </c>
      <c r="C3641" s="13" t="s">
        <v>1571</v>
      </c>
      <c r="D3641" s="36">
        <v>1697.37</v>
      </c>
      <c r="E3641" s="43" t="s">
        <v>3596</v>
      </c>
    </row>
    <row r="3642" spans="1:5" x14ac:dyDescent="0.35">
      <c r="A3642" s="40">
        <v>44331</v>
      </c>
      <c r="B3642" s="38">
        <v>-100</v>
      </c>
      <c r="C3642" s="13" t="s">
        <v>1393</v>
      </c>
      <c r="D3642" s="36">
        <v>1774.87</v>
      </c>
      <c r="E3642" s="43" t="s">
        <v>3596</v>
      </c>
    </row>
    <row r="3643" spans="1:5" x14ac:dyDescent="0.35">
      <c r="A3643" s="40">
        <v>44331</v>
      </c>
      <c r="B3643" s="38">
        <v>-16</v>
      </c>
      <c r="C3643" s="13" t="s">
        <v>2005</v>
      </c>
      <c r="D3643" s="36">
        <v>1874.87</v>
      </c>
      <c r="E3643" s="43" t="s">
        <v>3596</v>
      </c>
    </row>
    <row r="3644" spans="1:5" x14ac:dyDescent="0.35">
      <c r="A3644" s="40">
        <v>44331</v>
      </c>
      <c r="B3644" s="38">
        <v>-16</v>
      </c>
      <c r="C3644" s="13" t="s">
        <v>2007</v>
      </c>
      <c r="D3644" s="36">
        <v>1900.77</v>
      </c>
      <c r="E3644" s="43" t="s">
        <v>3596</v>
      </c>
    </row>
    <row r="3645" spans="1:5" x14ac:dyDescent="0.35">
      <c r="A3645" s="40">
        <v>44331</v>
      </c>
      <c r="B3645" s="38">
        <v>-21.5</v>
      </c>
      <c r="C3645" s="13" t="s">
        <v>2004</v>
      </c>
      <c r="D3645" s="36">
        <v>1753.37</v>
      </c>
      <c r="E3645" s="43" t="s">
        <v>3596</v>
      </c>
    </row>
    <row r="3646" spans="1:5" x14ac:dyDescent="0.35">
      <c r="A3646" s="40">
        <v>44331</v>
      </c>
      <c r="B3646" s="38">
        <v>-38</v>
      </c>
      <c r="C3646" s="13" t="s">
        <v>2003</v>
      </c>
      <c r="D3646" s="36">
        <v>1715.37</v>
      </c>
      <c r="E3646" s="43" t="s">
        <v>3596</v>
      </c>
    </row>
    <row r="3647" spans="1:5" x14ac:dyDescent="0.35">
      <c r="A3647" s="40">
        <v>44331</v>
      </c>
      <c r="B3647" s="38">
        <v>-9.9</v>
      </c>
      <c r="C3647" s="13" t="s">
        <v>2006</v>
      </c>
      <c r="D3647" s="36">
        <v>1890.87</v>
      </c>
      <c r="E3647" s="43" t="s">
        <v>3596</v>
      </c>
    </row>
    <row r="3648" spans="1:5" x14ac:dyDescent="0.35">
      <c r="A3648" s="40">
        <v>44330</v>
      </c>
      <c r="B3648" s="38">
        <v>-64.48</v>
      </c>
      <c r="C3648" s="13" t="s">
        <v>2008</v>
      </c>
      <c r="D3648" s="36">
        <v>1916.77</v>
      </c>
      <c r="E3648" s="43" t="s">
        <v>3596</v>
      </c>
    </row>
    <row r="3649" spans="1:5" x14ac:dyDescent="0.35">
      <c r="A3649" s="40">
        <v>44329</v>
      </c>
      <c r="B3649" s="38">
        <v>-500</v>
      </c>
      <c r="C3649" s="13" t="s">
        <v>1395</v>
      </c>
      <c r="D3649" s="36">
        <v>2531.0100000000002</v>
      </c>
      <c r="E3649" s="43" t="s">
        <v>3596</v>
      </c>
    </row>
    <row r="3650" spans="1:5" x14ac:dyDescent="0.35">
      <c r="A3650" s="40">
        <v>44329</v>
      </c>
      <c r="B3650" s="38">
        <v>-487.5</v>
      </c>
      <c r="C3650" s="13" t="s">
        <v>2009</v>
      </c>
      <c r="D3650" s="36">
        <v>1981.25</v>
      </c>
      <c r="E3650" s="43" t="s">
        <v>3596</v>
      </c>
    </row>
    <row r="3651" spans="1:5" x14ac:dyDescent="0.35">
      <c r="A3651" s="40">
        <v>44329</v>
      </c>
      <c r="B3651" s="38">
        <v>-40</v>
      </c>
      <c r="C3651" s="13" t="s">
        <v>2014</v>
      </c>
      <c r="D3651" s="36">
        <v>3053.24</v>
      </c>
      <c r="E3651" s="43" t="s">
        <v>3596</v>
      </c>
    </row>
    <row r="3652" spans="1:5" x14ac:dyDescent="0.35">
      <c r="A3652" s="40">
        <v>44329</v>
      </c>
      <c r="B3652" s="38">
        <v>63</v>
      </c>
      <c r="C3652" s="13" t="s">
        <v>2012</v>
      </c>
      <c r="D3652" s="36">
        <v>2594.0100000000002</v>
      </c>
      <c r="E3652" s="43" t="s">
        <v>3596</v>
      </c>
    </row>
    <row r="3653" spans="1:5" x14ac:dyDescent="0.35">
      <c r="A3653" s="40">
        <v>44329</v>
      </c>
      <c r="B3653" s="38">
        <v>62.62</v>
      </c>
      <c r="C3653" s="13" t="s">
        <v>2011</v>
      </c>
      <c r="D3653" s="36">
        <v>2656.63</v>
      </c>
      <c r="E3653" s="43" t="s">
        <v>3596</v>
      </c>
    </row>
    <row r="3654" spans="1:5" x14ac:dyDescent="0.35">
      <c r="A3654" s="40">
        <v>44329</v>
      </c>
      <c r="B3654" s="38">
        <v>2156.08</v>
      </c>
      <c r="C3654" s="13" t="s">
        <v>2015</v>
      </c>
      <c r="D3654" s="36">
        <v>3093.24</v>
      </c>
      <c r="E3654" s="43" t="s">
        <v>3596</v>
      </c>
    </row>
    <row r="3655" spans="1:5" x14ac:dyDescent="0.35">
      <c r="A3655" s="40">
        <v>44329</v>
      </c>
      <c r="B3655" s="38">
        <v>-22.23</v>
      </c>
      <c r="C3655" s="13" t="s">
        <v>2013</v>
      </c>
      <c r="D3655" s="36">
        <v>3031.01</v>
      </c>
      <c r="E3655" s="43" t="s">
        <v>3596</v>
      </c>
    </row>
    <row r="3656" spans="1:5" x14ac:dyDescent="0.35">
      <c r="A3656" s="40">
        <v>44329</v>
      </c>
      <c r="B3656" s="38">
        <v>-187.88</v>
      </c>
      <c r="C3656" s="13" t="s">
        <v>2010</v>
      </c>
      <c r="D3656" s="36">
        <v>2468.75</v>
      </c>
      <c r="E3656" s="43" t="s">
        <v>3596</v>
      </c>
    </row>
    <row r="3657" spans="1:5" x14ac:dyDescent="0.35">
      <c r="A3657" s="40">
        <v>44328</v>
      </c>
      <c r="B3657" s="38">
        <v>-44.12</v>
      </c>
      <c r="C3657" s="13" t="s">
        <v>1940</v>
      </c>
      <c r="D3657" s="36">
        <v>920.26</v>
      </c>
      <c r="E3657" s="43" t="s">
        <v>3596</v>
      </c>
    </row>
    <row r="3658" spans="1:5" x14ac:dyDescent="0.35">
      <c r="A3658" s="40">
        <v>44328</v>
      </c>
      <c r="B3658" s="38">
        <v>16.899999999999999</v>
      </c>
      <c r="C3658" s="13" t="s">
        <v>1958</v>
      </c>
      <c r="D3658" s="36">
        <v>937.16</v>
      </c>
      <c r="E3658" s="43" t="s">
        <v>3596</v>
      </c>
    </row>
    <row r="3659" spans="1:5" x14ac:dyDescent="0.35">
      <c r="A3659" s="40">
        <v>44328</v>
      </c>
      <c r="B3659" s="38">
        <v>-38.4</v>
      </c>
      <c r="C3659" s="13" t="s">
        <v>1939</v>
      </c>
      <c r="D3659" s="36">
        <v>964.38</v>
      </c>
      <c r="E3659" s="43" t="s">
        <v>3596</v>
      </c>
    </row>
    <row r="3660" spans="1:5" x14ac:dyDescent="0.35">
      <c r="A3660" s="40">
        <v>44327</v>
      </c>
      <c r="B3660" s="38">
        <v>-6.8</v>
      </c>
      <c r="C3660" s="13" t="s">
        <v>1938</v>
      </c>
      <c r="D3660" s="36">
        <v>1002.78</v>
      </c>
      <c r="E3660" s="43" t="s">
        <v>3596</v>
      </c>
    </row>
    <row r="3661" spans="1:5" x14ac:dyDescent="0.35">
      <c r="A3661" s="40">
        <v>44327</v>
      </c>
      <c r="B3661" s="38">
        <v>-38.729999999999997</v>
      </c>
      <c r="C3661" s="13" t="s">
        <v>1936</v>
      </c>
      <c r="D3661" s="36">
        <v>1025.58</v>
      </c>
      <c r="E3661" s="43" t="s">
        <v>3596</v>
      </c>
    </row>
    <row r="3662" spans="1:5" x14ac:dyDescent="0.35">
      <c r="A3662" s="40">
        <v>44327</v>
      </c>
      <c r="B3662" s="38">
        <v>-26.74</v>
      </c>
      <c r="C3662" s="13" t="s">
        <v>1935</v>
      </c>
      <c r="D3662" s="36">
        <v>1064.31</v>
      </c>
      <c r="E3662" s="43" t="s">
        <v>3596</v>
      </c>
    </row>
    <row r="3663" spans="1:5" x14ac:dyDescent="0.35">
      <c r="A3663" s="40">
        <v>44327</v>
      </c>
      <c r="B3663" s="38">
        <v>-16</v>
      </c>
      <c r="C3663" s="13" t="s">
        <v>1937</v>
      </c>
      <c r="D3663" s="36">
        <v>1009.58</v>
      </c>
      <c r="E3663" s="43" t="s">
        <v>3596</v>
      </c>
    </row>
    <row r="3664" spans="1:5" x14ac:dyDescent="0.35">
      <c r="A3664" s="40">
        <v>44326</v>
      </c>
      <c r="B3664" s="38">
        <v>32</v>
      </c>
      <c r="C3664" s="13" t="s">
        <v>1958</v>
      </c>
      <c r="D3664" s="36">
        <v>1091.05</v>
      </c>
      <c r="E3664" s="43" t="s">
        <v>3596</v>
      </c>
    </row>
    <row r="3665" spans="1:5" x14ac:dyDescent="0.35">
      <c r="A3665" s="40">
        <v>44325</v>
      </c>
      <c r="B3665" s="38">
        <v>-200</v>
      </c>
      <c r="C3665" s="13" t="s">
        <v>1941</v>
      </c>
      <c r="D3665" s="36">
        <v>1059.05</v>
      </c>
      <c r="E3665" s="43" t="s">
        <v>3596</v>
      </c>
    </row>
    <row r="3666" spans="1:5" x14ac:dyDescent="0.35">
      <c r="A3666" s="40">
        <v>44324</v>
      </c>
      <c r="B3666" s="38">
        <v>-23.1</v>
      </c>
      <c r="C3666" s="13" t="s">
        <v>1734</v>
      </c>
      <c r="D3666" s="36">
        <v>1259.05</v>
      </c>
      <c r="E3666" s="43" t="s">
        <v>3596</v>
      </c>
    </row>
    <row r="3667" spans="1:5" x14ac:dyDescent="0.35">
      <c r="A3667" s="40">
        <v>44324</v>
      </c>
      <c r="B3667" s="38">
        <v>-100</v>
      </c>
      <c r="C3667" s="13" t="s">
        <v>946</v>
      </c>
      <c r="D3667" s="36">
        <v>1282.1500000000001</v>
      </c>
      <c r="E3667" s="43" t="s">
        <v>3596</v>
      </c>
    </row>
    <row r="3668" spans="1:5" x14ac:dyDescent="0.35">
      <c r="A3668" s="40">
        <v>44324</v>
      </c>
      <c r="B3668" s="38">
        <v>-8</v>
      </c>
      <c r="C3668" s="13" t="s">
        <v>1934</v>
      </c>
      <c r="D3668" s="36">
        <v>1382.15</v>
      </c>
      <c r="E3668" s="43" t="s">
        <v>3596</v>
      </c>
    </row>
    <row r="3669" spans="1:5" x14ac:dyDescent="0.35">
      <c r="A3669" s="40">
        <v>44323</v>
      </c>
      <c r="B3669" s="38">
        <v>-17.399999999999999</v>
      </c>
      <c r="C3669" s="13" t="s">
        <v>1933</v>
      </c>
      <c r="D3669" s="36">
        <v>1390.15</v>
      </c>
      <c r="E3669" s="43" t="s">
        <v>3596</v>
      </c>
    </row>
    <row r="3670" spans="1:5" x14ac:dyDescent="0.35">
      <c r="A3670" s="40">
        <v>44322</v>
      </c>
      <c r="B3670" s="38">
        <v>200</v>
      </c>
      <c r="C3670" s="13" t="s">
        <v>1942</v>
      </c>
      <c r="D3670" s="36">
        <v>1407.55</v>
      </c>
      <c r="E3670" s="43" t="s">
        <v>3596</v>
      </c>
    </row>
    <row r="3671" spans="1:5" x14ac:dyDescent="0.35">
      <c r="A3671" s="40">
        <v>44321</v>
      </c>
      <c r="B3671" s="38">
        <v>-6.2</v>
      </c>
      <c r="C3671" s="13" t="s">
        <v>1932</v>
      </c>
      <c r="D3671" s="36">
        <v>1207.55</v>
      </c>
      <c r="E3671" s="43" t="s">
        <v>3596</v>
      </c>
    </row>
    <row r="3672" spans="1:5" x14ac:dyDescent="0.35">
      <c r="A3672" s="40">
        <v>44321</v>
      </c>
      <c r="B3672" s="38">
        <v>-31.4</v>
      </c>
      <c r="C3672" s="13" t="s">
        <v>1932</v>
      </c>
      <c r="D3672" s="36">
        <v>1213.75</v>
      </c>
      <c r="E3672" s="43" t="s">
        <v>3596</v>
      </c>
    </row>
    <row r="3673" spans="1:5" x14ac:dyDescent="0.35">
      <c r="A3673" s="40">
        <v>44320</v>
      </c>
      <c r="B3673" s="38">
        <v>-23.99</v>
      </c>
      <c r="C3673" s="13" t="s">
        <v>1930</v>
      </c>
      <c r="D3673" s="36">
        <v>1253.58</v>
      </c>
      <c r="E3673" s="43" t="s">
        <v>3596</v>
      </c>
    </row>
    <row r="3674" spans="1:5" x14ac:dyDescent="0.35">
      <c r="A3674" s="40">
        <v>44320</v>
      </c>
      <c r="B3674" s="38">
        <v>-11.06</v>
      </c>
      <c r="C3674" s="13" t="s">
        <v>1931</v>
      </c>
      <c r="D3674" s="36">
        <v>1242.52</v>
      </c>
      <c r="E3674" s="43" t="s">
        <v>3596</v>
      </c>
    </row>
    <row r="3675" spans="1:5" x14ac:dyDescent="0.35">
      <c r="A3675" s="40">
        <v>44320</v>
      </c>
      <c r="B3675" s="38">
        <v>-60</v>
      </c>
      <c r="C3675" s="13" t="s">
        <v>1943</v>
      </c>
      <c r="D3675" s="36">
        <v>1245.1500000000001</v>
      </c>
      <c r="E3675" s="43" t="s">
        <v>3596</v>
      </c>
    </row>
    <row r="3676" spans="1:5" x14ac:dyDescent="0.35">
      <c r="A3676" s="40">
        <v>44320</v>
      </c>
      <c r="B3676" s="38">
        <v>62.63</v>
      </c>
      <c r="C3676" s="13" t="s">
        <v>1238</v>
      </c>
      <c r="D3676" s="36">
        <v>1305.1500000000001</v>
      </c>
      <c r="E3676" s="43" t="s">
        <v>3596</v>
      </c>
    </row>
    <row r="3677" spans="1:5" x14ac:dyDescent="0.35">
      <c r="A3677" s="40">
        <v>44319</v>
      </c>
      <c r="B3677" s="38">
        <v>-179.45</v>
      </c>
      <c r="C3677" s="13" t="s">
        <v>1929</v>
      </c>
      <c r="D3677" s="36">
        <v>1277.57</v>
      </c>
      <c r="E3677" s="43" t="s">
        <v>3596</v>
      </c>
    </row>
    <row r="3678" spans="1:5" x14ac:dyDescent="0.35">
      <c r="A3678" s="40">
        <v>44318</v>
      </c>
      <c r="B3678" s="38">
        <v>-70.38</v>
      </c>
      <c r="C3678" s="13" t="s">
        <v>2065</v>
      </c>
      <c r="D3678" s="36">
        <v>1457.02</v>
      </c>
      <c r="E3678" s="43" t="s">
        <v>3596</v>
      </c>
    </row>
    <row r="3679" spans="1:5" x14ac:dyDescent="0.35">
      <c r="A3679" s="40">
        <v>44317</v>
      </c>
      <c r="B3679" s="38">
        <v>-9.5</v>
      </c>
      <c r="C3679" s="13" t="s">
        <v>1928</v>
      </c>
      <c r="D3679" s="36">
        <v>1647.44</v>
      </c>
      <c r="E3679" s="43" t="s">
        <v>3596</v>
      </c>
    </row>
    <row r="3680" spans="1:5" x14ac:dyDescent="0.35">
      <c r="A3680" s="40">
        <v>44317</v>
      </c>
      <c r="B3680" s="38">
        <v>-20</v>
      </c>
      <c r="C3680" s="13" t="s">
        <v>3385</v>
      </c>
      <c r="D3680" s="36">
        <v>1527.44</v>
      </c>
      <c r="E3680" s="43" t="s">
        <v>3596</v>
      </c>
    </row>
    <row r="3681" spans="1:5" x14ac:dyDescent="0.35">
      <c r="A3681" s="40">
        <v>44317</v>
      </c>
      <c r="B3681" s="38">
        <v>-100</v>
      </c>
      <c r="C3681" s="13" t="s">
        <v>946</v>
      </c>
      <c r="D3681" s="36">
        <v>1547.44</v>
      </c>
      <c r="E3681" s="43" t="s">
        <v>3596</v>
      </c>
    </row>
    <row r="3682" spans="1:5" x14ac:dyDescent="0.35">
      <c r="A3682" s="40">
        <v>44317</v>
      </c>
      <c r="B3682" s="38">
        <v>-0.04</v>
      </c>
      <c r="C3682" s="13" t="s">
        <v>1873</v>
      </c>
      <c r="D3682" s="36">
        <v>1527.4</v>
      </c>
      <c r="E3682" s="43" t="s">
        <v>3596</v>
      </c>
    </row>
    <row r="3683" spans="1:5" x14ac:dyDescent="0.35">
      <c r="A3683" s="40">
        <v>44317</v>
      </c>
      <c r="B3683" s="38">
        <v>-6.5</v>
      </c>
      <c r="C3683" s="13" t="s">
        <v>1927</v>
      </c>
      <c r="D3683" s="36">
        <v>1656.94</v>
      </c>
      <c r="E3683" s="43" t="s">
        <v>3596</v>
      </c>
    </row>
    <row r="3684" spans="1:5" x14ac:dyDescent="0.35">
      <c r="A3684" s="40">
        <v>44316</v>
      </c>
      <c r="B3684" s="38">
        <v>-26.74</v>
      </c>
      <c r="C3684" s="13" t="s">
        <v>1925</v>
      </c>
      <c r="D3684" s="36">
        <v>1695.68</v>
      </c>
      <c r="E3684" s="43" t="s">
        <v>3596</v>
      </c>
    </row>
    <row r="3685" spans="1:5" x14ac:dyDescent="0.35">
      <c r="A3685" s="40">
        <v>44316</v>
      </c>
      <c r="B3685" s="38">
        <v>-32.24</v>
      </c>
      <c r="C3685" s="13" t="s">
        <v>1926</v>
      </c>
      <c r="D3685" s="36">
        <v>1663.44</v>
      </c>
      <c r="E3685" s="43" t="s">
        <v>3596</v>
      </c>
    </row>
    <row r="3686" spans="1:5" x14ac:dyDescent="0.35">
      <c r="A3686" s="40">
        <v>44316</v>
      </c>
      <c r="B3686" s="38">
        <v>-18.59</v>
      </c>
      <c r="C3686" s="13" t="s">
        <v>1924</v>
      </c>
      <c r="D3686" s="36">
        <v>1722.42</v>
      </c>
      <c r="E3686" s="43" t="s">
        <v>3596</v>
      </c>
    </row>
    <row r="3687" spans="1:5" x14ac:dyDescent="0.35">
      <c r="A3687" s="40">
        <v>44316</v>
      </c>
      <c r="B3687" s="38">
        <v>-14.95</v>
      </c>
      <c r="C3687" s="13" t="s">
        <v>1923</v>
      </c>
      <c r="D3687" s="36">
        <v>1741.01</v>
      </c>
      <c r="E3687" s="43" t="s">
        <v>3596</v>
      </c>
    </row>
    <row r="3688" spans="1:5" x14ac:dyDescent="0.35">
      <c r="A3688" s="40">
        <v>44316</v>
      </c>
      <c r="B3688" s="38">
        <v>-40</v>
      </c>
      <c r="C3688" s="13" t="s">
        <v>1922</v>
      </c>
      <c r="D3688" s="36">
        <v>1755.96</v>
      </c>
      <c r="E3688" s="43" t="s">
        <v>3596</v>
      </c>
    </row>
    <row r="3689" spans="1:5" x14ac:dyDescent="0.35">
      <c r="A3689" s="40">
        <v>44315</v>
      </c>
      <c r="B3689" s="38">
        <v>-40</v>
      </c>
      <c r="C3689" s="13" t="s">
        <v>1918</v>
      </c>
      <c r="D3689" s="36">
        <v>2357.96</v>
      </c>
      <c r="E3689" s="43" t="s">
        <v>3596</v>
      </c>
    </row>
    <row r="3690" spans="1:5" x14ac:dyDescent="0.35">
      <c r="A3690" s="40">
        <v>44315</v>
      </c>
      <c r="B3690" s="38">
        <v>2143.4699999999998</v>
      </c>
      <c r="C3690" s="13" t="s">
        <v>991</v>
      </c>
      <c r="D3690" s="36">
        <v>2397.96</v>
      </c>
      <c r="E3690" s="43" t="s">
        <v>3596</v>
      </c>
    </row>
    <row r="3691" spans="1:5" x14ac:dyDescent="0.35">
      <c r="A3691" s="40">
        <v>44315</v>
      </c>
      <c r="B3691" s="38">
        <v>-500</v>
      </c>
      <c r="C3691" s="13" t="s">
        <v>945</v>
      </c>
      <c r="D3691" s="36">
        <v>1795.96</v>
      </c>
      <c r="E3691" s="43" t="s">
        <v>3596</v>
      </c>
    </row>
    <row r="3692" spans="1:5" x14ac:dyDescent="0.35">
      <c r="A3692" s="40">
        <v>44315</v>
      </c>
      <c r="B3692" s="38">
        <v>-32.25</v>
      </c>
      <c r="C3692" s="13" t="s">
        <v>1921</v>
      </c>
      <c r="D3692" s="36">
        <v>2295.96</v>
      </c>
      <c r="E3692" s="43" t="s">
        <v>3596</v>
      </c>
    </row>
    <row r="3693" spans="1:5" x14ac:dyDescent="0.35">
      <c r="A3693" s="40">
        <v>44315</v>
      </c>
      <c r="B3693" s="38">
        <v>-23.25</v>
      </c>
      <c r="C3693" s="13" t="s">
        <v>1920</v>
      </c>
      <c r="D3693" s="36">
        <v>2328.21</v>
      </c>
      <c r="E3693" s="43" t="s">
        <v>3596</v>
      </c>
    </row>
    <row r="3694" spans="1:5" x14ac:dyDescent="0.35">
      <c r="A3694" s="40">
        <v>44315</v>
      </c>
      <c r="B3694" s="38">
        <v>-3.25</v>
      </c>
      <c r="C3694" s="13" t="s">
        <v>1919</v>
      </c>
      <c r="D3694" s="36">
        <v>2351.46</v>
      </c>
      <c r="E3694" s="43" t="s">
        <v>3596</v>
      </c>
    </row>
    <row r="3695" spans="1:5" x14ac:dyDescent="0.35">
      <c r="A3695" s="40">
        <v>44315</v>
      </c>
      <c r="B3695" s="38">
        <v>-3.25</v>
      </c>
      <c r="C3695" s="13" t="s">
        <v>1919</v>
      </c>
      <c r="D3695" s="36">
        <v>2354.71</v>
      </c>
      <c r="E3695" s="43" t="s">
        <v>3596</v>
      </c>
    </row>
    <row r="3696" spans="1:5" x14ac:dyDescent="0.35">
      <c r="A3696" s="40">
        <v>44314</v>
      </c>
      <c r="B3696" s="38">
        <v>-13.5</v>
      </c>
      <c r="C3696" s="13" t="s">
        <v>1914</v>
      </c>
      <c r="D3696" s="36">
        <v>580.77</v>
      </c>
      <c r="E3696" s="43" t="s">
        <v>3596</v>
      </c>
    </row>
    <row r="3697" spans="1:5" x14ac:dyDescent="0.35">
      <c r="A3697" s="40">
        <v>44314</v>
      </c>
      <c r="B3697" s="38">
        <v>-11.1</v>
      </c>
      <c r="C3697" s="13" t="s">
        <v>1913</v>
      </c>
      <c r="D3697" s="36">
        <v>594.27</v>
      </c>
      <c r="E3697" s="43" t="s">
        <v>3596</v>
      </c>
    </row>
    <row r="3698" spans="1:5" x14ac:dyDescent="0.35">
      <c r="A3698" s="40">
        <v>44314</v>
      </c>
      <c r="B3698" s="38">
        <v>-100</v>
      </c>
      <c r="C3698" s="13" t="s">
        <v>946</v>
      </c>
      <c r="D3698" s="36">
        <v>605.37</v>
      </c>
      <c r="E3698" s="43" t="s">
        <v>3596</v>
      </c>
    </row>
    <row r="3699" spans="1:5" x14ac:dyDescent="0.35">
      <c r="A3699" s="40">
        <v>44314</v>
      </c>
      <c r="B3699" s="38">
        <v>-75.680000000000007</v>
      </c>
      <c r="C3699" s="13" t="s">
        <v>1917</v>
      </c>
      <c r="D3699" s="36">
        <v>254.49</v>
      </c>
      <c r="E3699" s="43" t="s">
        <v>3596</v>
      </c>
    </row>
    <row r="3700" spans="1:5" x14ac:dyDescent="0.35">
      <c r="A3700" s="40">
        <v>44314</v>
      </c>
      <c r="B3700" s="38">
        <v>-245</v>
      </c>
      <c r="C3700" s="13" t="s">
        <v>1915</v>
      </c>
      <c r="D3700" s="36">
        <v>335.77</v>
      </c>
      <c r="E3700" s="43" t="s">
        <v>3596</v>
      </c>
    </row>
    <row r="3701" spans="1:5" x14ac:dyDescent="0.35">
      <c r="A3701" s="40">
        <v>44314</v>
      </c>
      <c r="B3701" s="38">
        <v>-5.6</v>
      </c>
      <c r="C3701" s="13" t="s">
        <v>1916</v>
      </c>
      <c r="D3701" s="36">
        <v>330.17</v>
      </c>
      <c r="E3701" s="43" t="s">
        <v>3596</v>
      </c>
    </row>
    <row r="3702" spans="1:5" x14ac:dyDescent="0.35">
      <c r="A3702" s="40">
        <v>44313</v>
      </c>
      <c r="B3702" s="38">
        <v>-11.5</v>
      </c>
      <c r="C3702" s="13" t="s">
        <v>1912</v>
      </c>
      <c r="D3702" s="36">
        <v>421.37</v>
      </c>
      <c r="E3702" s="43" t="s">
        <v>3596</v>
      </c>
    </row>
    <row r="3703" spans="1:5" x14ac:dyDescent="0.35">
      <c r="A3703" s="40">
        <v>44313</v>
      </c>
      <c r="B3703" s="38">
        <v>200</v>
      </c>
      <c r="C3703" s="13" t="s">
        <v>1959</v>
      </c>
      <c r="D3703" s="36">
        <v>705.37</v>
      </c>
      <c r="E3703" s="43" t="s">
        <v>3596</v>
      </c>
    </row>
    <row r="3704" spans="1:5" x14ac:dyDescent="0.35">
      <c r="A3704" s="40">
        <v>44313</v>
      </c>
      <c r="B3704" s="38">
        <v>84</v>
      </c>
      <c r="C3704" s="13" t="s">
        <v>1689</v>
      </c>
      <c r="D3704" s="36">
        <v>505.37</v>
      </c>
      <c r="E3704" s="43" t="s">
        <v>3596</v>
      </c>
    </row>
    <row r="3705" spans="1:5" x14ac:dyDescent="0.35">
      <c r="A3705" s="40">
        <v>44313</v>
      </c>
      <c r="B3705" s="38">
        <v>-32.44</v>
      </c>
      <c r="C3705" s="13" t="s">
        <v>1910</v>
      </c>
      <c r="D3705" s="36">
        <v>552.87</v>
      </c>
      <c r="E3705" s="43" t="s">
        <v>3596</v>
      </c>
    </row>
    <row r="3706" spans="1:5" x14ac:dyDescent="0.35">
      <c r="A3706" s="40">
        <v>44313</v>
      </c>
      <c r="B3706" s="38">
        <v>-120</v>
      </c>
      <c r="C3706" s="13" t="s">
        <v>1911</v>
      </c>
      <c r="D3706" s="36">
        <v>432.87</v>
      </c>
      <c r="E3706" s="43" t="s">
        <v>3596</v>
      </c>
    </row>
    <row r="3707" spans="1:5" x14ac:dyDescent="0.35">
      <c r="A3707" s="40">
        <v>44313</v>
      </c>
      <c r="B3707" s="38">
        <v>-3</v>
      </c>
      <c r="C3707" s="13" t="s">
        <v>1909</v>
      </c>
      <c r="D3707" s="36">
        <v>585.30999999999995</v>
      </c>
      <c r="E3707" s="43" t="s">
        <v>3596</v>
      </c>
    </row>
    <row r="3708" spans="1:5" x14ac:dyDescent="0.35">
      <c r="A3708" s="40">
        <v>44313</v>
      </c>
      <c r="B3708" s="38">
        <v>-15.5</v>
      </c>
      <c r="C3708" s="13" t="s">
        <v>1909</v>
      </c>
      <c r="D3708" s="36">
        <v>588.30999999999995</v>
      </c>
      <c r="E3708" s="43" t="s">
        <v>3596</v>
      </c>
    </row>
    <row r="3709" spans="1:5" x14ac:dyDescent="0.35">
      <c r="A3709" s="40">
        <v>44310</v>
      </c>
      <c r="B3709" s="38">
        <v>-15</v>
      </c>
      <c r="C3709" s="13" t="s">
        <v>1908</v>
      </c>
      <c r="D3709" s="36">
        <v>603.80999999999995</v>
      </c>
      <c r="E3709" s="43" t="s">
        <v>3596</v>
      </c>
    </row>
    <row r="3710" spans="1:5" x14ac:dyDescent="0.35">
      <c r="A3710" s="40">
        <v>44310</v>
      </c>
      <c r="B3710" s="38">
        <v>300</v>
      </c>
      <c r="C3710" s="13" t="s">
        <v>1689</v>
      </c>
      <c r="D3710" s="36">
        <v>618.80999999999995</v>
      </c>
      <c r="E3710" s="43" t="s">
        <v>3596</v>
      </c>
    </row>
    <row r="3711" spans="1:5" x14ac:dyDescent="0.35">
      <c r="A3711" s="40">
        <v>44310</v>
      </c>
      <c r="B3711" s="38">
        <v>-13.2</v>
      </c>
      <c r="C3711" s="13" t="s">
        <v>1906</v>
      </c>
      <c r="D3711" s="36">
        <v>350.8</v>
      </c>
      <c r="E3711" s="43" t="s">
        <v>3596</v>
      </c>
    </row>
    <row r="3712" spans="1:5" x14ac:dyDescent="0.35">
      <c r="A3712" s="40">
        <v>44310</v>
      </c>
      <c r="B3712" s="38">
        <v>-31.99</v>
      </c>
      <c r="C3712" s="13" t="s">
        <v>1907</v>
      </c>
      <c r="D3712" s="36">
        <v>318.81</v>
      </c>
      <c r="E3712" s="43" t="s">
        <v>3596</v>
      </c>
    </row>
    <row r="3713" spans="1:5" x14ac:dyDescent="0.35">
      <c r="A3713" s="40">
        <v>44309</v>
      </c>
      <c r="B3713" s="38">
        <v>-22.49</v>
      </c>
      <c r="C3713" s="13" t="s">
        <v>1904</v>
      </c>
      <c r="D3713" s="36">
        <v>372.8</v>
      </c>
      <c r="E3713" s="43" t="s">
        <v>3596</v>
      </c>
    </row>
    <row r="3714" spans="1:5" x14ac:dyDescent="0.35">
      <c r="A3714" s="40">
        <v>44309</v>
      </c>
      <c r="B3714" s="38">
        <v>-8.8000000000000007</v>
      </c>
      <c r="C3714" s="13" t="s">
        <v>1905</v>
      </c>
      <c r="D3714" s="36">
        <v>364</v>
      </c>
      <c r="E3714" s="43" t="s">
        <v>3596</v>
      </c>
    </row>
    <row r="3715" spans="1:5" x14ac:dyDescent="0.35">
      <c r="A3715" s="40">
        <v>44308</v>
      </c>
      <c r="B3715" s="38">
        <v>-586.99</v>
      </c>
      <c r="C3715" s="13" t="s">
        <v>2063</v>
      </c>
      <c r="D3715" s="36">
        <v>395.29</v>
      </c>
      <c r="E3715" s="43" t="s">
        <v>3596</v>
      </c>
    </row>
    <row r="3716" spans="1:5" x14ac:dyDescent="0.35">
      <c r="A3716" s="40">
        <v>44307</v>
      </c>
      <c r="B3716" s="38">
        <v>-59</v>
      </c>
      <c r="C3716" s="13" t="s">
        <v>1901</v>
      </c>
      <c r="D3716" s="36">
        <v>870.74</v>
      </c>
      <c r="E3716" s="43" t="s">
        <v>3596</v>
      </c>
    </row>
    <row r="3717" spans="1:5" x14ac:dyDescent="0.35">
      <c r="A3717" s="40">
        <v>44307</v>
      </c>
      <c r="B3717" s="38">
        <v>195.6</v>
      </c>
      <c r="C3717" s="13" t="s">
        <v>1960</v>
      </c>
      <c r="D3717" s="36">
        <v>982.28</v>
      </c>
      <c r="E3717" s="43" t="s">
        <v>3596</v>
      </c>
    </row>
    <row r="3718" spans="1:5" x14ac:dyDescent="0.35">
      <c r="A3718" s="40">
        <v>44307</v>
      </c>
      <c r="B3718" s="38">
        <v>-23.4</v>
      </c>
      <c r="C3718" s="13" t="s">
        <v>1902</v>
      </c>
      <c r="D3718" s="36">
        <v>847.34</v>
      </c>
      <c r="E3718" s="43" t="s">
        <v>3596</v>
      </c>
    </row>
    <row r="3719" spans="1:5" x14ac:dyDescent="0.35">
      <c r="A3719" s="40">
        <v>44307</v>
      </c>
      <c r="B3719" s="38">
        <v>-60.66</v>
      </c>
      <c r="C3719" s="13" t="s">
        <v>1903</v>
      </c>
      <c r="D3719" s="36">
        <v>786.68</v>
      </c>
      <c r="E3719" s="43" t="s">
        <v>3596</v>
      </c>
    </row>
    <row r="3720" spans="1:5" x14ac:dyDescent="0.35">
      <c r="A3720" s="40">
        <v>44306</v>
      </c>
      <c r="B3720" s="38">
        <v>-4.1500000000000004</v>
      </c>
      <c r="C3720" s="13" t="s">
        <v>1900</v>
      </c>
      <c r="D3720" s="36">
        <v>733.14</v>
      </c>
      <c r="E3720" s="43" t="s">
        <v>3596</v>
      </c>
    </row>
    <row r="3721" spans="1:5" x14ac:dyDescent="0.35">
      <c r="A3721" s="40">
        <v>44306</v>
      </c>
      <c r="B3721" s="38">
        <v>-3</v>
      </c>
      <c r="C3721" s="13" t="s">
        <v>1897</v>
      </c>
      <c r="D3721" s="36">
        <v>830.68</v>
      </c>
      <c r="E3721" s="43" t="s">
        <v>3596</v>
      </c>
    </row>
    <row r="3722" spans="1:5" x14ac:dyDescent="0.35">
      <c r="A3722" s="40">
        <v>44306</v>
      </c>
      <c r="B3722" s="38">
        <v>-69.400000000000006</v>
      </c>
      <c r="C3722" s="13" t="s">
        <v>1898</v>
      </c>
      <c r="D3722" s="36">
        <v>761.28</v>
      </c>
      <c r="E3722" s="43" t="s">
        <v>3596</v>
      </c>
    </row>
    <row r="3723" spans="1:5" x14ac:dyDescent="0.35">
      <c r="A3723" s="40">
        <v>44306</v>
      </c>
      <c r="B3723" s="38">
        <v>-23.99</v>
      </c>
      <c r="C3723" s="13" t="s">
        <v>1899</v>
      </c>
      <c r="D3723" s="36">
        <v>737.29</v>
      </c>
      <c r="E3723" s="43" t="s">
        <v>3596</v>
      </c>
    </row>
    <row r="3724" spans="1:5" x14ac:dyDescent="0.35">
      <c r="A3724" s="40">
        <v>44306</v>
      </c>
      <c r="B3724" s="38">
        <v>-102.99</v>
      </c>
      <c r="C3724" s="13" t="s">
        <v>1896</v>
      </c>
      <c r="D3724" s="36">
        <v>833.68</v>
      </c>
      <c r="E3724" s="43" t="s">
        <v>3596</v>
      </c>
    </row>
    <row r="3725" spans="1:5" x14ac:dyDescent="0.35">
      <c r="A3725" s="40">
        <v>44306</v>
      </c>
      <c r="B3725" s="38">
        <v>-214</v>
      </c>
      <c r="C3725" s="13" t="s">
        <v>1895</v>
      </c>
      <c r="D3725" s="36">
        <v>936.67</v>
      </c>
      <c r="E3725" s="43" t="s">
        <v>3596</v>
      </c>
    </row>
    <row r="3726" spans="1:5" x14ac:dyDescent="0.35">
      <c r="A3726" s="40">
        <v>44306</v>
      </c>
      <c r="B3726" s="38">
        <v>196.6</v>
      </c>
      <c r="C3726" s="13" t="s">
        <v>1971</v>
      </c>
      <c r="D3726" s="36">
        <v>929.74</v>
      </c>
      <c r="E3726" s="43" t="s">
        <v>3596</v>
      </c>
    </row>
    <row r="3727" spans="1:5" x14ac:dyDescent="0.35">
      <c r="A3727" s="40">
        <v>44304</v>
      </c>
      <c r="B3727" s="38">
        <v>-1000</v>
      </c>
      <c r="C3727" s="13" t="s">
        <v>1944</v>
      </c>
      <c r="D3727" s="36">
        <v>1150.67</v>
      </c>
      <c r="E3727" s="43" t="s">
        <v>3596</v>
      </c>
    </row>
    <row r="3728" spans="1:5" x14ac:dyDescent="0.35">
      <c r="A3728" s="40">
        <v>44303</v>
      </c>
      <c r="B3728" s="38">
        <v>-12</v>
      </c>
      <c r="C3728" s="13" t="s">
        <v>1894</v>
      </c>
      <c r="D3728" s="36">
        <v>2250.67</v>
      </c>
      <c r="E3728" s="43" t="s">
        <v>3596</v>
      </c>
    </row>
    <row r="3729" spans="1:5" x14ac:dyDescent="0.35">
      <c r="A3729" s="40">
        <v>44303</v>
      </c>
      <c r="B3729" s="38">
        <v>-100</v>
      </c>
      <c r="C3729" s="13" t="s">
        <v>946</v>
      </c>
      <c r="D3729" s="36">
        <v>2150.67</v>
      </c>
      <c r="E3729" s="43" t="s">
        <v>3596</v>
      </c>
    </row>
    <row r="3730" spans="1:5" x14ac:dyDescent="0.35">
      <c r="A3730" s="40">
        <v>44302</v>
      </c>
      <c r="B3730" s="38">
        <v>-40</v>
      </c>
      <c r="C3730" s="13" t="s">
        <v>1891</v>
      </c>
      <c r="D3730" s="36">
        <v>2259.56</v>
      </c>
      <c r="E3730" s="43" t="s">
        <v>3596</v>
      </c>
    </row>
    <row r="3731" spans="1:5" x14ac:dyDescent="0.35">
      <c r="A3731" s="40">
        <v>44302</v>
      </c>
      <c r="B3731" s="38">
        <v>-16</v>
      </c>
      <c r="C3731" s="13" t="s">
        <v>1474</v>
      </c>
      <c r="D3731" s="36">
        <v>2190.67</v>
      </c>
      <c r="E3731" s="43" t="s">
        <v>3596</v>
      </c>
    </row>
    <row r="3732" spans="1:5" x14ac:dyDescent="0.35">
      <c r="A3732" s="40">
        <v>44302</v>
      </c>
      <c r="B3732" s="38">
        <v>72</v>
      </c>
      <c r="C3732" s="13" t="s">
        <v>1958</v>
      </c>
      <c r="D3732" s="36">
        <v>2262.67</v>
      </c>
      <c r="E3732" s="43" t="s">
        <v>3596</v>
      </c>
    </row>
    <row r="3733" spans="1:5" x14ac:dyDescent="0.35">
      <c r="A3733" s="40">
        <v>44302</v>
      </c>
      <c r="B3733" s="38">
        <v>-43.89</v>
      </c>
      <c r="C3733" s="13" t="s">
        <v>1892</v>
      </c>
      <c r="D3733" s="36">
        <v>2215.67</v>
      </c>
      <c r="E3733" s="43" t="s">
        <v>3596</v>
      </c>
    </row>
    <row r="3734" spans="1:5" x14ac:dyDescent="0.35">
      <c r="A3734" s="40">
        <v>44302</v>
      </c>
      <c r="B3734" s="38">
        <v>-9</v>
      </c>
      <c r="C3734" s="13" t="s">
        <v>1893</v>
      </c>
      <c r="D3734" s="36">
        <v>2206.67</v>
      </c>
      <c r="E3734" s="43" t="s">
        <v>3596</v>
      </c>
    </row>
    <row r="3735" spans="1:5" x14ac:dyDescent="0.35">
      <c r="A3735" s="40">
        <v>44301</v>
      </c>
      <c r="B3735" s="38">
        <v>2143.4699999999998</v>
      </c>
      <c r="C3735" s="13" t="s">
        <v>1890</v>
      </c>
      <c r="D3735" s="36">
        <v>2806.06</v>
      </c>
      <c r="E3735" s="43" t="s">
        <v>3596</v>
      </c>
    </row>
    <row r="3736" spans="1:5" x14ac:dyDescent="0.35">
      <c r="A3736" s="40">
        <v>44301</v>
      </c>
      <c r="B3736" s="38">
        <v>-500</v>
      </c>
      <c r="C3736" s="13" t="s">
        <v>945</v>
      </c>
      <c r="D3736" s="36">
        <v>2306.06</v>
      </c>
      <c r="E3736" s="43" t="s">
        <v>3596</v>
      </c>
    </row>
    <row r="3737" spans="1:5" x14ac:dyDescent="0.35">
      <c r="A3737" s="40">
        <v>44301</v>
      </c>
      <c r="B3737" s="38">
        <v>-6.5</v>
      </c>
      <c r="C3737" s="13" t="s">
        <v>1481</v>
      </c>
      <c r="D3737" s="36">
        <v>2299.56</v>
      </c>
      <c r="E3737" s="43" t="s">
        <v>3596</v>
      </c>
    </row>
    <row r="3738" spans="1:5" x14ac:dyDescent="0.35">
      <c r="A3738" s="40">
        <v>44300</v>
      </c>
      <c r="B3738" s="38">
        <v>-23.99</v>
      </c>
      <c r="C3738" s="13" t="s">
        <v>1889</v>
      </c>
      <c r="D3738" s="36">
        <v>680.66</v>
      </c>
      <c r="E3738" s="43" t="s">
        <v>3596</v>
      </c>
    </row>
    <row r="3739" spans="1:5" x14ac:dyDescent="0.35">
      <c r="A3739" s="40">
        <v>44300</v>
      </c>
      <c r="B3739" s="38">
        <v>-27.98</v>
      </c>
      <c r="C3739" s="13" t="s">
        <v>1888</v>
      </c>
      <c r="D3739" s="36">
        <v>704.65</v>
      </c>
      <c r="E3739" s="43" t="s">
        <v>3596</v>
      </c>
    </row>
    <row r="3740" spans="1:5" x14ac:dyDescent="0.35">
      <c r="A3740" s="40">
        <v>44300</v>
      </c>
      <c r="B3740" s="38">
        <v>-18.07</v>
      </c>
      <c r="C3740" s="13" t="s">
        <v>1471</v>
      </c>
      <c r="D3740" s="36">
        <v>662.59</v>
      </c>
      <c r="E3740" s="43" t="s">
        <v>3596</v>
      </c>
    </row>
    <row r="3741" spans="1:5" x14ac:dyDescent="0.35">
      <c r="A3741" s="40">
        <v>44300</v>
      </c>
      <c r="B3741" s="38">
        <v>-16.12</v>
      </c>
      <c r="C3741" s="13" t="s">
        <v>1887</v>
      </c>
      <c r="D3741" s="36">
        <v>732.63</v>
      </c>
      <c r="E3741" s="43" t="s">
        <v>3596</v>
      </c>
    </row>
    <row r="3742" spans="1:5" x14ac:dyDescent="0.35">
      <c r="A3742" s="40">
        <v>44299</v>
      </c>
      <c r="B3742" s="38">
        <v>-37.200000000000003</v>
      </c>
      <c r="C3742" s="13" t="s">
        <v>1886</v>
      </c>
      <c r="D3742" s="36">
        <v>727.75</v>
      </c>
      <c r="E3742" s="43" t="s">
        <v>3596</v>
      </c>
    </row>
    <row r="3743" spans="1:5" x14ac:dyDescent="0.35">
      <c r="A3743" s="40">
        <v>44299</v>
      </c>
      <c r="B3743" s="38">
        <v>15</v>
      </c>
      <c r="C3743" s="13" t="s">
        <v>1961</v>
      </c>
      <c r="D3743" s="36">
        <v>742.75</v>
      </c>
      <c r="E3743" s="43" t="s">
        <v>3596</v>
      </c>
    </row>
    <row r="3744" spans="1:5" x14ac:dyDescent="0.35">
      <c r="A3744" s="40">
        <v>44299</v>
      </c>
      <c r="B3744" s="38">
        <v>6</v>
      </c>
      <c r="C3744" s="13" t="s">
        <v>1972</v>
      </c>
      <c r="D3744" s="36">
        <v>748.75</v>
      </c>
      <c r="E3744" s="43" t="s">
        <v>3596</v>
      </c>
    </row>
    <row r="3745" spans="1:5" x14ac:dyDescent="0.35">
      <c r="A3745" s="40">
        <v>44298</v>
      </c>
      <c r="B3745" s="38">
        <v>-17.68</v>
      </c>
      <c r="C3745" s="13" t="s">
        <v>1471</v>
      </c>
      <c r="D3745" s="36">
        <v>764.95</v>
      </c>
      <c r="E3745" s="43" t="s">
        <v>3596</v>
      </c>
    </row>
    <row r="3746" spans="1:5" x14ac:dyDescent="0.35">
      <c r="A3746" s="40">
        <v>44298</v>
      </c>
      <c r="B3746" s="38">
        <v>1000</v>
      </c>
      <c r="C3746" s="13" t="s">
        <v>1946</v>
      </c>
      <c r="D3746" s="36">
        <v>1782.63</v>
      </c>
      <c r="E3746" s="43" t="s">
        <v>3596</v>
      </c>
    </row>
    <row r="3747" spans="1:5" x14ac:dyDescent="0.35">
      <c r="A3747" s="40">
        <v>44298</v>
      </c>
      <c r="B3747" s="38">
        <v>-1000</v>
      </c>
      <c r="C3747" s="13" t="s">
        <v>1945</v>
      </c>
      <c r="D3747" s="36">
        <v>782.63</v>
      </c>
      <c r="E3747" s="43" t="s">
        <v>3596</v>
      </c>
    </row>
    <row r="3748" spans="1:5" x14ac:dyDescent="0.35">
      <c r="A3748" s="40">
        <v>44297</v>
      </c>
      <c r="B3748" s="38">
        <v>1000</v>
      </c>
      <c r="C3748" s="13" t="s">
        <v>1951</v>
      </c>
      <c r="D3748" s="36">
        <v>1782.63</v>
      </c>
      <c r="E3748" s="43" t="s">
        <v>3596</v>
      </c>
    </row>
    <row r="3749" spans="1:5" x14ac:dyDescent="0.35">
      <c r="A3749" s="40">
        <v>44297</v>
      </c>
      <c r="B3749" s="38">
        <v>300</v>
      </c>
      <c r="C3749" s="13" t="s">
        <v>1947</v>
      </c>
      <c r="D3749" s="36">
        <v>782.63</v>
      </c>
      <c r="E3749" s="43" t="s">
        <v>3596</v>
      </c>
    </row>
    <row r="3750" spans="1:5" x14ac:dyDescent="0.35">
      <c r="A3750" s="40">
        <v>44297</v>
      </c>
      <c r="B3750" s="38">
        <v>700</v>
      </c>
      <c r="C3750" s="13" t="s">
        <v>1949</v>
      </c>
      <c r="D3750" s="36">
        <v>1482.63</v>
      </c>
      <c r="E3750" s="43" t="s">
        <v>3596</v>
      </c>
    </row>
    <row r="3751" spans="1:5" x14ac:dyDescent="0.35">
      <c r="A3751" s="40">
        <v>44297</v>
      </c>
      <c r="B3751" s="38">
        <v>-1000</v>
      </c>
      <c r="C3751" s="13" t="s">
        <v>1948</v>
      </c>
      <c r="D3751" s="36">
        <v>482.63</v>
      </c>
      <c r="E3751" s="43" t="s">
        <v>3596</v>
      </c>
    </row>
    <row r="3752" spans="1:5" x14ac:dyDescent="0.35">
      <c r="A3752" s="40">
        <v>44297</v>
      </c>
      <c r="B3752" s="38">
        <v>-1000</v>
      </c>
      <c r="C3752" s="13" t="s">
        <v>1950</v>
      </c>
      <c r="D3752" s="36">
        <v>782.63</v>
      </c>
      <c r="E3752" s="43" t="s">
        <v>3596</v>
      </c>
    </row>
    <row r="3753" spans="1:5" x14ac:dyDescent="0.35">
      <c r="A3753" s="40">
        <v>44296</v>
      </c>
      <c r="B3753" s="38">
        <v>-12</v>
      </c>
      <c r="C3753" s="13" t="s">
        <v>1737</v>
      </c>
      <c r="D3753" s="36">
        <v>1532.63</v>
      </c>
      <c r="E3753" s="43" t="s">
        <v>3596</v>
      </c>
    </row>
    <row r="3754" spans="1:5" x14ac:dyDescent="0.35">
      <c r="A3754" s="40">
        <v>44296</v>
      </c>
      <c r="B3754" s="38">
        <v>-75</v>
      </c>
      <c r="C3754" s="13" t="s">
        <v>1737</v>
      </c>
      <c r="D3754" s="36">
        <v>1544.63</v>
      </c>
      <c r="E3754" s="43" t="s">
        <v>3596</v>
      </c>
    </row>
    <row r="3755" spans="1:5" x14ac:dyDescent="0.35">
      <c r="A3755" s="40">
        <v>44296</v>
      </c>
      <c r="B3755" s="38">
        <v>-100</v>
      </c>
      <c r="C3755" s="13" t="s">
        <v>946</v>
      </c>
      <c r="D3755" s="36">
        <v>1619.63</v>
      </c>
      <c r="E3755" s="43" t="s">
        <v>3596</v>
      </c>
    </row>
    <row r="3756" spans="1:5" x14ac:dyDescent="0.35">
      <c r="A3756" s="40">
        <v>44296</v>
      </c>
      <c r="B3756" s="38">
        <v>-750</v>
      </c>
      <c r="C3756" s="13" t="s">
        <v>1952</v>
      </c>
      <c r="D3756" s="36">
        <v>782.63</v>
      </c>
      <c r="E3756" s="43" t="s">
        <v>3596</v>
      </c>
    </row>
    <row r="3757" spans="1:5" x14ac:dyDescent="0.35">
      <c r="A3757" s="40">
        <v>44295</v>
      </c>
      <c r="B3757" s="38">
        <v>-16</v>
      </c>
      <c r="C3757" s="13" t="s">
        <v>1474</v>
      </c>
      <c r="D3757" s="36">
        <v>1719.63</v>
      </c>
      <c r="E3757" s="43" t="s">
        <v>3596</v>
      </c>
    </row>
    <row r="3758" spans="1:5" x14ac:dyDescent="0.35">
      <c r="A3758" s="40">
        <v>44295</v>
      </c>
      <c r="B3758" s="38">
        <v>-8.9</v>
      </c>
      <c r="C3758" s="13" t="s">
        <v>1884</v>
      </c>
      <c r="D3758" s="36">
        <v>1735.63</v>
      </c>
      <c r="E3758" s="43" t="s">
        <v>3596</v>
      </c>
    </row>
    <row r="3759" spans="1:5" x14ac:dyDescent="0.35">
      <c r="A3759" s="40">
        <v>44294</v>
      </c>
      <c r="B3759" s="38">
        <v>-25.13</v>
      </c>
      <c r="C3759" s="13" t="s">
        <v>1880</v>
      </c>
      <c r="D3759" s="36">
        <v>1968.07</v>
      </c>
      <c r="E3759" s="43" t="s">
        <v>3596</v>
      </c>
    </row>
    <row r="3760" spans="1:5" x14ac:dyDescent="0.35">
      <c r="A3760" s="40">
        <v>44294</v>
      </c>
      <c r="B3760" s="38">
        <v>-29.42</v>
      </c>
      <c r="C3760" s="13" t="s">
        <v>1878</v>
      </c>
      <c r="D3760" s="36">
        <v>1938.65</v>
      </c>
      <c r="E3760" s="43" t="s">
        <v>3596</v>
      </c>
    </row>
    <row r="3761" spans="1:5" x14ac:dyDescent="0.35">
      <c r="A3761" s="40">
        <v>44294</v>
      </c>
      <c r="B3761" s="38">
        <v>-11.06</v>
      </c>
      <c r="C3761" s="13" t="s">
        <v>1883</v>
      </c>
      <c r="D3761" s="36">
        <v>1744.53</v>
      </c>
      <c r="E3761" s="43" t="s">
        <v>3596</v>
      </c>
    </row>
    <row r="3762" spans="1:5" x14ac:dyDescent="0.35">
      <c r="A3762" s="40">
        <v>44294</v>
      </c>
      <c r="B3762" s="38">
        <v>841.68</v>
      </c>
      <c r="C3762" s="13" t="s">
        <v>1879</v>
      </c>
      <c r="D3762" s="36">
        <v>1993.2</v>
      </c>
      <c r="E3762" s="43" t="s">
        <v>3596</v>
      </c>
    </row>
    <row r="3763" spans="1:5" x14ac:dyDescent="0.35">
      <c r="A3763" s="40">
        <v>44294</v>
      </c>
      <c r="B3763" s="38">
        <v>-129</v>
      </c>
      <c r="C3763" s="13" t="s">
        <v>1882</v>
      </c>
      <c r="D3763" s="36">
        <v>1755.59</v>
      </c>
      <c r="E3763" s="43" t="s">
        <v>3596</v>
      </c>
    </row>
    <row r="3764" spans="1:5" x14ac:dyDescent="0.35">
      <c r="A3764" s="40">
        <v>44294</v>
      </c>
      <c r="B3764" s="38">
        <v>-54.06</v>
      </c>
      <c r="C3764" s="13" t="s">
        <v>1881</v>
      </c>
      <c r="D3764" s="36">
        <v>1884.59</v>
      </c>
      <c r="E3764" s="43" t="s">
        <v>3596</v>
      </c>
    </row>
    <row r="3765" spans="1:5" x14ac:dyDescent="0.35">
      <c r="A3765" s="40">
        <v>44293</v>
      </c>
      <c r="B3765" s="38">
        <v>-46.99</v>
      </c>
      <c r="C3765" s="13" t="s">
        <v>1878</v>
      </c>
      <c r="D3765" s="36">
        <v>1151.52</v>
      </c>
      <c r="E3765" s="43" t="s">
        <v>3596</v>
      </c>
    </row>
    <row r="3766" spans="1:5" x14ac:dyDescent="0.35">
      <c r="A3766" s="40">
        <v>44293</v>
      </c>
      <c r="B3766" s="38">
        <v>-36.520000000000003</v>
      </c>
      <c r="C3766" s="13" t="s">
        <v>1877</v>
      </c>
      <c r="D3766" s="36">
        <v>1198.51</v>
      </c>
      <c r="E3766" s="43" t="s">
        <v>3596</v>
      </c>
    </row>
    <row r="3767" spans="1:5" x14ac:dyDescent="0.35">
      <c r="A3767" s="40">
        <v>44293</v>
      </c>
      <c r="B3767" s="38">
        <v>-1.61</v>
      </c>
      <c r="C3767" s="13" t="s">
        <v>1877</v>
      </c>
      <c r="D3767" s="36">
        <v>1235.03</v>
      </c>
      <c r="E3767" s="43" t="s">
        <v>3596</v>
      </c>
    </row>
    <row r="3768" spans="1:5" x14ac:dyDescent="0.35">
      <c r="A3768" s="40">
        <v>44292</v>
      </c>
      <c r="B3768" s="38">
        <v>2474.94</v>
      </c>
      <c r="C3768" s="13" t="s">
        <v>1876</v>
      </c>
      <c r="D3768" s="36">
        <v>3736.64</v>
      </c>
      <c r="E3768" s="43" t="s">
        <v>3596</v>
      </c>
    </row>
    <row r="3769" spans="1:5" x14ac:dyDescent="0.35">
      <c r="A3769" s="40">
        <v>44292</v>
      </c>
      <c r="B3769" s="38">
        <v>-2500</v>
      </c>
      <c r="C3769" s="13" t="s">
        <v>1953</v>
      </c>
      <c r="D3769" s="36">
        <v>1236.6400000000001</v>
      </c>
      <c r="E3769" s="43" t="s">
        <v>3596</v>
      </c>
    </row>
    <row r="3770" spans="1:5" x14ac:dyDescent="0.35">
      <c r="A3770" s="40">
        <v>44289</v>
      </c>
      <c r="B3770" s="38">
        <v>-36</v>
      </c>
      <c r="C3770" s="13" t="s">
        <v>1954</v>
      </c>
      <c r="D3770" s="36">
        <v>1261.7</v>
      </c>
      <c r="E3770" s="43" t="s">
        <v>3596</v>
      </c>
    </row>
    <row r="3771" spans="1:5" x14ac:dyDescent="0.35">
      <c r="A3771" s="40">
        <v>44289</v>
      </c>
      <c r="B3771" s="38">
        <v>-100</v>
      </c>
      <c r="C3771" s="13" t="s">
        <v>946</v>
      </c>
      <c r="D3771" s="36">
        <v>1297.7</v>
      </c>
      <c r="E3771" s="43" t="s">
        <v>3596</v>
      </c>
    </row>
    <row r="3772" spans="1:5" x14ac:dyDescent="0.35">
      <c r="A3772" s="40">
        <v>44288</v>
      </c>
      <c r="B3772" s="38">
        <v>-45</v>
      </c>
      <c r="C3772" s="13" t="s">
        <v>1963</v>
      </c>
      <c r="D3772" s="36">
        <v>1595.51</v>
      </c>
      <c r="E3772" s="43" t="s">
        <v>3596</v>
      </c>
    </row>
    <row r="3773" spans="1:5" x14ac:dyDescent="0.35">
      <c r="A3773" s="40">
        <v>44288</v>
      </c>
      <c r="B3773" s="38">
        <v>-197.81</v>
      </c>
      <c r="C3773" s="13" t="s">
        <v>1962</v>
      </c>
      <c r="D3773" s="36">
        <v>1397.7</v>
      </c>
      <c r="E3773" s="43" t="s">
        <v>3596</v>
      </c>
    </row>
    <row r="3774" spans="1:5" x14ac:dyDescent="0.35">
      <c r="A3774" s="40">
        <v>44287</v>
      </c>
      <c r="B3774" s="38">
        <v>-23.99</v>
      </c>
      <c r="C3774" s="13" t="s">
        <v>1872</v>
      </c>
      <c r="D3774" s="36">
        <v>2339.9899999999998</v>
      </c>
      <c r="E3774" s="43" t="s">
        <v>3596</v>
      </c>
    </row>
    <row r="3775" spans="1:5" x14ac:dyDescent="0.35">
      <c r="A3775" s="40">
        <v>44287</v>
      </c>
      <c r="B3775" s="38">
        <v>-40</v>
      </c>
      <c r="C3775" s="13" t="s">
        <v>1870</v>
      </c>
      <c r="D3775" s="36">
        <v>2407.56</v>
      </c>
      <c r="E3775" s="43" t="s">
        <v>3596</v>
      </c>
    </row>
    <row r="3776" spans="1:5" x14ac:dyDescent="0.35">
      <c r="A3776" s="40">
        <v>44287</v>
      </c>
      <c r="B3776" s="38">
        <v>2143.4699999999998</v>
      </c>
      <c r="C3776" s="13" t="s">
        <v>1869</v>
      </c>
      <c r="D3776" s="36">
        <v>2447.56</v>
      </c>
      <c r="E3776" s="43" t="s">
        <v>3596</v>
      </c>
    </row>
    <row r="3777" spans="1:5" x14ac:dyDescent="0.35">
      <c r="A3777" s="40">
        <v>44287</v>
      </c>
      <c r="B3777" s="38">
        <v>-500</v>
      </c>
      <c r="C3777" s="13" t="s">
        <v>945</v>
      </c>
      <c r="D3777" s="36">
        <v>1839.99</v>
      </c>
      <c r="E3777" s="43" t="s">
        <v>3596</v>
      </c>
    </row>
    <row r="3778" spans="1:5" x14ac:dyDescent="0.35">
      <c r="A3778" s="40">
        <v>44287</v>
      </c>
      <c r="B3778" s="38">
        <v>-20</v>
      </c>
      <c r="C3778" s="13" t="s">
        <v>3385</v>
      </c>
      <c r="D3778" s="36">
        <v>1819.99</v>
      </c>
      <c r="E3778" s="43" t="s">
        <v>3596</v>
      </c>
    </row>
    <row r="3779" spans="1:5" x14ac:dyDescent="0.35">
      <c r="A3779" s="40">
        <v>44287</v>
      </c>
      <c r="B3779" s="38">
        <v>-179.45</v>
      </c>
      <c r="C3779" s="13" t="s">
        <v>1874</v>
      </c>
      <c r="D3779" s="36">
        <v>1640.51</v>
      </c>
      <c r="E3779" s="43" t="s">
        <v>3596</v>
      </c>
    </row>
    <row r="3780" spans="1:5" x14ac:dyDescent="0.35">
      <c r="A3780" s="40">
        <v>44287</v>
      </c>
      <c r="B3780" s="38">
        <v>-0.03</v>
      </c>
      <c r="C3780" s="13" t="s">
        <v>1873</v>
      </c>
      <c r="D3780" s="36">
        <v>1819.96</v>
      </c>
      <c r="E3780" s="43" t="s">
        <v>3596</v>
      </c>
    </row>
    <row r="3781" spans="1:5" x14ac:dyDescent="0.35">
      <c r="A3781" s="40">
        <v>44287</v>
      </c>
      <c r="B3781" s="38">
        <v>-43.58</v>
      </c>
      <c r="C3781" s="13" t="s">
        <v>1871</v>
      </c>
      <c r="D3781" s="36">
        <v>2363.98</v>
      </c>
      <c r="E3781" s="43" t="s">
        <v>3596</v>
      </c>
    </row>
    <row r="3782" spans="1:5" x14ac:dyDescent="0.35">
      <c r="A3782" s="40">
        <v>44286</v>
      </c>
      <c r="B3782" s="38">
        <v>350</v>
      </c>
      <c r="C3782" s="13" t="s">
        <v>1955</v>
      </c>
      <c r="D3782" s="36">
        <v>431.72</v>
      </c>
      <c r="E3782" s="43" t="s">
        <v>3596</v>
      </c>
    </row>
    <row r="3783" spans="1:5" x14ac:dyDescent="0.35">
      <c r="A3783" s="40">
        <v>44286</v>
      </c>
      <c r="B3783" s="38">
        <v>-53.99</v>
      </c>
      <c r="C3783" s="13" t="s">
        <v>1866</v>
      </c>
      <c r="D3783" s="36">
        <v>114.22</v>
      </c>
      <c r="E3783" s="43" t="s">
        <v>3596</v>
      </c>
    </row>
    <row r="3784" spans="1:5" x14ac:dyDescent="0.35">
      <c r="A3784" s="40">
        <v>44286</v>
      </c>
      <c r="B3784" s="38">
        <v>-32.5</v>
      </c>
      <c r="C3784" s="13" t="s">
        <v>1867</v>
      </c>
      <c r="D3784" s="36">
        <v>81.72</v>
      </c>
      <c r="E3784" s="43" t="s">
        <v>3596</v>
      </c>
    </row>
    <row r="3785" spans="1:5" x14ac:dyDescent="0.35">
      <c r="A3785" s="40">
        <v>44286</v>
      </c>
      <c r="B3785" s="38">
        <v>-16</v>
      </c>
      <c r="C3785" s="13" t="s">
        <v>1474</v>
      </c>
      <c r="D3785" s="36">
        <v>615.72</v>
      </c>
      <c r="E3785" s="43" t="s">
        <v>3596</v>
      </c>
    </row>
    <row r="3786" spans="1:5" x14ac:dyDescent="0.35">
      <c r="A3786" s="40">
        <v>44286</v>
      </c>
      <c r="B3786" s="38">
        <v>200</v>
      </c>
      <c r="C3786" s="13" t="s">
        <v>1689</v>
      </c>
      <c r="D3786" s="36">
        <v>631.72</v>
      </c>
      <c r="E3786" s="43" t="s">
        <v>3596</v>
      </c>
    </row>
    <row r="3787" spans="1:5" x14ac:dyDescent="0.35">
      <c r="A3787" s="40">
        <v>44286</v>
      </c>
      <c r="B3787" s="38">
        <v>-20</v>
      </c>
      <c r="C3787" s="13" t="s">
        <v>1737</v>
      </c>
      <c r="D3787" s="36">
        <v>652.28</v>
      </c>
      <c r="E3787" s="43" t="s">
        <v>3596</v>
      </c>
    </row>
    <row r="3788" spans="1:5" x14ac:dyDescent="0.35">
      <c r="A3788" s="40">
        <v>44286</v>
      </c>
      <c r="B3788" s="38">
        <v>56.56</v>
      </c>
      <c r="C3788" s="13" t="s">
        <v>1238</v>
      </c>
      <c r="D3788" s="36">
        <v>672.28</v>
      </c>
      <c r="E3788" s="43" t="s">
        <v>3596</v>
      </c>
    </row>
    <row r="3789" spans="1:5" x14ac:dyDescent="0.35">
      <c r="A3789" s="40">
        <v>44286</v>
      </c>
      <c r="B3789" s="38">
        <v>-348.19</v>
      </c>
      <c r="C3789" s="13" t="s">
        <v>1868</v>
      </c>
      <c r="D3789" s="36">
        <v>304.08999999999997</v>
      </c>
      <c r="E3789" s="43" t="s">
        <v>3596</v>
      </c>
    </row>
    <row r="3790" spans="1:5" x14ac:dyDescent="0.35">
      <c r="A3790" s="40">
        <v>44285</v>
      </c>
      <c r="B3790" s="38">
        <v>-1000</v>
      </c>
      <c r="C3790" s="13" t="s">
        <v>1863</v>
      </c>
      <c r="D3790" s="36">
        <v>182.11</v>
      </c>
      <c r="E3790" s="43" t="s">
        <v>3596</v>
      </c>
    </row>
    <row r="3791" spans="1:5" x14ac:dyDescent="0.35">
      <c r="A3791" s="40">
        <v>44285</v>
      </c>
      <c r="B3791" s="38">
        <v>-5</v>
      </c>
      <c r="C3791" s="13" t="s">
        <v>1864</v>
      </c>
      <c r="D3791" s="36">
        <v>177.11</v>
      </c>
      <c r="E3791" s="43" t="s">
        <v>3596</v>
      </c>
    </row>
    <row r="3792" spans="1:5" x14ac:dyDescent="0.35">
      <c r="A3792" s="40">
        <v>44285</v>
      </c>
      <c r="B3792" s="38">
        <v>-8.9</v>
      </c>
      <c r="C3792" s="13" t="s">
        <v>1865</v>
      </c>
      <c r="D3792" s="36">
        <v>168.21</v>
      </c>
      <c r="E3792" s="43" t="s">
        <v>3596</v>
      </c>
    </row>
    <row r="3793" spans="1:5" x14ac:dyDescent="0.35">
      <c r="A3793" s="40">
        <v>44282</v>
      </c>
      <c r="B3793" s="38">
        <v>-100</v>
      </c>
      <c r="C3793" s="13" t="s">
        <v>946</v>
      </c>
      <c r="D3793" s="36">
        <v>1182.1099999999999</v>
      </c>
      <c r="E3793" s="43" t="s">
        <v>3596</v>
      </c>
    </row>
    <row r="3794" spans="1:5" x14ac:dyDescent="0.35">
      <c r="A3794" s="40">
        <v>44282</v>
      </c>
      <c r="B3794" s="38">
        <v>-56.56</v>
      </c>
      <c r="C3794" s="13" t="s">
        <v>1862</v>
      </c>
      <c r="D3794" s="36">
        <v>1282.1099999999999</v>
      </c>
      <c r="E3794" s="43" t="s">
        <v>3596</v>
      </c>
    </row>
    <row r="3795" spans="1:5" x14ac:dyDescent="0.35">
      <c r="A3795" s="40">
        <v>44281</v>
      </c>
      <c r="B3795" s="38">
        <v>-2.2799999999999998</v>
      </c>
      <c r="C3795" s="13" t="s">
        <v>1861</v>
      </c>
      <c r="D3795" s="36">
        <v>1338.67</v>
      </c>
      <c r="E3795" s="43" t="s">
        <v>3596</v>
      </c>
    </row>
    <row r="3796" spans="1:5" x14ac:dyDescent="0.35">
      <c r="A3796" s="40">
        <v>44280</v>
      </c>
      <c r="B3796" s="38">
        <v>-8.8000000000000007</v>
      </c>
      <c r="C3796" s="13" t="s">
        <v>1860</v>
      </c>
      <c r="D3796" s="36">
        <v>1340.95</v>
      </c>
      <c r="E3796" s="43" t="s">
        <v>3596</v>
      </c>
    </row>
    <row r="3797" spans="1:5" x14ac:dyDescent="0.35">
      <c r="A3797" s="40">
        <v>44279</v>
      </c>
      <c r="B3797" s="38">
        <v>-23.89</v>
      </c>
      <c r="C3797" s="13" t="s">
        <v>1859</v>
      </c>
      <c r="D3797" s="36">
        <v>1240.75</v>
      </c>
      <c r="E3797" s="43" t="s">
        <v>3596</v>
      </c>
    </row>
    <row r="3798" spans="1:5" x14ac:dyDescent="0.35">
      <c r="A3798" s="40">
        <v>44279</v>
      </c>
      <c r="B3798" s="38">
        <v>-16</v>
      </c>
      <c r="C3798" s="13" t="s">
        <v>1474</v>
      </c>
      <c r="D3798" s="36">
        <v>1224.75</v>
      </c>
      <c r="E3798" s="43" t="s">
        <v>3596</v>
      </c>
    </row>
    <row r="3799" spans="1:5" x14ac:dyDescent="0.35">
      <c r="A3799" s="40">
        <v>44279</v>
      </c>
      <c r="B3799" s="38">
        <v>462.12</v>
      </c>
      <c r="C3799" s="13" t="s">
        <v>1858</v>
      </c>
      <c r="D3799" s="36">
        <v>1264.6400000000001</v>
      </c>
      <c r="E3799" s="43" t="s">
        <v>3596</v>
      </c>
    </row>
    <row r="3800" spans="1:5" x14ac:dyDescent="0.35">
      <c r="A3800" s="40">
        <v>44279</v>
      </c>
      <c r="B3800" s="38">
        <v>125</v>
      </c>
      <c r="C3800" s="13" t="s">
        <v>1973</v>
      </c>
      <c r="D3800" s="36">
        <v>1349.75</v>
      </c>
      <c r="E3800" s="43" t="s">
        <v>3596</v>
      </c>
    </row>
    <row r="3801" spans="1:5" x14ac:dyDescent="0.35">
      <c r="A3801" s="40">
        <v>44278</v>
      </c>
      <c r="B3801" s="38">
        <v>-59</v>
      </c>
      <c r="C3801" s="13" t="s">
        <v>1856</v>
      </c>
      <c r="D3801" s="36">
        <v>1264.6400000000001</v>
      </c>
      <c r="E3801" s="43" t="s">
        <v>3596</v>
      </c>
    </row>
    <row r="3802" spans="1:5" x14ac:dyDescent="0.35">
      <c r="A3802" s="40">
        <v>44278</v>
      </c>
      <c r="B3802" s="38">
        <v>-242.35</v>
      </c>
      <c r="C3802" s="13" t="s">
        <v>1855</v>
      </c>
      <c r="D3802" s="36">
        <v>1323.64</v>
      </c>
      <c r="E3802" s="43" t="s">
        <v>3596</v>
      </c>
    </row>
    <row r="3803" spans="1:5" x14ac:dyDescent="0.35">
      <c r="A3803" s="40">
        <v>44278</v>
      </c>
      <c r="B3803" s="38">
        <v>-462.12</v>
      </c>
      <c r="C3803" s="13" t="s">
        <v>1857</v>
      </c>
      <c r="D3803" s="36">
        <v>802.52</v>
      </c>
      <c r="E3803" s="43" t="s">
        <v>3596</v>
      </c>
    </row>
    <row r="3804" spans="1:5" x14ac:dyDescent="0.35">
      <c r="A3804" s="40">
        <v>44275</v>
      </c>
      <c r="B3804" s="38">
        <v>-0.92</v>
      </c>
      <c r="C3804" s="13" t="s">
        <v>1852</v>
      </c>
      <c r="D3804" s="36">
        <v>1691.98</v>
      </c>
      <c r="E3804" s="43" t="s">
        <v>3596</v>
      </c>
    </row>
    <row r="3805" spans="1:5" x14ac:dyDescent="0.35">
      <c r="A3805" s="40">
        <v>44275</v>
      </c>
      <c r="B3805" s="38">
        <v>-10</v>
      </c>
      <c r="C3805" s="13" t="s">
        <v>1853</v>
      </c>
      <c r="D3805" s="36">
        <v>1681.98</v>
      </c>
      <c r="E3805" s="43" t="s">
        <v>3596</v>
      </c>
    </row>
    <row r="3806" spans="1:5" x14ac:dyDescent="0.35">
      <c r="A3806" s="40">
        <v>44275</v>
      </c>
      <c r="B3806" s="38">
        <v>-15.99</v>
      </c>
      <c r="C3806" s="13" t="s">
        <v>1854</v>
      </c>
      <c r="D3806" s="36">
        <v>1665.99</v>
      </c>
      <c r="E3806" s="43" t="s">
        <v>3596</v>
      </c>
    </row>
    <row r="3807" spans="1:5" x14ac:dyDescent="0.35">
      <c r="A3807" s="40">
        <v>44275</v>
      </c>
      <c r="B3807" s="38">
        <v>-100</v>
      </c>
      <c r="C3807" s="13" t="s">
        <v>946</v>
      </c>
      <c r="D3807" s="36">
        <v>1565.99</v>
      </c>
      <c r="E3807" s="43" t="s">
        <v>3596</v>
      </c>
    </row>
    <row r="3808" spans="1:5" x14ac:dyDescent="0.35">
      <c r="A3808" s="40">
        <v>44274</v>
      </c>
      <c r="B3808" s="38">
        <v>-40</v>
      </c>
      <c r="C3808" s="13" t="s">
        <v>1851</v>
      </c>
      <c r="D3808" s="36">
        <v>1710.3</v>
      </c>
      <c r="E3808" s="43" t="s">
        <v>3596</v>
      </c>
    </row>
    <row r="3809" spans="1:5" x14ac:dyDescent="0.35">
      <c r="A3809" s="40">
        <v>44274</v>
      </c>
      <c r="B3809" s="38">
        <v>-17.399999999999999</v>
      </c>
      <c r="C3809" s="13" t="s">
        <v>1481</v>
      </c>
      <c r="D3809" s="36">
        <v>1692.9</v>
      </c>
      <c r="E3809" s="43" t="s">
        <v>3596</v>
      </c>
    </row>
    <row r="3810" spans="1:5" x14ac:dyDescent="0.35">
      <c r="A3810" s="40">
        <v>44273</v>
      </c>
      <c r="B3810" s="38">
        <v>2143.4699999999998</v>
      </c>
      <c r="C3810" s="13" t="s">
        <v>1850</v>
      </c>
      <c r="D3810" s="36">
        <v>2250.3000000000002</v>
      </c>
      <c r="E3810" s="43" t="s">
        <v>3596</v>
      </c>
    </row>
    <row r="3811" spans="1:5" x14ac:dyDescent="0.35">
      <c r="A3811" s="40">
        <v>44273</v>
      </c>
      <c r="B3811" s="38">
        <v>-500</v>
      </c>
      <c r="C3811" s="13" t="s">
        <v>945</v>
      </c>
      <c r="D3811" s="36">
        <v>1750.3</v>
      </c>
      <c r="E3811" s="43" t="s">
        <v>3596</v>
      </c>
    </row>
    <row r="3812" spans="1:5" x14ac:dyDescent="0.35">
      <c r="A3812" s="40">
        <v>44272</v>
      </c>
      <c r="B3812" s="38">
        <v>150</v>
      </c>
      <c r="C3812" s="13" t="s">
        <v>1955</v>
      </c>
      <c r="D3812" s="36">
        <v>106.83</v>
      </c>
      <c r="E3812" s="43" t="s">
        <v>3596</v>
      </c>
    </row>
    <row r="3813" spans="1:5" x14ac:dyDescent="0.35">
      <c r="A3813" s="40">
        <v>44272</v>
      </c>
      <c r="B3813" s="38">
        <v>-24</v>
      </c>
      <c r="C3813" s="13" t="s">
        <v>1847</v>
      </c>
      <c r="D3813" s="36">
        <v>28.59</v>
      </c>
      <c r="E3813" s="43" t="s">
        <v>3596</v>
      </c>
    </row>
    <row r="3814" spans="1:5" x14ac:dyDescent="0.35">
      <c r="A3814" s="40">
        <v>44272</v>
      </c>
      <c r="B3814" s="38">
        <v>-8.6999999999999993</v>
      </c>
      <c r="C3814" s="13" t="s">
        <v>1847</v>
      </c>
      <c r="D3814" s="36">
        <v>52.59</v>
      </c>
      <c r="E3814" s="43" t="s">
        <v>3596</v>
      </c>
    </row>
    <row r="3815" spans="1:5" x14ac:dyDescent="0.35">
      <c r="A3815" s="40">
        <v>44272</v>
      </c>
      <c r="B3815" s="38">
        <v>-8.6999999999999993</v>
      </c>
      <c r="C3815" s="13" t="s">
        <v>1847</v>
      </c>
      <c r="D3815" s="36">
        <v>61.29</v>
      </c>
      <c r="E3815" s="43" t="s">
        <v>3596</v>
      </c>
    </row>
    <row r="3816" spans="1:5" x14ac:dyDescent="0.35">
      <c r="A3816" s="40">
        <v>44272</v>
      </c>
      <c r="B3816" s="38">
        <v>-33.29</v>
      </c>
      <c r="C3816" s="13" t="s">
        <v>1848</v>
      </c>
      <c r="D3816" s="36">
        <v>-4.7</v>
      </c>
      <c r="E3816" s="43" t="s">
        <v>3596</v>
      </c>
    </row>
    <row r="3817" spans="1:5" x14ac:dyDescent="0.35">
      <c r="A3817" s="40">
        <v>44272</v>
      </c>
      <c r="B3817" s="38">
        <v>-38.47</v>
      </c>
      <c r="C3817" s="13" t="s">
        <v>1849</v>
      </c>
      <c r="D3817" s="36">
        <v>-43.17</v>
      </c>
      <c r="E3817" s="43" t="s">
        <v>3596</v>
      </c>
    </row>
    <row r="3818" spans="1:5" x14ac:dyDescent="0.35">
      <c r="A3818" s="40">
        <v>44271</v>
      </c>
      <c r="B3818" s="38">
        <v>-5</v>
      </c>
      <c r="C3818" s="13" t="s">
        <v>1845</v>
      </c>
      <c r="D3818" s="36">
        <v>84.99</v>
      </c>
      <c r="E3818" s="43" t="s">
        <v>3596</v>
      </c>
    </row>
    <row r="3819" spans="1:5" x14ac:dyDescent="0.35">
      <c r="A3819" s="40">
        <v>44271</v>
      </c>
      <c r="B3819" s="38">
        <v>198.5</v>
      </c>
      <c r="C3819" s="13" t="s">
        <v>1844</v>
      </c>
      <c r="D3819" s="36">
        <v>89.99</v>
      </c>
      <c r="E3819" s="43" t="s">
        <v>3596</v>
      </c>
    </row>
    <row r="3820" spans="1:5" x14ac:dyDescent="0.35">
      <c r="A3820" s="40">
        <v>44271</v>
      </c>
      <c r="B3820" s="38">
        <v>-15</v>
      </c>
      <c r="C3820" s="13" t="s">
        <v>1846</v>
      </c>
      <c r="D3820" s="36">
        <v>69.989999999999995</v>
      </c>
      <c r="E3820" s="43" t="s">
        <v>3596</v>
      </c>
    </row>
    <row r="3821" spans="1:5" x14ac:dyDescent="0.35">
      <c r="A3821" s="40">
        <v>44271</v>
      </c>
      <c r="B3821" s="38">
        <v>-59.99</v>
      </c>
      <c r="C3821" s="13" t="s">
        <v>1841</v>
      </c>
      <c r="D3821" s="36">
        <v>-97.11</v>
      </c>
      <c r="E3821" s="43" t="s">
        <v>3596</v>
      </c>
    </row>
    <row r="3822" spans="1:5" x14ac:dyDescent="0.35">
      <c r="A3822" s="40">
        <v>44271</v>
      </c>
      <c r="B3822" s="38">
        <v>-3.2</v>
      </c>
      <c r="C3822" s="13" t="s">
        <v>1843</v>
      </c>
      <c r="D3822" s="36">
        <v>-108.51</v>
      </c>
      <c r="E3822" s="43" t="s">
        <v>3596</v>
      </c>
    </row>
    <row r="3823" spans="1:5" x14ac:dyDescent="0.35">
      <c r="A3823" s="40">
        <v>44271</v>
      </c>
      <c r="B3823" s="38">
        <v>-8.1999999999999993</v>
      </c>
      <c r="C3823" s="13" t="s">
        <v>1842</v>
      </c>
      <c r="D3823" s="36">
        <v>-105.31</v>
      </c>
      <c r="E3823" s="43" t="s">
        <v>3596</v>
      </c>
    </row>
    <row r="3824" spans="1:5" x14ac:dyDescent="0.35">
      <c r="A3824" s="40">
        <v>44270</v>
      </c>
      <c r="B3824" s="38">
        <v>-198.5</v>
      </c>
      <c r="C3824" s="13" t="s">
        <v>1840</v>
      </c>
      <c r="D3824" s="36">
        <v>-37.119999999999997</v>
      </c>
      <c r="E3824" s="43" t="s">
        <v>3596</v>
      </c>
    </row>
    <row r="3825" spans="1:5" x14ac:dyDescent="0.35">
      <c r="A3825" s="40">
        <v>44268</v>
      </c>
      <c r="B3825" s="38">
        <v>-10</v>
      </c>
      <c r="C3825" s="13" t="s">
        <v>1839</v>
      </c>
      <c r="D3825" s="36">
        <v>101.38</v>
      </c>
      <c r="E3825" s="43" t="s">
        <v>3596</v>
      </c>
    </row>
    <row r="3826" spans="1:5" x14ac:dyDescent="0.35">
      <c r="A3826" s="40">
        <v>44268</v>
      </c>
      <c r="B3826" s="38">
        <v>60</v>
      </c>
      <c r="C3826" s="13" t="s">
        <v>1689</v>
      </c>
      <c r="D3826" s="36">
        <v>161.38</v>
      </c>
      <c r="E3826" s="43" t="s">
        <v>3596</v>
      </c>
    </row>
    <row r="3827" spans="1:5" x14ac:dyDescent="0.35">
      <c r="A3827" s="40">
        <v>44268</v>
      </c>
      <c r="B3827" s="38">
        <v>-100</v>
      </c>
      <c r="C3827" s="13" t="s">
        <v>946</v>
      </c>
      <c r="D3827" s="36">
        <v>111.38</v>
      </c>
      <c r="E3827" s="43" t="s">
        <v>3596</v>
      </c>
    </row>
    <row r="3828" spans="1:5" x14ac:dyDescent="0.35">
      <c r="A3828" s="40">
        <v>44267</v>
      </c>
      <c r="B3828" s="38">
        <v>-10</v>
      </c>
      <c r="C3828" s="13" t="s">
        <v>1838</v>
      </c>
      <c r="D3828" s="36">
        <v>211.38</v>
      </c>
      <c r="E3828" s="43" t="s">
        <v>3596</v>
      </c>
    </row>
    <row r="3829" spans="1:5" x14ac:dyDescent="0.35">
      <c r="A3829" s="40">
        <v>44266</v>
      </c>
      <c r="B3829" s="38">
        <v>200</v>
      </c>
      <c r="C3829" s="13" t="s">
        <v>1689</v>
      </c>
      <c r="D3829" s="36">
        <v>221.38</v>
      </c>
      <c r="E3829" s="43" t="s">
        <v>3596</v>
      </c>
    </row>
    <row r="3830" spans="1:5" x14ac:dyDescent="0.35">
      <c r="A3830" s="40">
        <v>44266</v>
      </c>
      <c r="B3830" s="38">
        <v>-30.02</v>
      </c>
      <c r="C3830" s="13" t="s">
        <v>1836</v>
      </c>
      <c r="D3830" s="36">
        <v>24.38</v>
      </c>
      <c r="E3830" s="43" t="s">
        <v>3596</v>
      </c>
    </row>
    <row r="3831" spans="1:5" x14ac:dyDescent="0.35">
      <c r="A3831" s="40">
        <v>44266</v>
      </c>
      <c r="B3831" s="38">
        <v>-3</v>
      </c>
      <c r="C3831" s="13" t="s">
        <v>1837</v>
      </c>
      <c r="D3831" s="36">
        <v>21.38</v>
      </c>
      <c r="E3831" s="43" t="s">
        <v>3596</v>
      </c>
    </row>
    <row r="3832" spans="1:5" x14ac:dyDescent="0.35">
      <c r="A3832" s="40">
        <v>44265</v>
      </c>
      <c r="B3832" s="38">
        <v>-16</v>
      </c>
      <c r="C3832" s="13" t="s">
        <v>1474</v>
      </c>
      <c r="D3832" s="36">
        <v>54.4</v>
      </c>
      <c r="E3832" s="43" t="s">
        <v>3596</v>
      </c>
    </row>
    <row r="3833" spans="1:5" x14ac:dyDescent="0.35">
      <c r="A3833" s="40">
        <v>44265</v>
      </c>
      <c r="B3833" s="38">
        <v>2000</v>
      </c>
      <c r="C3833" s="13" t="s">
        <v>1689</v>
      </c>
      <c r="D3833" s="36">
        <v>6970.4</v>
      </c>
      <c r="E3833" s="43" t="s">
        <v>3596</v>
      </c>
    </row>
    <row r="3834" spans="1:5" x14ac:dyDescent="0.35">
      <c r="A3834" s="40">
        <v>44265</v>
      </c>
      <c r="B3834" s="38">
        <v>-6900</v>
      </c>
      <c r="C3834" s="13" t="s">
        <v>1956</v>
      </c>
      <c r="D3834" s="36">
        <v>70.400000000000006</v>
      </c>
      <c r="E3834" s="43" t="s">
        <v>3596</v>
      </c>
    </row>
    <row r="3835" spans="1:5" x14ac:dyDescent="0.35">
      <c r="A3835" s="40">
        <v>44264</v>
      </c>
      <c r="B3835" s="38">
        <v>-1.1599999999999999</v>
      </c>
      <c r="C3835" s="13" t="s">
        <v>1834</v>
      </c>
      <c r="D3835" s="36">
        <v>4980.3999999999996</v>
      </c>
      <c r="E3835" s="43" t="s">
        <v>3596</v>
      </c>
    </row>
    <row r="3836" spans="1:5" x14ac:dyDescent="0.35">
      <c r="A3836" s="40">
        <v>44264</v>
      </c>
      <c r="B3836" s="38">
        <v>-11.03</v>
      </c>
      <c r="C3836" s="13" t="s">
        <v>1833</v>
      </c>
      <c r="D3836" s="36">
        <v>4981.5600000000004</v>
      </c>
      <c r="E3836" s="43" t="s">
        <v>3596</v>
      </c>
    </row>
    <row r="3837" spans="1:5" x14ac:dyDescent="0.35">
      <c r="A3837" s="40">
        <v>44264</v>
      </c>
      <c r="B3837" s="38">
        <v>-40</v>
      </c>
      <c r="C3837" s="13" t="s">
        <v>1832</v>
      </c>
      <c r="D3837" s="36">
        <v>4992.59</v>
      </c>
      <c r="E3837" s="43" t="s">
        <v>3596</v>
      </c>
    </row>
    <row r="3838" spans="1:5" x14ac:dyDescent="0.35">
      <c r="A3838" s="40">
        <v>44264</v>
      </c>
      <c r="B3838" s="38">
        <v>-10</v>
      </c>
      <c r="C3838" s="13" t="s">
        <v>1835</v>
      </c>
      <c r="D3838" s="36">
        <v>4970.3999999999996</v>
      </c>
      <c r="E3838" s="43" t="s">
        <v>3596</v>
      </c>
    </row>
    <row r="3839" spans="1:5" x14ac:dyDescent="0.35">
      <c r="A3839" s="40">
        <v>44263</v>
      </c>
      <c r="B3839" s="38">
        <v>-69.77</v>
      </c>
      <c r="C3839" s="13" t="s">
        <v>1490</v>
      </c>
      <c r="D3839" s="36">
        <v>5032.59</v>
      </c>
      <c r="E3839" s="43" t="s">
        <v>3596</v>
      </c>
    </row>
    <row r="3840" spans="1:5" x14ac:dyDescent="0.35">
      <c r="A3840" s="40">
        <v>44261</v>
      </c>
      <c r="B3840" s="38">
        <v>-16</v>
      </c>
      <c r="C3840" s="13" t="s">
        <v>1730</v>
      </c>
      <c r="D3840" s="36">
        <v>5102.3599999999997</v>
      </c>
      <c r="E3840" s="43" t="s">
        <v>3596</v>
      </c>
    </row>
    <row r="3841" spans="1:5" x14ac:dyDescent="0.35">
      <c r="A3841" s="40">
        <v>44261</v>
      </c>
      <c r="B3841" s="38">
        <v>-100</v>
      </c>
      <c r="C3841" s="13" t="s">
        <v>946</v>
      </c>
      <c r="D3841" s="36">
        <v>5118.3599999999997</v>
      </c>
      <c r="E3841" s="43" t="s">
        <v>3596</v>
      </c>
    </row>
    <row r="3842" spans="1:5" x14ac:dyDescent="0.35">
      <c r="A3842" s="40">
        <v>44260</v>
      </c>
      <c r="B3842" s="38">
        <v>-22.04</v>
      </c>
      <c r="C3842" s="13" t="s">
        <v>1471</v>
      </c>
      <c r="D3842" s="36">
        <v>5218.3599999999997</v>
      </c>
      <c r="E3842" s="43" t="s">
        <v>3596</v>
      </c>
    </row>
    <row r="3843" spans="1:5" x14ac:dyDescent="0.35">
      <c r="A3843" s="40">
        <v>44259</v>
      </c>
      <c r="B3843" s="38">
        <v>2143.4699999999998</v>
      </c>
      <c r="C3843" s="13" t="s">
        <v>1473</v>
      </c>
      <c r="D3843" s="36">
        <v>5685.3</v>
      </c>
      <c r="E3843" s="43" t="s">
        <v>3596</v>
      </c>
    </row>
    <row r="3844" spans="1:5" x14ac:dyDescent="0.35">
      <c r="A3844" s="40">
        <v>44259</v>
      </c>
      <c r="B3844" s="38">
        <v>-500</v>
      </c>
      <c r="C3844" s="13" t="s">
        <v>945</v>
      </c>
      <c r="D3844" s="36">
        <v>5185.3</v>
      </c>
      <c r="E3844" s="43" t="s">
        <v>3596</v>
      </c>
    </row>
    <row r="3845" spans="1:5" x14ac:dyDescent="0.35">
      <c r="A3845" s="40">
        <v>44259</v>
      </c>
      <c r="B3845" s="38">
        <v>-10.9</v>
      </c>
      <c r="C3845" s="13" t="s">
        <v>1472</v>
      </c>
      <c r="D3845" s="36">
        <v>5174.3999999999996</v>
      </c>
      <c r="E3845" s="43" t="s">
        <v>3596</v>
      </c>
    </row>
    <row r="3846" spans="1:5" x14ac:dyDescent="0.35">
      <c r="A3846" s="40">
        <v>44259</v>
      </c>
      <c r="B3846" s="38">
        <v>66</v>
      </c>
      <c r="C3846" s="13" t="s">
        <v>1238</v>
      </c>
      <c r="D3846" s="36">
        <v>5240.3999999999996</v>
      </c>
      <c r="E3846" s="43" t="s">
        <v>3596</v>
      </c>
    </row>
    <row r="3847" spans="1:5" x14ac:dyDescent="0.35">
      <c r="A3847" s="40">
        <v>44258</v>
      </c>
      <c r="B3847" s="38">
        <v>-28.29</v>
      </c>
      <c r="C3847" s="13" t="s">
        <v>1475</v>
      </c>
      <c r="D3847" s="36">
        <v>3557.83</v>
      </c>
      <c r="E3847" s="43" t="s">
        <v>3596</v>
      </c>
    </row>
    <row r="3848" spans="1:5" x14ac:dyDescent="0.35">
      <c r="A3848" s="40">
        <v>44258</v>
      </c>
      <c r="B3848" s="38">
        <v>-16</v>
      </c>
      <c r="C3848" s="13" t="s">
        <v>1474</v>
      </c>
      <c r="D3848" s="36">
        <v>3541.83</v>
      </c>
      <c r="E3848" s="43" t="s">
        <v>3596</v>
      </c>
    </row>
    <row r="3849" spans="1:5" x14ac:dyDescent="0.35">
      <c r="A3849" s="40">
        <v>44257</v>
      </c>
      <c r="B3849" s="38">
        <v>-2.12</v>
      </c>
      <c r="C3849" s="13" t="s">
        <v>1477</v>
      </c>
      <c r="D3849" s="36">
        <v>3599.12</v>
      </c>
      <c r="E3849" s="43" t="s">
        <v>3596</v>
      </c>
    </row>
    <row r="3850" spans="1:5" x14ac:dyDescent="0.35">
      <c r="A3850" s="40">
        <v>44257</v>
      </c>
      <c r="B3850" s="38">
        <v>-13</v>
      </c>
      <c r="C3850" s="13" t="s">
        <v>1964</v>
      </c>
      <c r="D3850" s="36">
        <v>3586.12</v>
      </c>
      <c r="E3850" s="43" t="s">
        <v>3596</v>
      </c>
    </row>
    <row r="3851" spans="1:5" x14ac:dyDescent="0.35">
      <c r="A3851" s="40">
        <v>44256</v>
      </c>
      <c r="B3851" s="38">
        <v>-20</v>
      </c>
      <c r="C3851" s="13" t="s">
        <v>3385</v>
      </c>
      <c r="D3851" s="36">
        <v>3810.05</v>
      </c>
      <c r="E3851" s="43" t="s">
        <v>3596</v>
      </c>
    </row>
    <row r="3852" spans="1:5" x14ac:dyDescent="0.35">
      <c r="A3852" s="40">
        <v>44256</v>
      </c>
      <c r="B3852" s="38">
        <v>-32.21</v>
      </c>
      <c r="C3852" s="13" t="s">
        <v>1471</v>
      </c>
      <c r="D3852" s="36">
        <v>3777.84</v>
      </c>
      <c r="E3852" s="43" t="s">
        <v>3596</v>
      </c>
    </row>
    <row r="3853" spans="1:5" x14ac:dyDescent="0.35">
      <c r="A3853" s="40">
        <v>44256</v>
      </c>
      <c r="B3853" s="38">
        <v>-176.6</v>
      </c>
      <c r="C3853" s="13" t="s">
        <v>1478</v>
      </c>
      <c r="D3853" s="36">
        <v>3601.24</v>
      </c>
      <c r="E3853" s="43" t="s">
        <v>3596</v>
      </c>
    </row>
    <row r="3854" spans="1:5" x14ac:dyDescent="0.35">
      <c r="A3854" s="40">
        <v>44255</v>
      </c>
      <c r="B3854" s="38">
        <v>-24</v>
      </c>
      <c r="C3854" s="13" t="s">
        <v>1964</v>
      </c>
      <c r="D3854" s="36">
        <v>3830.05</v>
      </c>
      <c r="E3854" s="43" t="s">
        <v>3596</v>
      </c>
    </row>
    <row r="3855" spans="1:5" x14ac:dyDescent="0.35">
      <c r="A3855" s="40">
        <v>44254</v>
      </c>
      <c r="B3855" s="38">
        <v>-2.84</v>
      </c>
      <c r="C3855" s="13" t="s">
        <v>1480</v>
      </c>
      <c r="D3855" s="36">
        <v>3864.05</v>
      </c>
      <c r="E3855" s="43" t="s">
        <v>3596</v>
      </c>
    </row>
    <row r="3856" spans="1:5" x14ac:dyDescent="0.35">
      <c r="A3856" s="40">
        <v>44254</v>
      </c>
      <c r="B3856" s="38">
        <v>-10</v>
      </c>
      <c r="C3856" s="13" t="s">
        <v>1479</v>
      </c>
      <c r="D3856" s="36">
        <v>3854.05</v>
      </c>
      <c r="E3856" s="43" t="s">
        <v>3596</v>
      </c>
    </row>
    <row r="3857" spans="1:5" x14ac:dyDescent="0.35">
      <c r="A3857" s="40">
        <v>44254</v>
      </c>
      <c r="B3857" s="38">
        <v>-100</v>
      </c>
      <c r="C3857" s="13" t="s">
        <v>946</v>
      </c>
      <c r="D3857" s="36">
        <v>3866.89</v>
      </c>
      <c r="E3857" s="43" t="s">
        <v>3596</v>
      </c>
    </row>
    <row r="3858" spans="1:5" x14ac:dyDescent="0.35">
      <c r="A3858" s="40">
        <v>44253</v>
      </c>
      <c r="B3858" s="38">
        <v>-40</v>
      </c>
      <c r="C3858" s="13" t="s">
        <v>1482</v>
      </c>
      <c r="D3858" s="36">
        <v>3982.89</v>
      </c>
      <c r="E3858" s="43" t="s">
        <v>3596</v>
      </c>
    </row>
    <row r="3859" spans="1:5" x14ac:dyDescent="0.35">
      <c r="A3859" s="40">
        <v>44253</v>
      </c>
      <c r="B3859" s="38">
        <v>-16</v>
      </c>
      <c r="C3859" s="13" t="s">
        <v>1481</v>
      </c>
      <c r="D3859" s="36">
        <v>3966.89</v>
      </c>
      <c r="E3859" s="43" t="s">
        <v>3596</v>
      </c>
    </row>
    <row r="3860" spans="1:5" x14ac:dyDescent="0.35">
      <c r="A3860" s="40">
        <v>44252</v>
      </c>
      <c r="B3860" s="38">
        <v>3412.26</v>
      </c>
      <c r="C3860" s="13" t="s">
        <v>1483</v>
      </c>
      <c r="D3860" s="36">
        <v>4022.89</v>
      </c>
      <c r="E3860" s="43" t="s">
        <v>3596</v>
      </c>
    </row>
    <row r="3861" spans="1:5" x14ac:dyDescent="0.35">
      <c r="A3861" s="40">
        <v>44251</v>
      </c>
      <c r="B3861" s="38">
        <v>-23.89</v>
      </c>
      <c r="C3861" s="13" t="s">
        <v>1488</v>
      </c>
      <c r="D3861" s="36">
        <v>738.66</v>
      </c>
      <c r="E3861" s="43" t="s">
        <v>3596</v>
      </c>
    </row>
    <row r="3862" spans="1:5" x14ac:dyDescent="0.35">
      <c r="A3862" s="40">
        <v>44251</v>
      </c>
      <c r="B3862" s="38">
        <v>-49.09</v>
      </c>
      <c r="C3862" s="13" t="s">
        <v>1487</v>
      </c>
      <c r="D3862" s="36">
        <v>689.57</v>
      </c>
      <c r="E3862" s="43" t="s">
        <v>3596</v>
      </c>
    </row>
    <row r="3863" spans="1:5" x14ac:dyDescent="0.35">
      <c r="A3863" s="40">
        <v>44251</v>
      </c>
      <c r="B3863" s="38">
        <v>-18.600000000000001</v>
      </c>
      <c r="C3863" s="13" t="s">
        <v>1486</v>
      </c>
      <c r="D3863" s="36">
        <v>651.97</v>
      </c>
      <c r="E3863" s="43" t="s">
        <v>3596</v>
      </c>
    </row>
    <row r="3864" spans="1:5" x14ac:dyDescent="0.35">
      <c r="A3864" s="40">
        <v>44251</v>
      </c>
      <c r="B3864" s="38">
        <v>-19</v>
      </c>
      <c r="C3864" s="13" t="s">
        <v>1486</v>
      </c>
      <c r="D3864" s="36">
        <v>670.57</v>
      </c>
      <c r="E3864" s="43" t="s">
        <v>3596</v>
      </c>
    </row>
    <row r="3865" spans="1:5" x14ac:dyDescent="0.35">
      <c r="A3865" s="40">
        <v>44251</v>
      </c>
      <c r="B3865" s="38">
        <v>-21.34</v>
      </c>
      <c r="C3865" s="13" t="s">
        <v>1484</v>
      </c>
      <c r="D3865" s="36">
        <v>610.63</v>
      </c>
      <c r="E3865" s="43" t="s">
        <v>3596</v>
      </c>
    </row>
    <row r="3866" spans="1:5" x14ac:dyDescent="0.35">
      <c r="A3866" s="40">
        <v>44251</v>
      </c>
      <c r="B3866" s="38">
        <v>-20</v>
      </c>
      <c r="C3866" s="13" t="s">
        <v>1485</v>
      </c>
      <c r="D3866" s="36">
        <v>631.97</v>
      </c>
      <c r="E3866" s="43" t="s">
        <v>3596</v>
      </c>
    </row>
    <row r="3867" spans="1:5" x14ac:dyDescent="0.35">
      <c r="A3867" s="40">
        <v>44250</v>
      </c>
      <c r="B3867" s="38">
        <v>-1.75</v>
      </c>
      <c r="C3867" s="13" t="s">
        <v>1489</v>
      </c>
      <c r="D3867" s="36">
        <v>1462.55</v>
      </c>
      <c r="E3867" s="43" t="s">
        <v>3596</v>
      </c>
    </row>
    <row r="3868" spans="1:5" x14ac:dyDescent="0.35">
      <c r="A3868" s="40">
        <v>44250</v>
      </c>
      <c r="B3868" s="38">
        <v>-700</v>
      </c>
      <c r="C3868" s="13" t="s">
        <v>1689</v>
      </c>
      <c r="D3868" s="36">
        <v>762.55</v>
      </c>
      <c r="E3868" s="43" t="s">
        <v>3596</v>
      </c>
    </row>
    <row r="3869" spans="1:5" x14ac:dyDescent="0.35">
      <c r="A3869" s="40">
        <v>44249</v>
      </c>
      <c r="B3869" s="38">
        <v>-53.51</v>
      </c>
      <c r="C3869" s="13" t="s">
        <v>1490</v>
      </c>
      <c r="D3869" s="36">
        <v>1464.3</v>
      </c>
      <c r="E3869" s="43" t="s">
        <v>3596</v>
      </c>
    </row>
    <row r="3870" spans="1:5" x14ac:dyDescent="0.35">
      <c r="A3870" s="40">
        <v>44247</v>
      </c>
      <c r="B3870" s="38">
        <v>-100</v>
      </c>
      <c r="C3870" s="13" t="s">
        <v>946</v>
      </c>
      <c r="D3870" s="36">
        <v>1493.81</v>
      </c>
      <c r="E3870" s="43" t="s">
        <v>3596</v>
      </c>
    </row>
    <row r="3871" spans="1:5" x14ac:dyDescent="0.35">
      <c r="A3871" s="40">
        <v>44247</v>
      </c>
      <c r="B3871" s="38">
        <v>24</v>
      </c>
      <c r="C3871" s="13" t="s">
        <v>1974</v>
      </c>
      <c r="D3871" s="36">
        <v>1517.81</v>
      </c>
      <c r="E3871" s="43" t="s">
        <v>3596</v>
      </c>
    </row>
    <row r="3872" spans="1:5" x14ac:dyDescent="0.35">
      <c r="A3872" s="40">
        <v>44246</v>
      </c>
      <c r="B3872" s="38">
        <v>-3.08</v>
      </c>
      <c r="C3872" s="13" t="s">
        <v>1492</v>
      </c>
      <c r="D3872" s="36">
        <v>1617.71</v>
      </c>
      <c r="E3872" s="43" t="s">
        <v>3596</v>
      </c>
    </row>
    <row r="3873" spans="1:5" x14ac:dyDescent="0.35">
      <c r="A3873" s="40">
        <v>44246</v>
      </c>
      <c r="B3873" s="38">
        <v>-40</v>
      </c>
      <c r="C3873" s="13" t="s">
        <v>1493</v>
      </c>
      <c r="D3873" s="36">
        <v>1620.79</v>
      </c>
      <c r="E3873" s="43" t="s">
        <v>3596</v>
      </c>
    </row>
    <row r="3874" spans="1:5" x14ac:dyDescent="0.35">
      <c r="A3874" s="40">
        <v>44246</v>
      </c>
      <c r="B3874" s="38">
        <v>-13.9</v>
      </c>
      <c r="C3874" s="13" t="s">
        <v>1472</v>
      </c>
      <c r="D3874" s="36">
        <v>1593.81</v>
      </c>
      <c r="E3874" s="43" t="s">
        <v>3596</v>
      </c>
    </row>
    <row r="3875" spans="1:5" x14ac:dyDescent="0.35">
      <c r="A3875" s="40">
        <v>44246</v>
      </c>
      <c r="B3875" s="38">
        <v>-10</v>
      </c>
      <c r="C3875" s="13" t="s">
        <v>1491</v>
      </c>
      <c r="D3875" s="36">
        <v>1607.71</v>
      </c>
      <c r="E3875" s="43" t="s">
        <v>3596</v>
      </c>
    </row>
    <row r="3876" spans="1:5" x14ac:dyDescent="0.35">
      <c r="A3876" s="40">
        <v>44245</v>
      </c>
      <c r="B3876" s="38">
        <v>-24.99</v>
      </c>
      <c r="C3876" s="13" t="s">
        <v>1495</v>
      </c>
      <c r="D3876" s="36">
        <v>2271.56</v>
      </c>
      <c r="E3876" s="43" t="s">
        <v>3596</v>
      </c>
    </row>
    <row r="3877" spans="1:5" x14ac:dyDescent="0.35">
      <c r="A3877" s="40">
        <v>44245</v>
      </c>
      <c r="B3877" s="38">
        <v>-59.2</v>
      </c>
      <c r="C3877" s="13" t="s">
        <v>1494</v>
      </c>
      <c r="D3877" s="36">
        <v>2212.36</v>
      </c>
      <c r="E3877" s="43" t="s">
        <v>3596</v>
      </c>
    </row>
    <row r="3878" spans="1:5" x14ac:dyDescent="0.35">
      <c r="A3878" s="40">
        <v>44245</v>
      </c>
      <c r="B3878" s="38">
        <v>-16</v>
      </c>
      <c r="C3878" s="13" t="s">
        <v>1474</v>
      </c>
      <c r="D3878" s="36">
        <v>1696.36</v>
      </c>
      <c r="E3878" s="43" t="s">
        <v>3596</v>
      </c>
    </row>
    <row r="3879" spans="1:5" x14ac:dyDescent="0.35">
      <c r="A3879" s="40">
        <v>44245</v>
      </c>
      <c r="B3879" s="38">
        <v>2143.4699999999998</v>
      </c>
      <c r="C3879" s="13" t="s">
        <v>1496</v>
      </c>
      <c r="D3879" s="36">
        <v>2296.5500000000002</v>
      </c>
      <c r="E3879" s="43" t="s">
        <v>3596</v>
      </c>
    </row>
    <row r="3880" spans="1:5" x14ac:dyDescent="0.35">
      <c r="A3880" s="40">
        <v>44245</v>
      </c>
      <c r="B3880" s="38">
        <v>-500</v>
      </c>
      <c r="C3880" s="13" t="s">
        <v>945</v>
      </c>
      <c r="D3880" s="36">
        <v>1712.36</v>
      </c>
      <c r="E3880" s="43" t="s">
        <v>3596</v>
      </c>
    </row>
    <row r="3881" spans="1:5" x14ac:dyDescent="0.35">
      <c r="A3881" s="40">
        <v>44245</v>
      </c>
      <c r="B3881" s="38">
        <v>-35.57</v>
      </c>
      <c r="C3881" s="13" t="s">
        <v>1490</v>
      </c>
      <c r="D3881" s="36">
        <v>1660.79</v>
      </c>
      <c r="E3881" s="43" t="s">
        <v>3596</v>
      </c>
    </row>
    <row r="3882" spans="1:5" x14ac:dyDescent="0.35">
      <c r="A3882" s="40">
        <v>44244</v>
      </c>
      <c r="B3882" s="38">
        <v>-23.89</v>
      </c>
      <c r="C3882" s="13" t="s">
        <v>1497</v>
      </c>
      <c r="D3882" s="36">
        <v>153.08000000000001</v>
      </c>
      <c r="E3882" s="43" t="s">
        <v>3596</v>
      </c>
    </row>
    <row r="3883" spans="1:5" x14ac:dyDescent="0.35">
      <c r="A3883" s="40">
        <v>44243</v>
      </c>
      <c r="B3883" s="38">
        <v>-2.41</v>
      </c>
      <c r="C3883" s="13" t="s">
        <v>1499</v>
      </c>
      <c r="D3883" s="36">
        <v>239.16</v>
      </c>
      <c r="E3883" s="43" t="s">
        <v>3596</v>
      </c>
    </row>
    <row r="3884" spans="1:5" x14ac:dyDescent="0.35">
      <c r="A3884" s="40">
        <v>44243</v>
      </c>
      <c r="B3884" s="38">
        <v>-31.99</v>
      </c>
      <c r="C3884" s="13" t="s">
        <v>1471</v>
      </c>
      <c r="D3884" s="36">
        <v>176.97</v>
      </c>
      <c r="E3884" s="43" t="s">
        <v>3596</v>
      </c>
    </row>
    <row r="3885" spans="1:5" x14ac:dyDescent="0.35">
      <c r="A3885" s="40">
        <v>44243</v>
      </c>
      <c r="B3885" s="38">
        <v>-22</v>
      </c>
      <c r="C3885" s="13" t="s">
        <v>1498</v>
      </c>
      <c r="D3885" s="36">
        <v>208.96</v>
      </c>
      <c r="E3885" s="43" t="s">
        <v>3596</v>
      </c>
    </row>
    <row r="3886" spans="1:5" x14ac:dyDescent="0.35">
      <c r="A3886" s="40">
        <v>44243</v>
      </c>
      <c r="B3886" s="38">
        <v>-8.1999999999999993</v>
      </c>
      <c r="C3886" s="13" t="s">
        <v>1498</v>
      </c>
      <c r="D3886" s="36">
        <v>230.96</v>
      </c>
      <c r="E3886" s="43" t="s">
        <v>3596</v>
      </c>
    </row>
    <row r="3887" spans="1:5" x14ac:dyDescent="0.35">
      <c r="A3887" s="40">
        <v>44240</v>
      </c>
      <c r="B3887" s="38">
        <v>-500</v>
      </c>
      <c r="C3887" s="13" t="s">
        <v>1688</v>
      </c>
      <c r="D3887" s="36">
        <v>241.57</v>
      </c>
      <c r="E3887" s="43" t="s">
        <v>3596</v>
      </c>
    </row>
    <row r="3888" spans="1:5" x14ac:dyDescent="0.35">
      <c r="A3888" s="40">
        <v>44240</v>
      </c>
      <c r="B3888" s="38">
        <v>-3.08</v>
      </c>
      <c r="C3888" s="13" t="s">
        <v>1500</v>
      </c>
      <c r="D3888" s="36">
        <v>3254.92</v>
      </c>
      <c r="E3888" s="43" t="s">
        <v>3596</v>
      </c>
    </row>
    <row r="3889" spans="1:5" x14ac:dyDescent="0.35">
      <c r="A3889" s="40">
        <v>44240</v>
      </c>
      <c r="B3889" s="38">
        <v>-13.35</v>
      </c>
      <c r="C3889" s="13" t="s">
        <v>1471</v>
      </c>
      <c r="D3889" s="36">
        <v>3241.57</v>
      </c>
      <c r="E3889" s="43" t="s">
        <v>3596</v>
      </c>
    </row>
    <row r="3890" spans="1:5" x14ac:dyDescent="0.35">
      <c r="A3890" s="40">
        <v>44240</v>
      </c>
      <c r="B3890" s="38">
        <v>-100</v>
      </c>
      <c r="C3890" s="13" t="s">
        <v>946</v>
      </c>
      <c r="D3890" s="36">
        <v>3258</v>
      </c>
      <c r="E3890" s="43" t="s">
        <v>3596</v>
      </c>
    </row>
    <row r="3891" spans="1:5" x14ac:dyDescent="0.35">
      <c r="A3891" s="40">
        <v>44240</v>
      </c>
      <c r="B3891" s="38">
        <v>-2500</v>
      </c>
      <c r="C3891" s="13" t="s">
        <v>1731</v>
      </c>
      <c r="D3891" s="36">
        <v>741.57</v>
      </c>
      <c r="E3891" s="43" t="s">
        <v>3596</v>
      </c>
    </row>
    <row r="3892" spans="1:5" x14ac:dyDescent="0.35">
      <c r="A3892" s="40">
        <v>44239</v>
      </c>
      <c r="B3892" s="38">
        <v>-2.36</v>
      </c>
      <c r="C3892" s="13" t="s">
        <v>1502</v>
      </c>
      <c r="D3892" s="36">
        <v>3381</v>
      </c>
      <c r="E3892" s="43" t="s">
        <v>3596</v>
      </c>
    </row>
    <row r="3893" spans="1:5" x14ac:dyDescent="0.35">
      <c r="A3893" s="40">
        <v>44239</v>
      </c>
      <c r="B3893" s="38">
        <v>-7</v>
      </c>
      <c r="C3893" s="13" t="s">
        <v>1501</v>
      </c>
      <c r="D3893" s="36">
        <v>3374</v>
      </c>
      <c r="E3893" s="43" t="s">
        <v>3596</v>
      </c>
    </row>
    <row r="3894" spans="1:5" x14ac:dyDescent="0.35">
      <c r="A3894" s="40">
        <v>44239</v>
      </c>
      <c r="B3894" s="38">
        <v>-16</v>
      </c>
      <c r="C3894" s="13" t="s">
        <v>1481</v>
      </c>
      <c r="D3894" s="36">
        <v>3358</v>
      </c>
      <c r="E3894" s="43" t="s">
        <v>3596</v>
      </c>
    </row>
    <row r="3895" spans="1:5" x14ac:dyDescent="0.35">
      <c r="A3895" s="40">
        <v>44238</v>
      </c>
      <c r="B3895" s="38">
        <v>-40</v>
      </c>
      <c r="C3895" s="13" t="s">
        <v>1505</v>
      </c>
      <c r="D3895" s="36">
        <v>3556.14</v>
      </c>
      <c r="E3895" s="43" t="s">
        <v>3596</v>
      </c>
    </row>
    <row r="3896" spans="1:5" x14ac:dyDescent="0.35">
      <c r="A3896" s="40">
        <v>44238</v>
      </c>
      <c r="B3896" s="38">
        <v>-16</v>
      </c>
      <c r="C3896" s="13" t="s">
        <v>1474</v>
      </c>
      <c r="D3896" s="36">
        <v>3521.64</v>
      </c>
      <c r="E3896" s="43" t="s">
        <v>3596</v>
      </c>
    </row>
    <row r="3897" spans="1:5" x14ac:dyDescent="0.35">
      <c r="A3897" s="40">
        <v>44238</v>
      </c>
      <c r="B3897" s="38">
        <v>-138.28</v>
      </c>
      <c r="C3897" s="13" t="s">
        <v>1503</v>
      </c>
      <c r="D3897" s="36">
        <v>3383.36</v>
      </c>
      <c r="E3897" s="43" t="s">
        <v>3596</v>
      </c>
    </row>
    <row r="3898" spans="1:5" x14ac:dyDescent="0.35">
      <c r="A3898" s="40">
        <v>44238</v>
      </c>
      <c r="B3898" s="38">
        <v>-18.5</v>
      </c>
      <c r="C3898" s="13" t="s">
        <v>1504</v>
      </c>
      <c r="D3898" s="36">
        <v>3537.64</v>
      </c>
      <c r="E3898" s="43" t="s">
        <v>3596</v>
      </c>
    </row>
    <row r="3899" spans="1:5" x14ac:dyDescent="0.35">
      <c r="A3899" s="40">
        <v>44237</v>
      </c>
      <c r="B3899" s="38">
        <v>-50.74</v>
      </c>
      <c r="C3899" s="13" t="s">
        <v>1507</v>
      </c>
      <c r="D3899" s="36">
        <v>3627.64</v>
      </c>
      <c r="E3899" s="43" t="s">
        <v>3596</v>
      </c>
    </row>
    <row r="3900" spans="1:5" x14ac:dyDescent="0.35">
      <c r="A3900" s="40">
        <v>44237</v>
      </c>
      <c r="B3900" s="38">
        <v>-31.5</v>
      </c>
      <c r="C3900" s="13" t="s">
        <v>1506</v>
      </c>
      <c r="D3900" s="36">
        <v>3596.14</v>
      </c>
      <c r="E3900" s="43" t="s">
        <v>3596</v>
      </c>
    </row>
    <row r="3901" spans="1:5" x14ac:dyDescent="0.35">
      <c r="A3901" s="40">
        <v>44236</v>
      </c>
      <c r="B3901" s="38">
        <v>-2.61</v>
      </c>
      <c r="C3901" s="13" t="s">
        <v>1508</v>
      </c>
      <c r="D3901" s="36">
        <v>3722.39</v>
      </c>
      <c r="E3901" s="43" t="s">
        <v>3596</v>
      </c>
    </row>
    <row r="3902" spans="1:5" x14ac:dyDescent="0.35">
      <c r="A3902" s="40">
        <v>44236</v>
      </c>
      <c r="B3902" s="38">
        <v>-44.01</v>
      </c>
      <c r="C3902" s="13" t="s">
        <v>1490</v>
      </c>
      <c r="D3902" s="36">
        <v>3678.38</v>
      </c>
      <c r="E3902" s="43" t="s">
        <v>3596</v>
      </c>
    </row>
    <row r="3903" spans="1:5" x14ac:dyDescent="0.35">
      <c r="A3903" s="40">
        <v>44233</v>
      </c>
      <c r="B3903" s="38">
        <v>-1.79</v>
      </c>
      <c r="C3903" s="13" t="s">
        <v>1511</v>
      </c>
      <c r="D3903" s="36">
        <v>3853</v>
      </c>
      <c r="E3903" s="43" t="s">
        <v>3596</v>
      </c>
    </row>
    <row r="3904" spans="1:5" x14ac:dyDescent="0.35">
      <c r="A3904" s="40">
        <v>44233</v>
      </c>
      <c r="B3904" s="38">
        <v>-18.5</v>
      </c>
      <c r="C3904" s="13" t="s">
        <v>1509</v>
      </c>
      <c r="D3904" s="36">
        <v>3725</v>
      </c>
      <c r="E3904" s="43" t="s">
        <v>3596</v>
      </c>
    </row>
    <row r="3905" spans="1:5" x14ac:dyDescent="0.35">
      <c r="A3905" s="40">
        <v>44233</v>
      </c>
      <c r="B3905" s="38">
        <v>-9.5</v>
      </c>
      <c r="C3905" s="13" t="s">
        <v>1510</v>
      </c>
      <c r="D3905" s="36">
        <v>3843.5</v>
      </c>
      <c r="E3905" s="43" t="s">
        <v>3596</v>
      </c>
    </row>
    <row r="3906" spans="1:5" x14ac:dyDescent="0.35">
      <c r="A3906" s="40">
        <v>44233</v>
      </c>
      <c r="B3906" s="38">
        <v>-100</v>
      </c>
      <c r="C3906" s="13" t="s">
        <v>946</v>
      </c>
      <c r="D3906" s="36">
        <v>3743.5</v>
      </c>
      <c r="E3906" s="43" t="s">
        <v>3596</v>
      </c>
    </row>
    <row r="3907" spans="1:5" x14ac:dyDescent="0.35">
      <c r="A3907" s="40">
        <v>44232</v>
      </c>
      <c r="B3907" s="38">
        <v>-11.65</v>
      </c>
      <c r="C3907" s="13" t="s">
        <v>1512</v>
      </c>
      <c r="D3907" s="36">
        <v>3870.79</v>
      </c>
      <c r="E3907" s="43" t="s">
        <v>3596</v>
      </c>
    </row>
    <row r="3908" spans="1:5" x14ac:dyDescent="0.35">
      <c r="A3908" s="40">
        <v>44232</v>
      </c>
      <c r="B3908" s="38">
        <v>-16</v>
      </c>
      <c r="C3908" s="13" t="s">
        <v>1481</v>
      </c>
      <c r="D3908" s="36">
        <v>3854.79</v>
      </c>
      <c r="E3908" s="43" t="s">
        <v>3596</v>
      </c>
    </row>
    <row r="3909" spans="1:5" x14ac:dyDescent="0.35">
      <c r="A3909" s="40">
        <v>44231</v>
      </c>
      <c r="B3909" s="38">
        <v>2223.19</v>
      </c>
      <c r="C3909" s="13" t="s">
        <v>1513</v>
      </c>
      <c r="D3909" s="36">
        <v>4382.4399999999996</v>
      </c>
      <c r="E3909" s="43" t="s">
        <v>3596</v>
      </c>
    </row>
    <row r="3910" spans="1:5" x14ac:dyDescent="0.35">
      <c r="A3910" s="40">
        <v>44231</v>
      </c>
      <c r="B3910" s="38">
        <v>-500</v>
      </c>
      <c r="C3910" s="13" t="s">
        <v>945</v>
      </c>
      <c r="D3910" s="36">
        <v>3882.44</v>
      </c>
      <c r="E3910" s="43" t="s">
        <v>3596</v>
      </c>
    </row>
    <row r="3911" spans="1:5" x14ac:dyDescent="0.35">
      <c r="A3911" s="40">
        <v>44230</v>
      </c>
      <c r="B3911" s="38">
        <v>-60.99</v>
      </c>
      <c r="C3911" s="13" t="s">
        <v>1517</v>
      </c>
      <c r="D3911" s="36">
        <v>2220.13</v>
      </c>
      <c r="E3911" s="43" t="s">
        <v>3596</v>
      </c>
    </row>
    <row r="3912" spans="1:5" x14ac:dyDescent="0.35">
      <c r="A3912" s="40">
        <v>44230</v>
      </c>
      <c r="B3912" s="38">
        <v>-21.89</v>
      </c>
      <c r="C3912" s="13" t="s">
        <v>1515</v>
      </c>
      <c r="D3912" s="36">
        <v>2162.25</v>
      </c>
      <c r="E3912" s="43" t="s">
        <v>3596</v>
      </c>
    </row>
    <row r="3913" spans="1:5" x14ac:dyDescent="0.35">
      <c r="A3913" s="40">
        <v>44230</v>
      </c>
      <c r="B3913" s="38">
        <v>-35.99</v>
      </c>
      <c r="C3913" s="13" t="s">
        <v>1516</v>
      </c>
      <c r="D3913" s="36">
        <v>2184.14</v>
      </c>
      <c r="E3913" s="43" t="s">
        <v>3596</v>
      </c>
    </row>
    <row r="3914" spans="1:5" x14ac:dyDescent="0.35">
      <c r="A3914" s="40">
        <v>44230</v>
      </c>
      <c r="B3914" s="38">
        <v>-3</v>
      </c>
      <c r="C3914" s="13" t="s">
        <v>1514</v>
      </c>
      <c r="D3914" s="36">
        <v>2159.25</v>
      </c>
      <c r="E3914" s="43" t="s">
        <v>3596</v>
      </c>
    </row>
    <row r="3915" spans="1:5" x14ac:dyDescent="0.35">
      <c r="A3915" s="40">
        <v>44229</v>
      </c>
      <c r="B3915" s="38">
        <v>-7.9</v>
      </c>
      <c r="C3915" s="13" t="s">
        <v>1519</v>
      </c>
      <c r="D3915" s="36">
        <v>2301.11</v>
      </c>
      <c r="E3915" s="43" t="s">
        <v>3596</v>
      </c>
    </row>
    <row r="3916" spans="1:5" x14ac:dyDescent="0.35">
      <c r="A3916" s="40">
        <v>44229</v>
      </c>
      <c r="B3916" s="38">
        <v>-19.989999999999998</v>
      </c>
      <c r="C3916" s="13" t="s">
        <v>1518</v>
      </c>
      <c r="D3916" s="36">
        <v>2281.12</v>
      </c>
      <c r="E3916" s="43" t="s">
        <v>3596</v>
      </c>
    </row>
    <row r="3917" spans="1:5" x14ac:dyDescent="0.35">
      <c r="A3917" s="40">
        <v>44228</v>
      </c>
      <c r="B3917" s="38">
        <v>5000</v>
      </c>
      <c r="C3917" s="13" t="s">
        <v>1689</v>
      </c>
      <c r="D3917" s="36">
        <v>6485.61</v>
      </c>
      <c r="E3917" s="43" t="s">
        <v>3596</v>
      </c>
    </row>
    <row r="3918" spans="1:5" x14ac:dyDescent="0.35">
      <c r="A3918" s="40">
        <v>44228</v>
      </c>
      <c r="B3918" s="38">
        <v>-20</v>
      </c>
      <c r="C3918" s="13" t="s">
        <v>3385</v>
      </c>
      <c r="D3918" s="36">
        <v>1530.64</v>
      </c>
      <c r="E3918" s="43" t="s">
        <v>3596</v>
      </c>
    </row>
    <row r="3919" spans="1:5" x14ac:dyDescent="0.35">
      <c r="A3919" s="40">
        <v>44228</v>
      </c>
      <c r="B3919" s="38">
        <v>-176.6</v>
      </c>
      <c r="C3919" s="13" t="s">
        <v>1520</v>
      </c>
      <c r="D3919" s="36">
        <v>2309.0100000000002</v>
      </c>
      <c r="E3919" s="43" t="s">
        <v>3596</v>
      </c>
    </row>
    <row r="3920" spans="1:5" x14ac:dyDescent="0.35">
      <c r="A3920" s="40">
        <v>44228</v>
      </c>
      <c r="B3920" s="38">
        <v>-2000</v>
      </c>
      <c r="C3920" s="13" t="s">
        <v>1732</v>
      </c>
      <c r="D3920" s="36">
        <v>2485.61</v>
      </c>
      <c r="E3920" s="43" t="s">
        <v>3596</v>
      </c>
    </row>
    <row r="3921" spans="1:5" x14ac:dyDescent="0.35">
      <c r="A3921" s="40">
        <v>44228</v>
      </c>
      <c r="B3921" s="38">
        <v>-2000</v>
      </c>
      <c r="C3921" s="13" t="s">
        <v>1733</v>
      </c>
      <c r="D3921" s="36">
        <v>4485.6099999999997</v>
      </c>
      <c r="E3921" s="43" t="s">
        <v>3596</v>
      </c>
    </row>
    <row r="3922" spans="1:5" x14ac:dyDescent="0.35">
      <c r="A3922" s="40">
        <v>44228</v>
      </c>
      <c r="B3922" s="38">
        <v>-45.03</v>
      </c>
      <c r="C3922" s="13" t="s">
        <v>1490</v>
      </c>
      <c r="D3922" s="36">
        <v>1485.61</v>
      </c>
      <c r="E3922" s="43" t="s">
        <v>3596</v>
      </c>
    </row>
    <row r="3923" spans="1:5" x14ac:dyDescent="0.35">
      <c r="A3923" s="40">
        <v>44227</v>
      </c>
      <c r="B3923" s="38">
        <v>36</v>
      </c>
      <c r="C3923" s="13" t="s">
        <v>1958</v>
      </c>
      <c r="D3923" s="36">
        <v>1550.64</v>
      </c>
      <c r="E3923" s="43" t="s">
        <v>3596</v>
      </c>
    </row>
    <row r="3924" spans="1:5" x14ac:dyDescent="0.35">
      <c r="A3924" s="40">
        <v>44226</v>
      </c>
      <c r="B3924" s="38">
        <v>-1.9</v>
      </c>
      <c r="C3924" s="13" t="s">
        <v>1522</v>
      </c>
      <c r="D3924" s="36">
        <v>1514.64</v>
      </c>
      <c r="E3924" s="43" t="s">
        <v>3596</v>
      </c>
    </row>
    <row r="3925" spans="1:5" x14ac:dyDescent="0.35">
      <c r="A3925" s="40">
        <v>44226</v>
      </c>
      <c r="B3925" s="38">
        <v>-100</v>
      </c>
      <c r="C3925" s="13" t="s">
        <v>946</v>
      </c>
      <c r="D3925" s="36">
        <v>1516.54</v>
      </c>
      <c r="E3925" s="43" t="s">
        <v>3596</v>
      </c>
    </row>
    <row r="3926" spans="1:5" x14ac:dyDescent="0.35">
      <c r="A3926" s="40">
        <v>44225</v>
      </c>
      <c r="B3926" s="38">
        <v>-8.0500000000000007</v>
      </c>
      <c r="C3926" s="13" t="s">
        <v>1524</v>
      </c>
      <c r="D3926" s="36">
        <v>1627.54</v>
      </c>
      <c r="E3926" s="43" t="s">
        <v>3596</v>
      </c>
    </row>
    <row r="3927" spans="1:5" x14ac:dyDescent="0.35">
      <c r="A3927" s="40">
        <v>44225</v>
      </c>
      <c r="B3927" s="38">
        <v>-2.81</v>
      </c>
      <c r="C3927" s="13" t="s">
        <v>1524</v>
      </c>
      <c r="D3927" s="36">
        <v>1635.59</v>
      </c>
      <c r="E3927" s="43" t="s">
        <v>3596</v>
      </c>
    </row>
    <row r="3928" spans="1:5" x14ac:dyDescent="0.35">
      <c r="A3928" s="40">
        <v>44225</v>
      </c>
      <c r="B3928" s="38">
        <v>-40</v>
      </c>
      <c r="C3928" s="13" t="s">
        <v>1525</v>
      </c>
      <c r="D3928" s="36">
        <v>1638.4</v>
      </c>
      <c r="E3928" s="43" t="s">
        <v>3596</v>
      </c>
    </row>
    <row r="3929" spans="1:5" x14ac:dyDescent="0.35">
      <c r="A3929" s="40">
        <v>44225</v>
      </c>
      <c r="B3929" s="38">
        <v>-11</v>
      </c>
      <c r="C3929" s="13" t="s">
        <v>1523</v>
      </c>
      <c r="D3929" s="36">
        <v>1616.54</v>
      </c>
      <c r="E3929" s="43" t="s">
        <v>3596</v>
      </c>
    </row>
    <row r="3930" spans="1:5" x14ac:dyDescent="0.35">
      <c r="A3930" s="40">
        <v>44224</v>
      </c>
      <c r="B3930" s="38">
        <v>-16</v>
      </c>
      <c r="C3930" s="13" t="s">
        <v>1474</v>
      </c>
      <c r="D3930" s="36">
        <v>1724.54</v>
      </c>
      <c r="E3930" s="43" t="s">
        <v>3596</v>
      </c>
    </row>
    <row r="3931" spans="1:5" x14ac:dyDescent="0.35">
      <c r="A3931" s="40">
        <v>44224</v>
      </c>
      <c r="B3931" s="38">
        <v>-655</v>
      </c>
      <c r="C3931" s="13" t="s">
        <v>1529</v>
      </c>
      <c r="D3931" s="36">
        <v>1778.08</v>
      </c>
      <c r="E3931" s="43" t="s">
        <v>3596</v>
      </c>
    </row>
    <row r="3932" spans="1:5" x14ac:dyDescent="0.35">
      <c r="A3932" s="40">
        <v>44224</v>
      </c>
      <c r="B3932" s="38">
        <v>-5.05</v>
      </c>
      <c r="C3932" s="13" t="s">
        <v>1528</v>
      </c>
      <c r="D3932" s="36">
        <v>1773.03</v>
      </c>
      <c r="E3932" s="43" t="s">
        <v>3596</v>
      </c>
    </row>
    <row r="3933" spans="1:5" x14ac:dyDescent="0.35">
      <c r="A3933" s="40">
        <v>44224</v>
      </c>
      <c r="B3933" s="38">
        <v>-8.49</v>
      </c>
      <c r="C3933" s="13" t="s">
        <v>1527</v>
      </c>
      <c r="D3933" s="36">
        <v>1764.54</v>
      </c>
      <c r="E3933" s="43" t="s">
        <v>3596</v>
      </c>
    </row>
    <row r="3934" spans="1:5" x14ac:dyDescent="0.35">
      <c r="A3934" s="40">
        <v>44224</v>
      </c>
      <c r="B3934" s="38">
        <v>-24</v>
      </c>
      <c r="C3934" s="13" t="s">
        <v>1526</v>
      </c>
      <c r="D3934" s="36">
        <v>1740.54</v>
      </c>
      <c r="E3934" s="43" t="s">
        <v>3596</v>
      </c>
    </row>
    <row r="3935" spans="1:5" x14ac:dyDescent="0.35">
      <c r="A3935" s="40">
        <v>44224</v>
      </c>
      <c r="B3935" s="38">
        <v>-46.14</v>
      </c>
      <c r="C3935" s="13" t="s">
        <v>1490</v>
      </c>
      <c r="D3935" s="36">
        <v>1678.4</v>
      </c>
      <c r="E3935" s="43" t="s">
        <v>3596</v>
      </c>
    </row>
    <row r="3936" spans="1:5" x14ac:dyDescent="0.35">
      <c r="A3936" s="40">
        <v>44222</v>
      </c>
      <c r="B3936" s="38">
        <v>-11.73</v>
      </c>
      <c r="C3936" s="13" t="s">
        <v>1531</v>
      </c>
      <c r="D3936" s="36">
        <v>2483.1799999999998</v>
      </c>
      <c r="E3936" s="43" t="s">
        <v>3596</v>
      </c>
    </row>
    <row r="3937" spans="1:5" x14ac:dyDescent="0.35">
      <c r="A3937" s="40">
        <v>44222</v>
      </c>
      <c r="B3937" s="38">
        <v>-74.59</v>
      </c>
      <c r="C3937" s="13" t="s">
        <v>1532</v>
      </c>
      <c r="D3937" s="36">
        <v>2494.91</v>
      </c>
      <c r="E3937" s="43" t="s">
        <v>3596</v>
      </c>
    </row>
    <row r="3938" spans="1:5" x14ac:dyDescent="0.35">
      <c r="A3938" s="40">
        <v>44222</v>
      </c>
      <c r="B3938" s="38">
        <v>-20</v>
      </c>
      <c r="C3938" s="13" t="s">
        <v>1533</v>
      </c>
      <c r="D3938" s="36">
        <v>2569.5</v>
      </c>
      <c r="E3938" s="43" t="s">
        <v>3596</v>
      </c>
    </row>
    <row r="3939" spans="1:5" x14ac:dyDescent="0.35">
      <c r="A3939" s="40">
        <v>44222</v>
      </c>
      <c r="B3939" s="38">
        <v>-188.83</v>
      </c>
      <c r="C3939" s="13" t="s">
        <v>1534</v>
      </c>
      <c r="D3939" s="36">
        <v>2589.5</v>
      </c>
      <c r="E3939" s="43" t="s">
        <v>3596</v>
      </c>
    </row>
    <row r="3940" spans="1:5" x14ac:dyDescent="0.35">
      <c r="A3940" s="40">
        <v>44222</v>
      </c>
      <c r="B3940" s="39">
        <v>-9.1</v>
      </c>
      <c r="C3940" s="14" t="s">
        <v>1530</v>
      </c>
      <c r="D3940" s="37">
        <v>2474.08</v>
      </c>
      <c r="E3940" s="43" t="s">
        <v>3596</v>
      </c>
    </row>
    <row r="3941" spans="1:5" x14ac:dyDescent="0.35">
      <c r="A3941" s="40">
        <v>44222</v>
      </c>
      <c r="B3941" s="38">
        <v>-41</v>
      </c>
      <c r="C3941" s="13" t="s">
        <v>1672</v>
      </c>
      <c r="D3941" s="36">
        <v>2433.08</v>
      </c>
      <c r="E3941" s="44" t="s">
        <v>3596</v>
      </c>
    </row>
    <row r="3942" spans="1:5" x14ac:dyDescent="0.35">
      <c r="A3942" s="40">
        <v>44220</v>
      </c>
      <c r="B3942" s="38">
        <v>-15.23</v>
      </c>
      <c r="C3942" s="13" t="s">
        <v>1535</v>
      </c>
      <c r="D3942" s="36">
        <v>2880.23</v>
      </c>
      <c r="E3942" s="44" t="s">
        <v>3596</v>
      </c>
    </row>
    <row r="3943" spans="1:5" x14ac:dyDescent="0.35">
      <c r="A3943" s="40">
        <v>44220</v>
      </c>
      <c r="B3943" s="38">
        <v>-26</v>
      </c>
      <c r="C3943" s="13" t="s">
        <v>1530</v>
      </c>
      <c r="D3943" s="36">
        <v>2778.33</v>
      </c>
      <c r="E3943" s="44" t="s">
        <v>3596</v>
      </c>
    </row>
    <row r="3944" spans="1:5" x14ac:dyDescent="0.35">
      <c r="A3944" s="40">
        <v>44220</v>
      </c>
      <c r="B3944" s="38">
        <v>-59</v>
      </c>
      <c r="C3944" s="13" t="s">
        <v>1530</v>
      </c>
      <c r="D3944" s="36">
        <v>2804.33</v>
      </c>
      <c r="E3944" s="44" t="s">
        <v>3596</v>
      </c>
    </row>
    <row r="3945" spans="1:5" x14ac:dyDescent="0.35">
      <c r="A3945" s="40">
        <v>44220</v>
      </c>
      <c r="B3945" s="38">
        <v>-16.899999999999999</v>
      </c>
      <c r="C3945" s="13" t="s">
        <v>1530</v>
      </c>
      <c r="D3945" s="36">
        <v>2863.33</v>
      </c>
      <c r="E3945" s="44" t="s">
        <v>3596</v>
      </c>
    </row>
    <row r="3946" spans="1:5" x14ac:dyDescent="0.35">
      <c r="A3946" s="40">
        <v>44220</v>
      </c>
      <c r="B3946" s="38">
        <v>-9</v>
      </c>
      <c r="C3946" s="13" t="s">
        <v>1536</v>
      </c>
      <c r="D3946" s="36">
        <v>2895.46</v>
      </c>
      <c r="E3946" s="44" t="s">
        <v>3596</v>
      </c>
    </row>
    <row r="3947" spans="1:5" x14ac:dyDescent="0.35">
      <c r="A3947" s="40">
        <v>44219</v>
      </c>
      <c r="B3947" s="38">
        <v>-100</v>
      </c>
      <c r="C3947" s="13" t="s">
        <v>946</v>
      </c>
      <c r="D3947" s="36">
        <v>2918.46</v>
      </c>
      <c r="E3947" s="44" t="s">
        <v>3596</v>
      </c>
    </row>
    <row r="3948" spans="1:5" x14ac:dyDescent="0.35">
      <c r="A3948" s="40">
        <v>44219</v>
      </c>
      <c r="B3948" s="38">
        <v>-14</v>
      </c>
      <c r="C3948" s="13" t="s">
        <v>1537</v>
      </c>
      <c r="D3948" s="36">
        <v>2904.46</v>
      </c>
      <c r="E3948" s="44" t="s">
        <v>3596</v>
      </c>
    </row>
    <row r="3949" spans="1:5" x14ac:dyDescent="0.35">
      <c r="A3949" s="40">
        <v>44218</v>
      </c>
      <c r="B3949" s="38">
        <v>-11.85</v>
      </c>
      <c r="C3949" s="13" t="s">
        <v>1539</v>
      </c>
      <c r="D3949" s="36">
        <v>3027.96</v>
      </c>
      <c r="E3949" s="44" t="s">
        <v>3596</v>
      </c>
    </row>
    <row r="3950" spans="1:5" x14ac:dyDescent="0.35">
      <c r="A3950" s="40">
        <v>44218</v>
      </c>
      <c r="B3950" s="38">
        <v>-9.5</v>
      </c>
      <c r="C3950" s="13" t="s">
        <v>1538</v>
      </c>
      <c r="D3950" s="36">
        <v>3018.46</v>
      </c>
      <c r="E3950" s="44" t="s">
        <v>3596</v>
      </c>
    </row>
    <row r="3951" spans="1:5" x14ac:dyDescent="0.35">
      <c r="A3951" s="40">
        <v>44217</v>
      </c>
      <c r="B3951" s="38">
        <v>-40</v>
      </c>
      <c r="C3951" s="13" t="s">
        <v>1544</v>
      </c>
      <c r="D3951" s="36">
        <v>3182.4</v>
      </c>
      <c r="E3951" s="44" t="s">
        <v>3596</v>
      </c>
    </row>
    <row r="3952" spans="1:5" x14ac:dyDescent="0.35">
      <c r="A3952" s="40">
        <v>44217</v>
      </c>
      <c r="B3952" s="38">
        <v>-5</v>
      </c>
      <c r="C3952" s="13" t="s">
        <v>1540</v>
      </c>
      <c r="D3952" s="36">
        <v>2964.81</v>
      </c>
      <c r="E3952" s="44" t="s">
        <v>3596</v>
      </c>
    </row>
    <row r="3953" spans="1:5" x14ac:dyDescent="0.35">
      <c r="A3953" s="40">
        <v>44217</v>
      </c>
      <c r="B3953" s="38">
        <v>-59</v>
      </c>
      <c r="C3953" s="13" t="s">
        <v>1543</v>
      </c>
      <c r="D3953" s="36">
        <v>3123.4</v>
      </c>
      <c r="E3953" s="44" t="s">
        <v>3596</v>
      </c>
    </row>
    <row r="3954" spans="1:5" x14ac:dyDescent="0.35">
      <c r="A3954" s="40">
        <v>44217</v>
      </c>
      <c r="B3954" s="38">
        <v>-118.73</v>
      </c>
      <c r="C3954" s="13" t="s">
        <v>1542</v>
      </c>
      <c r="D3954" s="36">
        <v>3004.67</v>
      </c>
      <c r="E3954" s="44" t="s">
        <v>3596</v>
      </c>
    </row>
    <row r="3955" spans="1:5" x14ac:dyDescent="0.35">
      <c r="A3955" s="40">
        <v>44217</v>
      </c>
      <c r="B3955" s="38">
        <v>2248.8000000000002</v>
      </c>
      <c r="C3955" s="13" t="s">
        <v>1545</v>
      </c>
      <c r="D3955" s="36">
        <v>3722.4</v>
      </c>
      <c r="E3955" s="44" t="s">
        <v>3596</v>
      </c>
    </row>
    <row r="3956" spans="1:5" x14ac:dyDescent="0.35">
      <c r="A3956" s="40">
        <v>44217</v>
      </c>
      <c r="B3956" s="38">
        <v>-500</v>
      </c>
      <c r="C3956" s="13" t="s">
        <v>945</v>
      </c>
      <c r="D3956" s="36">
        <v>3222.4</v>
      </c>
      <c r="E3956" s="44" t="s">
        <v>3596</v>
      </c>
    </row>
    <row r="3957" spans="1:5" x14ac:dyDescent="0.35">
      <c r="A3957" s="40">
        <v>44217</v>
      </c>
      <c r="B3957" s="38">
        <v>75</v>
      </c>
      <c r="C3957" s="13" t="s">
        <v>1673</v>
      </c>
      <c r="D3957" s="36">
        <v>3039.81</v>
      </c>
      <c r="E3957" s="44" t="s">
        <v>3596</v>
      </c>
    </row>
    <row r="3958" spans="1:5" x14ac:dyDescent="0.35">
      <c r="A3958" s="40">
        <v>44217</v>
      </c>
      <c r="B3958" s="38">
        <v>-34.86</v>
      </c>
      <c r="C3958" s="13" t="s">
        <v>1541</v>
      </c>
      <c r="D3958" s="36">
        <v>2969.81</v>
      </c>
      <c r="E3958" s="44" t="s">
        <v>3596</v>
      </c>
    </row>
    <row r="3959" spans="1:5" x14ac:dyDescent="0.35">
      <c r="A3959" s="40">
        <v>44216</v>
      </c>
      <c r="B3959" s="38">
        <v>-11.66</v>
      </c>
      <c r="C3959" s="13" t="s">
        <v>1547</v>
      </c>
      <c r="D3959" s="36">
        <v>1484.6</v>
      </c>
      <c r="E3959" s="44" t="s">
        <v>3596</v>
      </c>
    </row>
    <row r="3960" spans="1:5" x14ac:dyDescent="0.35">
      <c r="A3960" s="40">
        <v>44216</v>
      </c>
      <c r="B3960" s="38">
        <v>-11</v>
      </c>
      <c r="C3960" s="13" t="s">
        <v>1546</v>
      </c>
      <c r="D3960" s="36">
        <v>1473.6</v>
      </c>
      <c r="E3960" s="44" t="s">
        <v>3596</v>
      </c>
    </row>
    <row r="3961" spans="1:5" x14ac:dyDescent="0.35">
      <c r="A3961" s="40">
        <v>44215</v>
      </c>
      <c r="B3961" s="38">
        <v>-35.94</v>
      </c>
      <c r="C3961" s="13" t="s">
        <v>1548</v>
      </c>
      <c r="D3961" s="36">
        <v>1588.79</v>
      </c>
      <c r="E3961" s="44" t="s">
        <v>3596</v>
      </c>
    </row>
    <row r="3962" spans="1:5" x14ac:dyDescent="0.35">
      <c r="A3962" s="40">
        <v>44215</v>
      </c>
      <c r="B3962" s="38">
        <v>-10.59</v>
      </c>
      <c r="C3962" s="13" t="s">
        <v>1471</v>
      </c>
      <c r="D3962" s="36">
        <v>1578.2</v>
      </c>
      <c r="E3962" s="44" t="s">
        <v>3596</v>
      </c>
    </row>
    <row r="3963" spans="1:5" x14ac:dyDescent="0.35">
      <c r="A3963" s="40">
        <v>44215</v>
      </c>
      <c r="B3963" s="38">
        <v>-81.94</v>
      </c>
      <c r="C3963" s="13" t="s">
        <v>1490</v>
      </c>
      <c r="D3963" s="36">
        <v>1496.26</v>
      </c>
      <c r="E3963" s="44" t="s">
        <v>3596</v>
      </c>
    </row>
    <row r="3964" spans="1:5" x14ac:dyDescent="0.35">
      <c r="A3964" s="40">
        <v>44212</v>
      </c>
      <c r="B3964" s="38">
        <v>-100</v>
      </c>
      <c r="C3964" s="13" t="s">
        <v>1691</v>
      </c>
      <c r="D3964" s="36">
        <v>1627.63</v>
      </c>
      <c r="E3964" s="44" t="s">
        <v>3596</v>
      </c>
    </row>
    <row r="3965" spans="1:5" x14ac:dyDescent="0.35">
      <c r="A3965" s="40">
        <v>44212</v>
      </c>
      <c r="B3965" s="38">
        <v>-2</v>
      </c>
      <c r="C3965" s="13" t="s">
        <v>1550</v>
      </c>
      <c r="D3965" s="36">
        <v>1798.33</v>
      </c>
      <c r="E3965" s="44" t="s">
        <v>3596</v>
      </c>
    </row>
    <row r="3966" spans="1:5" x14ac:dyDescent="0.35">
      <c r="A3966" s="40">
        <v>44212</v>
      </c>
      <c r="B3966" s="38">
        <v>-18.18</v>
      </c>
      <c r="C3966" s="13" t="s">
        <v>1549</v>
      </c>
      <c r="D3966" s="36">
        <v>1727.63</v>
      </c>
      <c r="E3966" s="44" t="s">
        <v>3596</v>
      </c>
    </row>
    <row r="3967" spans="1:5" x14ac:dyDescent="0.35">
      <c r="A3967" s="40">
        <v>44212</v>
      </c>
      <c r="B3967" s="38">
        <v>-52.52</v>
      </c>
      <c r="C3967" s="13" t="s">
        <v>1549</v>
      </c>
      <c r="D3967" s="36">
        <v>1745.81</v>
      </c>
      <c r="E3967" s="44" t="s">
        <v>3596</v>
      </c>
    </row>
    <row r="3968" spans="1:5" x14ac:dyDescent="0.35">
      <c r="A3968" s="40">
        <v>44212</v>
      </c>
      <c r="B3968" s="38">
        <v>-2.9</v>
      </c>
      <c r="C3968" s="13" t="s">
        <v>24</v>
      </c>
      <c r="D3968" s="36">
        <v>1624.73</v>
      </c>
      <c r="E3968" s="44" t="s">
        <v>3596</v>
      </c>
    </row>
    <row r="3969" spans="1:5" x14ac:dyDescent="0.35">
      <c r="A3969" s="40">
        <v>44212</v>
      </c>
      <c r="B3969" s="38">
        <v>-100</v>
      </c>
      <c r="C3969" s="13" t="s">
        <v>946</v>
      </c>
      <c r="D3969" s="36">
        <v>1800.33</v>
      </c>
      <c r="E3969" s="44" t="s">
        <v>3596</v>
      </c>
    </row>
    <row r="3970" spans="1:5" x14ac:dyDescent="0.35">
      <c r="A3970" s="40">
        <v>44211</v>
      </c>
      <c r="B3970" s="38">
        <v>-23.48</v>
      </c>
      <c r="C3970" s="13" t="s">
        <v>1471</v>
      </c>
      <c r="D3970" s="36">
        <v>1900.33</v>
      </c>
      <c r="E3970" s="44" t="s">
        <v>3596</v>
      </c>
    </row>
    <row r="3971" spans="1:5" x14ac:dyDescent="0.35">
      <c r="A3971" s="40">
        <v>44210</v>
      </c>
      <c r="B3971" s="38">
        <v>-64.569999999999993</v>
      </c>
      <c r="C3971" s="13" t="s">
        <v>1551</v>
      </c>
      <c r="D3971" s="36">
        <v>1923.81</v>
      </c>
      <c r="E3971" s="44" t="s">
        <v>3596</v>
      </c>
    </row>
    <row r="3972" spans="1:5" x14ac:dyDescent="0.35">
      <c r="A3972" s="40">
        <v>44209</v>
      </c>
      <c r="B3972" s="38">
        <v>-2.4700000000000002</v>
      </c>
      <c r="C3972" s="13" t="s">
        <v>1552</v>
      </c>
      <c r="D3972" s="36">
        <v>1988.38</v>
      </c>
      <c r="E3972" s="44" t="s">
        <v>3596</v>
      </c>
    </row>
    <row r="3973" spans="1:5" x14ac:dyDescent="0.35">
      <c r="A3973" s="40">
        <v>44209</v>
      </c>
      <c r="B3973" s="38">
        <v>-22.49</v>
      </c>
      <c r="C3973" s="13" t="s">
        <v>1553</v>
      </c>
      <c r="D3973" s="36">
        <v>1990.85</v>
      </c>
      <c r="E3973" s="44" t="s">
        <v>3596</v>
      </c>
    </row>
    <row r="3974" spans="1:5" x14ac:dyDescent="0.35">
      <c r="A3974" s="40">
        <v>44208</v>
      </c>
      <c r="B3974" s="38">
        <v>-29.49</v>
      </c>
      <c r="C3974" s="13" t="s">
        <v>1554</v>
      </c>
      <c r="D3974" s="36">
        <v>2013.34</v>
      </c>
      <c r="E3974" s="44" t="s">
        <v>3596</v>
      </c>
    </row>
    <row r="3975" spans="1:5" x14ac:dyDescent="0.35">
      <c r="A3975" s="40">
        <v>44208</v>
      </c>
      <c r="B3975" s="38">
        <v>-1180</v>
      </c>
      <c r="C3975" s="13" t="s">
        <v>2074</v>
      </c>
      <c r="D3975" s="36">
        <v>2042.83</v>
      </c>
      <c r="E3975" s="44" t="s">
        <v>3596</v>
      </c>
    </row>
    <row r="3976" spans="1:5" x14ac:dyDescent="0.35">
      <c r="A3976" s="40">
        <v>44207</v>
      </c>
      <c r="B3976" s="38">
        <v>39.200000000000003</v>
      </c>
      <c r="C3976" s="13" t="s">
        <v>1555</v>
      </c>
      <c r="D3976" s="36">
        <v>3222.83</v>
      </c>
      <c r="E3976" s="44" t="s">
        <v>3596</v>
      </c>
    </row>
    <row r="3977" spans="1:5" x14ac:dyDescent="0.35">
      <c r="A3977" s="40">
        <v>44206</v>
      </c>
      <c r="B3977" s="38">
        <v>150.02000000000001</v>
      </c>
      <c r="C3977" s="13" t="s">
        <v>1965</v>
      </c>
      <c r="D3977" s="36">
        <v>3202.13</v>
      </c>
      <c r="E3977" s="44" t="s">
        <v>3596</v>
      </c>
    </row>
    <row r="3978" spans="1:5" x14ac:dyDescent="0.35">
      <c r="A3978" s="40">
        <v>44206</v>
      </c>
      <c r="B3978" s="38">
        <v>-18.5</v>
      </c>
      <c r="C3978" s="13" t="s">
        <v>951</v>
      </c>
      <c r="D3978" s="36">
        <v>3183.63</v>
      </c>
      <c r="E3978" s="44" t="s">
        <v>3596</v>
      </c>
    </row>
    <row r="3979" spans="1:5" x14ac:dyDescent="0.35">
      <c r="A3979" s="40">
        <v>44205</v>
      </c>
      <c r="B3979" s="38">
        <v>-15.44</v>
      </c>
      <c r="C3979" s="13" t="s">
        <v>1557</v>
      </c>
      <c r="D3979" s="36">
        <v>3054.1</v>
      </c>
      <c r="E3979" s="44" t="s">
        <v>3596</v>
      </c>
    </row>
    <row r="3980" spans="1:5" x14ac:dyDescent="0.35">
      <c r="A3980" s="40">
        <v>44205</v>
      </c>
      <c r="B3980" s="38">
        <v>-61.94</v>
      </c>
      <c r="C3980" s="13" t="s">
        <v>1557</v>
      </c>
      <c r="D3980" s="36">
        <v>3069.54</v>
      </c>
      <c r="E3980" s="44" t="s">
        <v>3596</v>
      </c>
    </row>
    <row r="3981" spans="1:5" x14ac:dyDescent="0.35">
      <c r="A3981" s="40">
        <v>44205</v>
      </c>
      <c r="B3981" s="38">
        <v>-100</v>
      </c>
      <c r="C3981" s="13" t="s">
        <v>946</v>
      </c>
      <c r="D3981" s="36">
        <v>3131.48</v>
      </c>
      <c r="E3981" s="44" t="s">
        <v>3596</v>
      </c>
    </row>
    <row r="3982" spans="1:5" x14ac:dyDescent="0.35">
      <c r="A3982" s="40">
        <v>44205</v>
      </c>
      <c r="B3982" s="38">
        <v>-1.99</v>
      </c>
      <c r="C3982" s="13" t="s">
        <v>1556</v>
      </c>
      <c r="D3982" s="36">
        <v>3052.11</v>
      </c>
      <c r="E3982" s="44" t="s">
        <v>3596</v>
      </c>
    </row>
    <row r="3983" spans="1:5" x14ac:dyDescent="0.35">
      <c r="A3983" s="40">
        <v>44203</v>
      </c>
      <c r="B3983" s="38">
        <v>2248.8000000000002</v>
      </c>
      <c r="C3983" s="13" t="s">
        <v>1559</v>
      </c>
      <c r="D3983" s="36">
        <v>3756.48</v>
      </c>
      <c r="E3983" s="44" t="s">
        <v>3596</v>
      </c>
    </row>
    <row r="3984" spans="1:5" x14ac:dyDescent="0.35">
      <c r="A3984" s="40">
        <v>44203</v>
      </c>
      <c r="B3984" s="38">
        <v>-500</v>
      </c>
      <c r="C3984" s="13" t="s">
        <v>945</v>
      </c>
      <c r="D3984" s="36">
        <v>3231.48</v>
      </c>
      <c r="E3984" s="44" t="s">
        <v>3596</v>
      </c>
    </row>
    <row r="3985" spans="1:5" x14ac:dyDescent="0.35">
      <c r="A3985" s="40">
        <v>44203</v>
      </c>
      <c r="B3985" s="38">
        <v>-25</v>
      </c>
      <c r="C3985" s="13" t="s">
        <v>1558</v>
      </c>
      <c r="D3985" s="36">
        <v>3731.48</v>
      </c>
      <c r="E3985" s="44" t="s">
        <v>3596</v>
      </c>
    </row>
    <row r="3986" spans="1:5" x14ac:dyDescent="0.35">
      <c r="A3986" s="40">
        <v>44202</v>
      </c>
      <c r="B3986" s="38">
        <v>-31.06</v>
      </c>
      <c r="C3986" s="13" t="s">
        <v>1561</v>
      </c>
      <c r="D3986" s="36">
        <v>1746.68</v>
      </c>
      <c r="E3986" s="44" t="s">
        <v>3596</v>
      </c>
    </row>
    <row r="3987" spans="1:5" x14ac:dyDescent="0.35">
      <c r="A3987" s="40">
        <v>44202</v>
      </c>
      <c r="B3987" s="38">
        <v>-10.33</v>
      </c>
      <c r="C3987" s="13" t="s">
        <v>1561</v>
      </c>
      <c r="D3987" s="36">
        <v>1777.74</v>
      </c>
      <c r="E3987" s="44" t="s">
        <v>3596</v>
      </c>
    </row>
    <row r="3988" spans="1:5" x14ac:dyDescent="0.35">
      <c r="A3988" s="40">
        <v>44202</v>
      </c>
      <c r="B3988" s="38">
        <v>-239</v>
      </c>
      <c r="C3988" s="13" t="s">
        <v>1560</v>
      </c>
      <c r="D3988" s="36">
        <v>1507.68</v>
      </c>
      <c r="E3988" s="44" t="s">
        <v>3596</v>
      </c>
    </row>
    <row r="3989" spans="1:5" x14ac:dyDescent="0.35">
      <c r="A3989" s="40">
        <v>44201</v>
      </c>
      <c r="B3989" s="38">
        <v>46</v>
      </c>
      <c r="C3989" s="13" t="s">
        <v>1238</v>
      </c>
      <c r="D3989" s="36">
        <v>1788.07</v>
      </c>
      <c r="E3989" s="44" t="s">
        <v>3596</v>
      </c>
    </row>
    <row r="3990" spans="1:5" x14ac:dyDescent="0.35">
      <c r="A3990" s="40">
        <v>44200</v>
      </c>
      <c r="B3990" s="38">
        <v>-176.6</v>
      </c>
      <c r="C3990" s="13" t="s">
        <v>1562</v>
      </c>
      <c r="D3990" s="36">
        <v>1742.07</v>
      </c>
      <c r="E3990" s="44" t="s">
        <v>3596</v>
      </c>
    </row>
    <row r="3991" spans="1:5" x14ac:dyDescent="0.35">
      <c r="A3991" s="40">
        <v>44200</v>
      </c>
      <c r="B3991" s="38">
        <v>-1.99</v>
      </c>
      <c r="C3991" s="13" t="s">
        <v>1556</v>
      </c>
      <c r="D3991" s="36">
        <v>1918.67</v>
      </c>
      <c r="E3991" s="44" t="s">
        <v>3596</v>
      </c>
    </row>
    <row r="3992" spans="1:5" x14ac:dyDescent="0.35">
      <c r="A3992" s="40">
        <v>44198</v>
      </c>
      <c r="B3992" s="38">
        <v>-300</v>
      </c>
      <c r="C3992" s="13" t="s">
        <v>1692</v>
      </c>
      <c r="D3992" s="36">
        <v>1929.66</v>
      </c>
      <c r="E3992" s="44" t="s">
        <v>3596</v>
      </c>
    </row>
    <row r="3993" spans="1:5" x14ac:dyDescent="0.35">
      <c r="A3993" s="40">
        <v>44198</v>
      </c>
      <c r="B3993" s="38">
        <v>-9</v>
      </c>
      <c r="C3993" s="13" t="s">
        <v>1564</v>
      </c>
      <c r="D3993" s="36">
        <v>2250.86</v>
      </c>
      <c r="E3993" s="44" t="s">
        <v>3596</v>
      </c>
    </row>
    <row r="3994" spans="1:5" x14ac:dyDescent="0.35">
      <c r="A3994" s="40">
        <v>44198</v>
      </c>
      <c r="B3994" s="38">
        <v>-31</v>
      </c>
      <c r="C3994" s="13" t="s">
        <v>1564</v>
      </c>
      <c r="D3994" s="36">
        <v>2259.86</v>
      </c>
      <c r="E3994" s="44" t="s">
        <v>3596</v>
      </c>
    </row>
    <row r="3995" spans="1:5" x14ac:dyDescent="0.35">
      <c r="A3995" s="40">
        <v>44198</v>
      </c>
      <c r="B3995" s="38">
        <v>-9</v>
      </c>
      <c r="C3995" s="13" t="s">
        <v>1564</v>
      </c>
      <c r="D3995" s="36">
        <v>2290.86</v>
      </c>
      <c r="E3995" s="44" t="s">
        <v>3596</v>
      </c>
    </row>
    <row r="3996" spans="1:5" x14ac:dyDescent="0.35">
      <c r="A3996" s="40">
        <v>44198</v>
      </c>
      <c r="B3996" s="38">
        <v>-9</v>
      </c>
      <c r="C3996" s="13" t="s">
        <v>1564</v>
      </c>
      <c r="D3996" s="36">
        <v>2299.86</v>
      </c>
      <c r="E3996" s="44" t="s">
        <v>3596</v>
      </c>
    </row>
    <row r="3997" spans="1:5" x14ac:dyDescent="0.35">
      <c r="A3997" s="40">
        <v>44198</v>
      </c>
      <c r="B3997" s="39">
        <v>-9</v>
      </c>
      <c r="C3997" s="14" t="s">
        <v>24</v>
      </c>
      <c r="D3997" s="37">
        <v>1920.66</v>
      </c>
      <c r="E3997" s="44" t="s">
        <v>3596</v>
      </c>
    </row>
    <row r="3998" spans="1:5" x14ac:dyDescent="0.35">
      <c r="A3998" s="40">
        <v>44198</v>
      </c>
      <c r="B3998" s="38">
        <v>-100</v>
      </c>
      <c r="C3998" s="13" t="s">
        <v>946</v>
      </c>
      <c r="D3998" s="36">
        <v>2308.86</v>
      </c>
      <c r="E3998" s="44" t="s">
        <v>3596</v>
      </c>
    </row>
    <row r="3999" spans="1:5" x14ac:dyDescent="0.35">
      <c r="A3999" s="40">
        <v>44198</v>
      </c>
      <c r="B3999" s="38">
        <v>-10.6</v>
      </c>
      <c r="C3999" s="13" t="s">
        <v>1563</v>
      </c>
      <c r="D3999" s="36">
        <v>2229.66</v>
      </c>
      <c r="E3999" s="44" t="s">
        <v>3596</v>
      </c>
    </row>
    <row r="4000" spans="1:5" x14ac:dyDescent="0.35">
      <c r="A4000" s="40">
        <v>44198</v>
      </c>
      <c r="B4000" s="38">
        <v>-10.6</v>
      </c>
      <c r="C4000" s="13" t="s">
        <v>1563</v>
      </c>
      <c r="D4000" s="36">
        <v>2240.2600000000002</v>
      </c>
      <c r="E4000" s="44" t="s">
        <v>3596</v>
      </c>
    </row>
    <row r="4001" spans="1:5" x14ac:dyDescent="0.35">
      <c r="A4001" s="40">
        <v>44197</v>
      </c>
      <c r="B4001" s="38">
        <v>-75.94</v>
      </c>
      <c r="C4001" s="13" t="s">
        <v>1568</v>
      </c>
      <c r="D4001" s="36">
        <v>2623.17</v>
      </c>
      <c r="E4001" s="44" t="s">
        <v>3596</v>
      </c>
    </row>
    <row r="4002" spans="1:5" x14ac:dyDescent="0.35">
      <c r="A4002" s="40">
        <v>44197</v>
      </c>
      <c r="B4002" s="38">
        <v>-59</v>
      </c>
      <c r="C4002" s="13" t="s">
        <v>1565</v>
      </c>
      <c r="D4002" s="36">
        <v>2428.86</v>
      </c>
      <c r="E4002" s="44" t="s">
        <v>3596</v>
      </c>
    </row>
    <row r="4003" spans="1:5" x14ac:dyDescent="0.35">
      <c r="A4003" s="40">
        <v>44197</v>
      </c>
      <c r="B4003" s="38">
        <v>-91</v>
      </c>
      <c r="C4003" s="13" t="s">
        <v>1566</v>
      </c>
      <c r="D4003" s="36">
        <v>2487.86</v>
      </c>
      <c r="E4003" s="44" t="s">
        <v>3596</v>
      </c>
    </row>
    <row r="4004" spans="1:5" x14ac:dyDescent="0.35">
      <c r="A4004" s="40">
        <v>44197</v>
      </c>
      <c r="B4004" s="38">
        <v>-20</v>
      </c>
      <c r="C4004" s="13" t="s">
        <v>3385</v>
      </c>
      <c r="D4004" s="36">
        <v>2408.86</v>
      </c>
      <c r="E4004" s="44" t="s">
        <v>3596</v>
      </c>
    </row>
    <row r="4005" spans="1:5" x14ac:dyDescent="0.35">
      <c r="A4005" s="40">
        <v>44197</v>
      </c>
      <c r="B4005" s="38">
        <v>-44.31</v>
      </c>
      <c r="C4005" s="13" t="s">
        <v>1567</v>
      </c>
      <c r="D4005" s="36">
        <v>2578.86</v>
      </c>
      <c r="E4005" s="44" t="s">
        <v>3596</v>
      </c>
    </row>
    <row r="4006" spans="1:5" x14ac:dyDescent="0.35">
      <c r="A4006" s="40">
        <v>44196</v>
      </c>
      <c r="B4006" s="38">
        <v>-41.99</v>
      </c>
      <c r="C4006" s="13" t="s">
        <v>1570</v>
      </c>
      <c r="D4006" s="36">
        <v>2826.24</v>
      </c>
      <c r="E4006" s="44" t="s">
        <v>3596</v>
      </c>
    </row>
    <row r="4007" spans="1:5" x14ac:dyDescent="0.35">
      <c r="A4007" s="40">
        <v>44196</v>
      </c>
      <c r="B4007" s="38">
        <v>-97</v>
      </c>
      <c r="C4007" s="13" t="s">
        <v>2069</v>
      </c>
      <c r="D4007" s="36">
        <v>2699.11</v>
      </c>
      <c r="E4007" s="44" t="s">
        <v>3596</v>
      </c>
    </row>
    <row r="4008" spans="1:5" x14ac:dyDescent="0.35">
      <c r="A4008" s="40">
        <v>44196</v>
      </c>
      <c r="B4008" s="38">
        <v>-30.13</v>
      </c>
      <c r="C4008" s="13" t="s">
        <v>1569</v>
      </c>
      <c r="D4008" s="36">
        <v>2796.11</v>
      </c>
      <c r="E4008" s="44" t="s">
        <v>3596</v>
      </c>
    </row>
    <row r="4009" spans="1:5" x14ac:dyDescent="0.35">
      <c r="A4009" s="40">
        <v>44195</v>
      </c>
      <c r="B4009" s="38">
        <v>-33.9</v>
      </c>
      <c r="C4009" s="13" t="s">
        <v>1572</v>
      </c>
      <c r="D4009" s="36">
        <v>5099.71</v>
      </c>
      <c r="E4009" s="44" t="s">
        <v>3596</v>
      </c>
    </row>
    <row r="4010" spans="1:5" x14ac:dyDescent="0.35">
      <c r="A4010" s="40">
        <v>44195</v>
      </c>
      <c r="B4010" s="38">
        <v>-150</v>
      </c>
      <c r="C4010" s="13" t="s">
        <v>1963</v>
      </c>
      <c r="D4010" s="36">
        <v>2868.23</v>
      </c>
      <c r="E4010" s="44" t="s">
        <v>3596</v>
      </c>
    </row>
    <row r="4011" spans="1:5" x14ac:dyDescent="0.35">
      <c r="A4011" s="40">
        <v>44195</v>
      </c>
      <c r="B4011" s="38">
        <v>-10.199999999999999</v>
      </c>
      <c r="C4011" s="13" t="s">
        <v>1573</v>
      </c>
      <c r="D4011" s="36">
        <v>5232.5600000000004</v>
      </c>
      <c r="E4011" s="44" t="s">
        <v>3596</v>
      </c>
    </row>
    <row r="4012" spans="1:5" x14ac:dyDescent="0.35">
      <c r="A4012" s="40">
        <v>44195</v>
      </c>
      <c r="B4012" s="38">
        <v>-1491.15</v>
      </c>
      <c r="C4012" s="13" t="s">
        <v>2070</v>
      </c>
      <c r="D4012" s="36">
        <v>3082.71</v>
      </c>
      <c r="E4012" s="44" t="s">
        <v>3596</v>
      </c>
    </row>
    <row r="4013" spans="1:5" x14ac:dyDescent="0.35">
      <c r="A4013" s="40">
        <v>44195</v>
      </c>
      <c r="B4013" s="38">
        <v>-98.95</v>
      </c>
      <c r="C4013" s="13" t="s">
        <v>2064</v>
      </c>
      <c r="D4013" s="36">
        <v>5133.6099999999997</v>
      </c>
      <c r="E4013" s="44" t="s">
        <v>3596</v>
      </c>
    </row>
    <row r="4014" spans="1:5" x14ac:dyDescent="0.35">
      <c r="A4014" s="40">
        <v>44195</v>
      </c>
      <c r="B4014" s="38">
        <v>-525.85</v>
      </c>
      <c r="C4014" s="13" t="s">
        <v>3589</v>
      </c>
      <c r="D4014" s="36">
        <v>4573.8599999999997</v>
      </c>
      <c r="E4014" s="44" t="s">
        <v>3596</v>
      </c>
    </row>
    <row r="4015" spans="1:5" x14ac:dyDescent="0.35">
      <c r="A4015" s="40">
        <v>44195</v>
      </c>
      <c r="B4015" s="38">
        <v>-64.48</v>
      </c>
      <c r="C4015" s="13" t="s">
        <v>1490</v>
      </c>
      <c r="D4015" s="36">
        <v>3018.23</v>
      </c>
      <c r="E4015" s="44" t="s">
        <v>3596</v>
      </c>
    </row>
    <row r="4016" spans="1:5" x14ac:dyDescent="0.35">
      <c r="A4016" s="40">
        <v>44194</v>
      </c>
      <c r="B4016" s="38">
        <v>-20</v>
      </c>
      <c r="C4016" s="13" t="s">
        <v>951</v>
      </c>
      <c r="D4016" s="36">
        <v>5242.76</v>
      </c>
      <c r="E4016" s="44" t="s">
        <v>3596</v>
      </c>
    </row>
    <row r="4017" spans="1:5" x14ac:dyDescent="0.35">
      <c r="A4017" s="40">
        <v>44191</v>
      </c>
      <c r="B4017" s="38">
        <v>-100</v>
      </c>
      <c r="C4017" s="13" t="s">
        <v>946</v>
      </c>
      <c r="D4017" s="36">
        <v>5262.76</v>
      </c>
      <c r="E4017" s="44" t="s">
        <v>3596</v>
      </c>
    </row>
    <row r="4018" spans="1:5" x14ac:dyDescent="0.35">
      <c r="A4018" s="40">
        <v>44190</v>
      </c>
      <c r="B4018" s="38">
        <v>-44.49</v>
      </c>
      <c r="C4018" s="13" t="s">
        <v>1574</v>
      </c>
      <c r="D4018" s="36">
        <v>5362.76</v>
      </c>
      <c r="E4018" s="44" t="s">
        <v>3596</v>
      </c>
    </row>
    <row r="4019" spans="1:5" x14ac:dyDescent="0.35">
      <c r="A4019" s="40">
        <v>44190</v>
      </c>
      <c r="B4019" s="38">
        <v>-4.9000000000000004</v>
      </c>
      <c r="C4019" s="13" t="s">
        <v>1575</v>
      </c>
      <c r="D4019" s="36">
        <v>5407.25</v>
      </c>
      <c r="E4019" s="44" t="s">
        <v>3596</v>
      </c>
    </row>
    <row r="4020" spans="1:5" x14ac:dyDescent="0.35">
      <c r="A4020" s="40">
        <v>44189</v>
      </c>
      <c r="B4020" s="38">
        <v>-194.78</v>
      </c>
      <c r="C4020" s="13" t="s">
        <v>1576</v>
      </c>
      <c r="D4020" s="36">
        <v>5412.15</v>
      </c>
      <c r="E4020" s="44" t="s">
        <v>3596</v>
      </c>
    </row>
    <row r="4021" spans="1:5" x14ac:dyDescent="0.35">
      <c r="A4021" s="40">
        <v>44189</v>
      </c>
      <c r="B4021" s="38">
        <v>2248.79</v>
      </c>
      <c r="C4021" s="13" t="s">
        <v>1578</v>
      </c>
      <c r="D4021" s="36">
        <v>6120.48</v>
      </c>
      <c r="E4021" s="44" t="s">
        <v>3596</v>
      </c>
    </row>
    <row r="4022" spans="1:5" x14ac:dyDescent="0.35">
      <c r="A4022" s="40">
        <v>44189</v>
      </c>
      <c r="B4022" s="38">
        <v>-123</v>
      </c>
      <c r="C4022" s="13" t="s">
        <v>1674</v>
      </c>
      <c r="D4022" s="36">
        <v>5412.15</v>
      </c>
      <c r="E4022" s="44" t="s">
        <v>3596</v>
      </c>
    </row>
    <row r="4023" spans="1:5" x14ac:dyDescent="0.35">
      <c r="A4023" s="40">
        <v>44189</v>
      </c>
      <c r="B4023" s="38">
        <v>-500</v>
      </c>
      <c r="C4023" s="13" t="s">
        <v>945</v>
      </c>
      <c r="D4023" s="36">
        <v>5620.48</v>
      </c>
      <c r="E4023" s="44" t="s">
        <v>3596</v>
      </c>
    </row>
    <row r="4024" spans="1:5" x14ac:dyDescent="0.35">
      <c r="A4024" s="40">
        <v>44189</v>
      </c>
      <c r="B4024" s="38">
        <v>123</v>
      </c>
      <c r="C4024" s="13" t="s">
        <v>1966</v>
      </c>
      <c r="D4024" s="36">
        <v>5535.15</v>
      </c>
      <c r="E4024" s="44" t="s">
        <v>3596</v>
      </c>
    </row>
    <row r="4025" spans="1:5" x14ac:dyDescent="0.35">
      <c r="A4025" s="40">
        <v>44189</v>
      </c>
      <c r="B4025" s="38">
        <v>-4.25</v>
      </c>
      <c r="C4025" s="13" t="s">
        <v>2071</v>
      </c>
      <c r="D4025" s="36">
        <v>5616.23</v>
      </c>
      <c r="E4025" s="44" t="s">
        <v>3596</v>
      </c>
    </row>
    <row r="4026" spans="1:5" x14ac:dyDescent="0.35">
      <c r="A4026" s="40">
        <v>44189</v>
      </c>
      <c r="B4026" s="38">
        <v>-9.3000000000000007</v>
      </c>
      <c r="C4026" s="13" t="s">
        <v>1577</v>
      </c>
      <c r="D4026" s="36">
        <v>5606.93</v>
      </c>
      <c r="E4026" s="44" t="s">
        <v>3596</v>
      </c>
    </row>
    <row r="4027" spans="1:5" x14ac:dyDescent="0.35">
      <c r="A4027" s="40">
        <v>44188</v>
      </c>
      <c r="B4027" s="38">
        <v>-37.99</v>
      </c>
      <c r="C4027" s="13" t="s">
        <v>1582</v>
      </c>
      <c r="D4027" s="36">
        <v>1922.71</v>
      </c>
      <c r="E4027" s="44" t="s">
        <v>3596</v>
      </c>
    </row>
    <row r="4028" spans="1:5" x14ac:dyDescent="0.35">
      <c r="A4028" s="40">
        <v>44188</v>
      </c>
      <c r="B4028" s="38">
        <v>-23.89</v>
      </c>
      <c r="C4028" s="13" t="s">
        <v>1581</v>
      </c>
      <c r="D4028" s="36">
        <v>1898.82</v>
      </c>
      <c r="E4028" s="44" t="s">
        <v>3596</v>
      </c>
    </row>
    <row r="4029" spans="1:5" x14ac:dyDescent="0.35">
      <c r="A4029" s="40">
        <v>44188</v>
      </c>
      <c r="B4029" s="38">
        <v>2000</v>
      </c>
      <c r="C4029" s="13" t="s">
        <v>1689</v>
      </c>
      <c r="D4029" s="36">
        <v>3875.18</v>
      </c>
      <c r="E4029" s="44" t="s">
        <v>3596</v>
      </c>
    </row>
    <row r="4030" spans="1:5" x14ac:dyDescent="0.35">
      <c r="A4030" s="40">
        <v>44188</v>
      </c>
      <c r="B4030" s="39">
        <v>-3.49</v>
      </c>
      <c r="C4030" s="14" t="s">
        <v>1579</v>
      </c>
      <c r="D4030" s="37">
        <v>3871.69</v>
      </c>
      <c r="E4030" s="44" t="s">
        <v>3596</v>
      </c>
    </row>
    <row r="4031" spans="1:5" x14ac:dyDescent="0.35">
      <c r="A4031" s="40">
        <v>44188</v>
      </c>
      <c r="B4031" s="38">
        <v>-23.64</v>
      </c>
      <c r="C4031" s="13" t="s">
        <v>1580</v>
      </c>
      <c r="D4031" s="36">
        <v>1875.18</v>
      </c>
      <c r="E4031" s="44" t="s">
        <v>3596</v>
      </c>
    </row>
    <row r="4032" spans="1:5" x14ac:dyDescent="0.35">
      <c r="A4032" s="40">
        <v>44187</v>
      </c>
      <c r="B4032" s="38">
        <v>-140</v>
      </c>
      <c r="C4032" s="13" t="s">
        <v>1675</v>
      </c>
      <c r="D4032" s="36">
        <v>1960.7</v>
      </c>
      <c r="E4032" s="44" t="s">
        <v>3596</v>
      </c>
    </row>
    <row r="4033" spans="1:5" x14ac:dyDescent="0.35">
      <c r="A4033" s="40">
        <v>44187</v>
      </c>
      <c r="B4033" s="38">
        <v>-1</v>
      </c>
      <c r="C4033" s="13" t="s">
        <v>1583</v>
      </c>
      <c r="D4033" s="36">
        <v>2100.6999999999998</v>
      </c>
      <c r="E4033" s="44" t="s">
        <v>3596</v>
      </c>
    </row>
    <row r="4034" spans="1:5" x14ac:dyDescent="0.35">
      <c r="A4034" s="40">
        <v>44184</v>
      </c>
      <c r="B4034" s="38">
        <v>-300</v>
      </c>
      <c r="C4034" s="13" t="s">
        <v>1693</v>
      </c>
      <c r="D4034" s="36">
        <v>2104.1999999999998</v>
      </c>
      <c r="E4034" s="44" t="s">
        <v>3596</v>
      </c>
    </row>
    <row r="4035" spans="1:5" x14ac:dyDescent="0.35">
      <c r="A4035" s="40">
        <v>44184</v>
      </c>
      <c r="B4035" s="38">
        <v>-7</v>
      </c>
      <c r="C4035" s="13" t="s">
        <v>1585</v>
      </c>
      <c r="D4035" s="36">
        <v>2413.3000000000002</v>
      </c>
      <c r="E4035" s="44" t="s">
        <v>3596</v>
      </c>
    </row>
    <row r="4036" spans="1:5" x14ac:dyDescent="0.35">
      <c r="A4036" s="40">
        <v>44184</v>
      </c>
      <c r="B4036" s="38">
        <v>-2.5</v>
      </c>
      <c r="C4036" s="13" t="s">
        <v>24</v>
      </c>
      <c r="D4036" s="36">
        <v>2101.6999999999998</v>
      </c>
      <c r="E4036" s="44" t="s">
        <v>3596</v>
      </c>
    </row>
    <row r="4037" spans="1:5" x14ac:dyDescent="0.35">
      <c r="A4037" s="40">
        <v>44184</v>
      </c>
      <c r="B4037" s="38">
        <v>-9.1</v>
      </c>
      <c r="C4037" s="13" t="s">
        <v>1584</v>
      </c>
      <c r="D4037" s="36">
        <v>2404.1999999999998</v>
      </c>
      <c r="E4037" s="44" t="s">
        <v>3596</v>
      </c>
    </row>
    <row r="4038" spans="1:5" x14ac:dyDescent="0.35">
      <c r="A4038" s="40">
        <v>44184</v>
      </c>
      <c r="B4038" s="38">
        <v>-274</v>
      </c>
      <c r="C4038" s="13" t="s">
        <v>2068</v>
      </c>
      <c r="D4038" s="36">
        <v>2420.3000000000002</v>
      </c>
      <c r="E4038" s="44" t="s">
        <v>3596</v>
      </c>
    </row>
    <row r="4039" spans="1:5" x14ac:dyDescent="0.35">
      <c r="A4039" s="40">
        <v>44184</v>
      </c>
      <c r="B4039" s="38">
        <v>-100</v>
      </c>
      <c r="C4039" s="13" t="s">
        <v>946</v>
      </c>
      <c r="D4039" s="36">
        <v>2694.3</v>
      </c>
      <c r="E4039" s="44" t="s">
        <v>3596</v>
      </c>
    </row>
    <row r="4040" spans="1:5" x14ac:dyDescent="0.35">
      <c r="A4040" s="40">
        <v>44183</v>
      </c>
      <c r="B4040" s="38">
        <v>-60</v>
      </c>
      <c r="C4040" s="13" t="s">
        <v>1586</v>
      </c>
      <c r="D4040" s="36">
        <v>1794.3</v>
      </c>
      <c r="E4040" s="44" t="s">
        <v>3596</v>
      </c>
    </row>
    <row r="4041" spans="1:5" x14ac:dyDescent="0.35">
      <c r="A4041" s="40">
        <v>44183</v>
      </c>
      <c r="B4041" s="38">
        <v>1000</v>
      </c>
      <c r="C4041" s="13" t="s">
        <v>1676</v>
      </c>
      <c r="D4041" s="36">
        <v>2794.3</v>
      </c>
      <c r="E4041" s="44" t="s">
        <v>3596</v>
      </c>
    </row>
    <row r="4042" spans="1:5" x14ac:dyDescent="0.35">
      <c r="A4042" s="40">
        <v>44181</v>
      </c>
      <c r="B4042" s="38">
        <v>-33.89</v>
      </c>
      <c r="C4042" s="13" t="s">
        <v>1587</v>
      </c>
      <c r="D4042" s="36">
        <v>1854.3</v>
      </c>
      <c r="E4042" s="44" t="s">
        <v>3596</v>
      </c>
    </row>
    <row r="4043" spans="1:5" x14ac:dyDescent="0.35">
      <c r="A4043" s="40">
        <v>44179</v>
      </c>
      <c r="B4043" s="38">
        <v>-63.65</v>
      </c>
      <c r="C4043" s="13" t="s">
        <v>1490</v>
      </c>
      <c r="D4043" s="36">
        <v>1888.19</v>
      </c>
      <c r="E4043" s="44" t="s">
        <v>3596</v>
      </c>
    </row>
    <row r="4044" spans="1:5" x14ac:dyDescent="0.35">
      <c r="A4044" s="40">
        <v>44177</v>
      </c>
      <c r="B4044" s="38">
        <v>-100</v>
      </c>
      <c r="C4044" s="13" t="s">
        <v>946</v>
      </c>
      <c r="D4044" s="36">
        <v>1951.84</v>
      </c>
      <c r="E4044" s="44" t="s">
        <v>3596</v>
      </c>
    </row>
    <row r="4045" spans="1:5" x14ac:dyDescent="0.35">
      <c r="A4045" s="40">
        <v>44176</v>
      </c>
      <c r="B4045" s="38">
        <v>-23.74</v>
      </c>
      <c r="C4045" s="13" t="s">
        <v>1589</v>
      </c>
      <c r="D4045" s="36">
        <v>2083.29</v>
      </c>
      <c r="E4045" s="44" t="s">
        <v>3596</v>
      </c>
    </row>
    <row r="4046" spans="1:5" x14ac:dyDescent="0.35">
      <c r="A4046" s="40">
        <v>44176</v>
      </c>
      <c r="B4046" s="38">
        <v>-12.4</v>
      </c>
      <c r="C4046" s="13" t="s">
        <v>1588</v>
      </c>
      <c r="D4046" s="36">
        <v>2064.69</v>
      </c>
      <c r="E4046" s="44" t="s">
        <v>3596</v>
      </c>
    </row>
    <row r="4047" spans="1:5" x14ac:dyDescent="0.35">
      <c r="A4047" s="40">
        <v>44176</v>
      </c>
      <c r="B4047" s="38">
        <v>-6.2</v>
      </c>
      <c r="C4047" s="13" t="s">
        <v>1588</v>
      </c>
      <c r="D4047" s="36">
        <v>2077.09</v>
      </c>
      <c r="E4047" s="44" t="s">
        <v>3596</v>
      </c>
    </row>
    <row r="4048" spans="1:5" x14ac:dyDescent="0.35">
      <c r="A4048" s="40">
        <v>44176</v>
      </c>
      <c r="B4048" s="38">
        <v>-12.85</v>
      </c>
      <c r="C4048" s="13" t="s">
        <v>1584</v>
      </c>
      <c r="D4048" s="36">
        <v>2051.84</v>
      </c>
      <c r="E4048" s="44" t="s">
        <v>3596</v>
      </c>
    </row>
    <row r="4049" spans="1:5" x14ac:dyDescent="0.35">
      <c r="A4049" s="40">
        <v>44175</v>
      </c>
      <c r="B4049" s="38">
        <v>2237.73</v>
      </c>
      <c r="C4049" s="13" t="s">
        <v>1590</v>
      </c>
      <c r="D4049" s="36">
        <v>2607.0300000000002</v>
      </c>
      <c r="E4049" s="44" t="s">
        <v>3596</v>
      </c>
    </row>
    <row r="4050" spans="1:5" x14ac:dyDescent="0.35">
      <c r="A4050" s="40">
        <v>44175</v>
      </c>
      <c r="B4050" s="38">
        <v>-500</v>
      </c>
      <c r="C4050" s="13" t="s">
        <v>945</v>
      </c>
      <c r="D4050" s="36">
        <v>2107.0300000000002</v>
      </c>
      <c r="E4050" s="44" t="s">
        <v>3596</v>
      </c>
    </row>
    <row r="4051" spans="1:5" x14ac:dyDescent="0.35">
      <c r="A4051" s="40">
        <v>44174</v>
      </c>
      <c r="B4051" s="38">
        <v>-1100</v>
      </c>
      <c r="C4051" s="13" t="s">
        <v>1694</v>
      </c>
      <c r="D4051" s="36">
        <v>415.58</v>
      </c>
      <c r="E4051" s="44" t="s">
        <v>3596</v>
      </c>
    </row>
    <row r="4052" spans="1:5" x14ac:dyDescent="0.35">
      <c r="A4052" s="40">
        <v>44174</v>
      </c>
      <c r="B4052" s="38">
        <v>-38.99</v>
      </c>
      <c r="C4052" s="13" t="s">
        <v>1591</v>
      </c>
      <c r="D4052" s="36">
        <v>515.58000000000004</v>
      </c>
      <c r="E4052" s="44" t="s">
        <v>3596</v>
      </c>
    </row>
    <row r="4053" spans="1:5" x14ac:dyDescent="0.35">
      <c r="A4053" s="40">
        <v>44174</v>
      </c>
      <c r="B4053" s="38">
        <v>1000</v>
      </c>
      <c r="C4053" s="13" t="s">
        <v>3387</v>
      </c>
      <c r="D4053" s="36">
        <v>1515.58</v>
      </c>
      <c r="E4053" s="44" t="s">
        <v>3596</v>
      </c>
    </row>
    <row r="4054" spans="1:5" x14ac:dyDescent="0.35">
      <c r="A4054" s="40">
        <v>44174</v>
      </c>
      <c r="B4054" s="38">
        <v>-46.28</v>
      </c>
      <c r="C4054" s="13" t="s">
        <v>37</v>
      </c>
      <c r="D4054" s="36">
        <v>369.3</v>
      </c>
      <c r="E4054" s="44" t="s">
        <v>3596</v>
      </c>
    </row>
    <row r="4055" spans="1:5" x14ac:dyDescent="0.35">
      <c r="A4055" s="40">
        <v>44173</v>
      </c>
      <c r="B4055" s="38">
        <v>-4.1500000000000004</v>
      </c>
      <c r="C4055" s="13" t="s">
        <v>1592</v>
      </c>
      <c r="D4055" s="36">
        <v>554.57000000000005</v>
      </c>
      <c r="E4055" s="44" t="s">
        <v>3596</v>
      </c>
    </row>
    <row r="4056" spans="1:5" x14ac:dyDescent="0.35">
      <c r="A4056" s="40">
        <v>44170</v>
      </c>
      <c r="B4056" s="38">
        <v>-100</v>
      </c>
      <c r="C4056" s="13" t="s">
        <v>946</v>
      </c>
      <c r="D4056" s="36">
        <v>633.79</v>
      </c>
      <c r="E4056" s="44" t="s">
        <v>3596</v>
      </c>
    </row>
    <row r="4057" spans="1:5" x14ac:dyDescent="0.35">
      <c r="A4057" s="40">
        <v>44170</v>
      </c>
      <c r="B4057" s="38">
        <v>-69.27</v>
      </c>
      <c r="C4057" s="13" t="s">
        <v>1490</v>
      </c>
      <c r="D4057" s="36">
        <v>558.72</v>
      </c>
      <c r="E4057" s="44" t="s">
        <v>3596</v>
      </c>
    </row>
    <row r="4058" spans="1:5" x14ac:dyDescent="0.35">
      <c r="A4058" s="40">
        <v>44170</v>
      </c>
      <c r="B4058" s="38">
        <v>-5.8</v>
      </c>
      <c r="C4058" s="13" t="s">
        <v>1593</v>
      </c>
      <c r="D4058" s="36">
        <v>627.99</v>
      </c>
      <c r="E4058" s="44" t="s">
        <v>3596</v>
      </c>
    </row>
    <row r="4059" spans="1:5" x14ac:dyDescent="0.35">
      <c r="A4059" s="40">
        <v>44169</v>
      </c>
      <c r="B4059" s="38">
        <v>-203.39</v>
      </c>
      <c r="C4059" s="13" t="s">
        <v>1594</v>
      </c>
      <c r="D4059" s="36">
        <v>585.66</v>
      </c>
      <c r="E4059" s="44" t="s">
        <v>3596</v>
      </c>
    </row>
    <row r="4060" spans="1:5" x14ac:dyDescent="0.35">
      <c r="A4060" s="40">
        <v>44169</v>
      </c>
      <c r="B4060" s="38">
        <v>148.13</v>
      </c>
      <c r="C4060" s="13" t="s">
        <v>1967</v>
      </c>
      <c r="D4060" s="36">
        <v>733.79</v>
      </c>
      <c r="E4060" s="44" t="s">
        <v>3596</v>
      </c>
    </row>
    <row r="4061" spans="1:5" x14ac:dyDescent="0.35">
      <c r="A4061" s="40">
        <v>44168</v>
      </c>
      <c r="B4061" s="38">
        <v>-61.6</v>
      </c>
      <c r="C4061" s="13" t="s">
        <v>1596</v>
      </c>
      <c r="D4061" s="36">
        <v>1126.9000000000001</v>
      </c>
      <c r="E4061" s="44" t="s">
        <v>3596</v>
      </c>
    </row>
    <row r="4062" spans="1:5" x14ac:dyDescent="0.35">
      <c r="A4062" s="40">
        <v>44168</v>
      </c>
      <c r="B4062" s="38">
        <v>-337.85</v>
      </c>
      <c r="C4062" s="13" t="s">
        <v>1595</v>
      </c>
      <c r="D4062" s="36">
        <v>789.05</v>
      </c>
      <c r="E4062" s="44" t="s">
        <v>3596</v>
      </c>
    </row>
    <row r="4063" spans="1:5" x14ac:dyDescent="0.35">
      <c r="A4063" s="40">
        <v>44167</v>
      </c>
      <c r="B4063" s="38">
        <v>-18.989999999999998</v>
      </c>
      <c r="C4063" s="13" t="s">
        <v>1600</v>
      </c>
      <c r="D4063" s="36">
        <v>1303.08</v>
      </c>
      <c r="E4063" s="44" t="s">
        <v>3596</v>
      </c>
    </row>
    <row r="4064" spans="1:5" x14ac:dyDescent="0.35">
      <c r="A4064" s="40">
        <v>44167</v>
      </c>
      <c r="B4064" s="38">
        <v>-22.49</v>
      </c>
      <c r="C4064" s="13" t="s">
        <v>1599</v>
      </c>
      <c r="D4064" s="36">
        <v>1247.7</v>
      </c>
      <c r="E4064" s="44" t="s">
        <v>3596</v>
      </c>
    </row>
    <row r="4065" spans="1:5" x14ac:dyDescent="0.35">
      <c r="A4065" s="40">
        <v>44167</v>
      </c>
      <c r="B4065" s="38">
        <v>-32.89</v>
      </c>
      <c r="C4065" s="13" t="s">
        <v>1599</v>
      </c>
      <c r="D4065" s="36">
        <v>1270.19</v>
      </c>
      <c r="E4065" s="44" t="s">
        <v>3596</v>
      </c>
    </row>
    <row r="4066" spans="1:5" x14ac:dyDescent="0.35">
      <c r="A4066" s="40">
        <v>44167</v>
      </c>
      <c r="B4066" s="38">
        <v>-38.200000000000003</v>
      </c>
      <c r="C4066" s="13" t="s">
        <v>1598</v>
      </c>
      <c r="D4066" s="36">
        <v>1209.5</v>
      </c>
      <c r="E4066" s="44" t="s">
        <v>3596</v>
      </c>
    </row>
    <row r="4067" spans="1:5" x14ac:dyDescent="0.35">
      <c r="A4067" s="40">
        <v>44167</v>
      </c>
      <c r="B4067" s="38">
        <v>-21</v>
      </c>
      <c r="C4067" s="13" t="s">
        <v>1734</v>
      </c>
      <c r="D4067" s="36">
        <v>1188.5</v>
      </c>
      <c r="E4067" s="44" t="s">
        <v>3596</v>
      </c>
    </row>
    <row r="4068" spans="1:5" x14ac:dyDescent="0.35">
      <c r="A4068" s="40">
        <v>44167</v>
      </c>
      <c r="B4068" s="38">
        <v>-21.99</v>
      </c>
      <c r="C4068" s="13" t="s">
        <v>1601</v>
      </c>
      <c r="D4068" s="36">
        <v>1322.07</v>
      </c>
      <c r="E4068" s="44" t="s">
        <v>3596</v>
      </c>
    </row>
    <row r="4069" spans="1:5" x14ac:dyDescent="0.35">
      <c r="A4069" s="40">
        <v>44166</v>
      </c>
      <c r="B4069" s="38">
        <v>-36.99</v>
      </c>
      <c r="C4069" s="13" t="s">
        <v>1604</v>
      </c>
      <c r="D4069" s="36">
        <v>1394.11</v>
      </c>
      <c r="E4069" s="44" t="s">
        <v>3596</v>
      </c>
    </row>
    <row r="4070" spans="1:5" x14ac:dyDescent="0.35">
      <c r="A4070" s="40">
        <v>44166</v>
      </c>
      <c r="B4070" s="38">
        <v>-11.65</v>
      </c>
      <c r="C4070" s="13" t="s">
        <v>1603</v>
      </c>
      <c r="D4070" s="36">
        <v>1382.46</v>
      </c>
      <c r="E4070" s="44" t="s">
        <v>3596</v>
      </c>
    </row>
    <row r="4071" spans="1:5" x14ac:dyDescent="0.35">
      <c r="A4071" s="40">
        <v>44166</v>
      </c>
      <c r="B4071" s="38">
        <v>-20</v>
      </c>
      <c r="C4071" s="13" t="s">
        <v>3385</v>
      </c>
      <c r="D4071" s="36">
        <v>1431.1</v>
      </c>
      <c r="E4071" s="44" t="s">
        <v>3596</v>
      </c>
    </row>
    <row r="4072" spans="1:5" x14ac:dyDescent="0.35">
      <c r="A4072" s="40">
        <v>44166</v>
      </c>
      <c r="B4072" s="38">
        <v>69</v>
      </c>
      <c r="C4072" s="13" t="s">
        <v>1238</v>
      </c>
      <c r="D4072" s="36">
        <v>1520.66</v>
      </c>
      <c r="E4072" s="44" t="s">
        <v>3596</v>
      </c>
    </row>
    <row r="4073" spans="1:5" x14ac:dyDescent="0.35">
      <c r="A4073" s="40">
        <v>44166</v>
      </c>
      <c r="B4073" s="38">
        <v>69.2</v>
      </c>
      <c r="C4073" s="13" t="s">
        <v>1242</v>
      </c>
      <c r="D4073" s="36">
        <v>1451.66</v>
      </c>
      <c r="E4073" s="44" t="s">
        <v>3596</v>
      </c>
    </row>
    <row r="4074" spans="1:5" x14ac:dyDescent="0.35">
      <c r="A4074" s="40">
        <v>44166</v>
      </c>
      <c r="B4074" s="38">
        <v>-176.6</v>
      </c>
      <c r="C4074" s="13" t="s">
        <v>1602</v>
      </c>
      <c r="D4074" s="36">
        <v>1344.06</v>
      </c>
      <c r="E4074" s="44" t="s">
        <v>3596</v>
      </c>
    </row>
    <row r="4075" spans="1:5" x14ac:dyDescent="0.35">
      <c r="A4075" s="40">
        <v>44164</v>
      </c>
      <c r="B4075" s="38">
        <v>22</v>
      </c>
      <c r="C4075" s="13" t="s">
        <v>1975</v>
      </c>
      <c r="D4075" s="36">
        <v>1451.1</v>
      </c>
      <c r="E4075" s="44" t="s">
        <v>3596</v>
      </c>
    </row>
    <row r="4076" spans="1:5" x14ac:dyDescent="0.35">
      <c r="A4076" s="40">
        <v>44164</v>
      </c>
      <c r="B4076" s="38">
        <v>1132.6300000000001</v>
      </c>
      <c r="C4076" s="13" t="s">
        <v>1605</v>
      </c>
      <c r="D4076" s="36">
        <v>1429.1</v>
      </c>
      <c r="E4076" s="44" t="s">
        <v>3596</v>
      </c>
    </row>
    <row r="4077" spans="1:5" x14ac:dyDescent="0.35">
      <c r="A4077" s="40">
        <v>44163</v>
      </c>
      <c r="B4077" s="38">
        <v>-60</v>
      </c>
      <c r="C4077" s="13" t="s">
        <v>1968</v>
      </c>
      <c r="D4077" s="36">
        <v>296.47000000000003</v>
      </c>
      <c r="E4077" s="44" t="s">
        <v>3596</v>
      </c>
    </row>
    <row r="4078" spans="1:5" x14ac:dyDescent="0.35">
      <c r="A4078" s="40">
        <v>44163</v>
      </c>
      <c r="B4078" s="38">
        <v>-10.59</v>
      </c>
      <c r="C4078" s="13" t="s">
        <v>1606</v>
      </c>
      <c r="D4078" s="36">
        <v>456.47</v>
      </c>
      <c r="E4078" s="44" t="s">
        <v>3596</v>
      </c>
    </row>
    <row r="4079" spans="1:5" x14ac:dyDescent="0.35">
      <c r="A4079" s="40">
        <v>44163</v>
      </c>
      <c r="B4079" s="38">
        <v>-100</v>
      </c>
      <c r="C4079" s="13" t="s">
        <v>946</v>
      </c>
      <c r="D4079" s="36">
        <v>356.47</v>
      </c>
      <c r="E4079" s="44" t="s">
        <v>3596</v>
      </c>
    </row>
    <row r="4080" spans="1:5" x14ac:dyDescent="0.35">
      <c r="A4080" s="40">
        <v>44162</v>
      </c>
      <c r="B4080" s="38">
        <v>-17.48</v>
      </c>
      <c r="C4080" s="13" t="s">
        <v>1579</v>
      </c>
      <c r="D4080" s="36">
        <v>467.06</v>
      </c>
      <c r="E4080" s="44" t="s">
        <v>3596</v>
      </c>
    </row>
    <row r="4081" spans="1:5" x14ac:dyDescent="0.35">
      <c r="A4081" s="40">
        <v>44162</v>
      </c>
      <c r="B4081" s="38">
        <v>-5000</v>
      </c>
      <c r="C4081" s="13" t="s">
        <v>1735</v>
      </c>
      <c r="D4081" s="36">
        <v>484.54</v>
      </c>
      <c r="E4081" s="44" t="s">
        <v>3596</v>
      </c>
    </row>
    <row r="4082" spans="1:5" x14ac:dyDescent="0.35">
      <c r="A4082" s="40">
        <v>44161</v>
      </c>
      <c r="B4082" s="38">
        <v>2143.4699999999998</v>
      </c>
      <c r="C4082" s="13" t="s">
        <v>1609</v>
      </c>
      <c r="D4082" s="36">
        <v>8013.54</v>
      </c>
      <c r="E4082" s="44" t="s">
        <v>3596</v>
      </c>
    </row>
    <row r="4083" spans="1:5" x14ac:dyDescent="0.35">
      <c r="A4083" s="40">
        <v>44161</v>
      </c>
      <c r="B4083" s="38">
        <v>-500</v>
      </c>
      <c r="C4083" s="13" t="s">
        <v>945</v>
      </c>
      <c r="D4083" s="36">
        <v>7513.54</v>
      </c>
      <c r="E4083" s="44" t="s">
        <v>3596</v>
      </c>
    </row>
    <row r="4084" spans="1:5" x14ac:dyDescent="0.35">
      <c r="A4084" s="40">
        <v>44161</v>
      </c>
      <c r="B4084" s="38">
        <v>-24</v>
      </c>
      <c r="C4084" s="13" t="s">
        <v>1608</v>
      </c>
      <c r="D4084" s="36">
        <v>7489.54</v>
      </c>
      <c r="E4084" s="44" t="s">
        <v>3596</v>
      </c>
    </row>
    <row r="4085" spans="1:5" x14ac:dyDescent="0.35">
      <c r="A4085" s="40">
        <v>44161</v>
      </c>
      <c r="B4085" s="38">
        <v>-5</v>
      </c>
      <c r="C4085" s="13" t="s">
        <v>1607</v>
      </c>
      <c r="D4085" s="36">
        <v>7484.54</v>
      </c>
      <c r="E4085" s="44" t="s">
        <v>3596</v>
      </c>
    </row>
    <row r="4086" spans="1:5" x14ac:dyDescent="0.35">
      <c r="A4086" s="40">
        <v>44161</v>
      </c>
      <c r="B4086" s="38">
        <v>-2000</v>
      </c>
      <c r="C4086" s="13" t="s">
        <v>1736</v>
      </c>
      <c r="D4086" s="36">
        <v>5484.54</v>
      </c>
      <c r="E4086" s="44" t="s">
        <v>3596</v>
      </c>
    </row>
    <row r="4087" spans="1:5" x14ac:dyDescent="0.35">
      <c r="A4087" s="40">
        <v>44160</v>
      </c>
      <c r="B4087" s="38">
        <v>-24.99</v>
      </c>
      <c r="C4087" s="13" t="s">
        <v>1610</v>
      </c>
      <c r="D4087" s="36">
        <v>5870.07</v>
      </c>
      <c r="E4087" s="44" t="s">
        <v>3596</v>
      </c>
    </row>
    <row r="4088" spans="1:5" x14ac:dyDescent="0.35">
      <c r="A4088" s="40">
        <v>44160</v>
      </c>
      <c r="B4088" s="38">
        <v>-22.49</v>
      </c>
      <c r="C4088" s="13" t="s">
        <v>1612</v>
      </c>
      <c r="D4088" s="36">
        <v>5938.85</v>
      </c>
      <c r="E4088" s="44" t="s">
        <v>3596</v>
      </c>
    </row>
    <row r="4089" spans="1:5" x14ac:dyDescent="0.35">
      <c r="A4089" s="40">
        <v>44160</v>
      </c>
      <c r="B4089" s="38">
        <v>-27.89</v>
      </c>
      <c r="C4089" s="13" t="s">
        <v>1612</v>
      </c>
      <c r="D4089" s="36">
        <v>5961.34</v>
      </c>
      <c r="E4089" s="44" t="s">
        <v>3596</v>
      </c>
    </row>
    <row r="4090" spans="1:5" x14ac:dyDescent="0.35">
      <c r="A4090" s="40">
        <v>44160</v>
      </c>
      <c r="B4090" s="38">
        <v>-43.79</v>
      </c>
      <c r="C4090" s="13" t="s">
        <v>1611</v>
      </c>
      <c r="D4090" s="36">
        <v>5895.06</v>
      </c>
      <c r="E4090" s="44" t="s">
        <v>3596</v>
      </c>
    </row>
    <row r="4091" spans="1:5" x14ac:dyDescent="0.35">
      <c r="A4091" s="40">
        <v>44159</v>
      </c>
      <c r="B4091" s="38">
        <v>-20.68</v>
      </c>
      <c r="C4091" s="13" t="s">
        <v>1613</v>
      </c>
      <c r="D4091" s="36">
        <v>5989.23</v>
      </c>
      <c r="E4091" s="44" t="s">
        <v>3596</v>
      </c>
    </row>
    <row r="4092" spans="1:5" x14ac:dyDescent="0.35">
      <c r="A4092" s="40">
        <v>44158</v>
      </c>
      <c r="B4092" s="38">
        <v>-22.01</v>
      </c>
      <c r="C4092" s="13" t="s">
        <v>1471</v>
      </c>
      <c r="D4092" s="36">
        <v>6009.91</v>
      </c>
      <c r="E4092" s="44" t="s">
        <v>3596</v>
      </c>
    </row>
    <row r="4093" spans="1:5" x14ac:dyDescent="0.35">
      <c r="A4093" s="40">
        <v>44156</v>
      </c>
      <c r="B4093" s="38">
        <v>-40</v>
      </c>
      <c r="C4093" s="13" t="s">
        <v>1695</v>
      </c>
      <c r="D4093" s="36">
        <v>6031.92</v>
      </c>
      <c r="E4093" s="44" t="s">
        <v>3596</v>
      </c>
    </row>
    <row r="4094" spans="1:5" x14ac:dyDescent="0.35">
      <c r="A4094" s="40">
        <v>44156</v>
      </c>
      <c r="B4094" s="38">
        <v>-100</v>
      </c>
      <c r="C4094" s="13" t="s">
        <v>946</v>
      </c>
      <c r="D4094" s="36">
        <v>6071.92</v>
      </c>
      <c r="E4094" s="44" t="s">
        <v>3596</v>
      </c>
    </row>
    <row r="4095" spans="1:5" x14ac:dyDescent="0.35">
      <c r="A4095" s="40">
        <v>44155</v>
      </c>
      <c r="B4095" s="38">
        <v>-273.08999999999997</v>
      </c>
      <c r="C4095" s="13" t="s">
        <v>1615</v>
      </c>
      <c r="D4095" s="36">
        <v>6171.92</v>
      </c>
      <c r="E4095" s="44" t="s">
        <v>3596</v>
      </c>
    </row>
    <row r="4096" spans="1:5" x14ac:dyDescent="0.35">
      <c r="A4096" s="40">
        <v>44154</v>
      </c>
      <c r="B4096" s="38">
        <v>-50.4</v>
      </c>
      <c r="C4096" s="13" t="s">
        <v>1618</v>
      </c>
      <c r="D4096" s="36">
        <v>6462.01</v>
      </c>
      <c r="E4096" s="44" t="s">
        <v>3596</v>
      </c>
    </row>
    <row r="4097" spans="1:5" x14ac:dyDescent="0.35">
      <c r="A4097" s="40">
        <v>44154</v>
      </c>
      <c r="B4097" s="38">
        <v>-5</v>
      </c>
      <c r="C4097" s="13" t="s">
        <v>1616</v>
      </c>
      <c r="D4097" s="36">
        <v>6445.01</v>
      </c>
      <c r="E4097" s="44" t="s">
        <v>3596</v>
      </c>
    </row>
    <row r="4098" spans="1:5" x14ac:dyDescent="0.35">
      <c r="A4098" s="40">
        <v>44154</v>
      </c>
      <c r="B4098" s="38">
        <v>-12</v>
      </c>
      <c r="C4098" s="13" t="s">
        <v>1617</v>
      </c>
      <c r="D4098" s="36">
        <v>6450.01</v>
      </c>
      <c r="E4098" s="44" t="s">
        <v>3596</v>
      </c>
    </row>
    <row r="4099" spans="1:5" x14ac:dyDescent="0.35">
      <c r="A4099" s="40">
        <v>44153</v>
      </c>
      <c r="B4099" s="38">
        <v>-39.49</v>
      </c>
      <c r="C4099" s="13" t="s">
        <v>1621</v>
      </c>
      <c r="D4099" s="36">
        <v>6565.19</v>
      </c>
      <c r="E4099" s="44" t="s">
        <v>3596</v>
      </c>
    </row>
    <row r="4100" spans="1:5" x14ac:dyDescent="0.35">
      <c r="A4100" s="40">
        <v>44153</v>
      </c>
      <c r="B4100" s="38">
        <v>-28.89</v>
      </c>
      <c r="C4100" s="13" t="s">
        <v>1619</v>
      </c>
      <c r="D4100" s="36">
        <v>6512.41</v>
      </c>
      <c r="E4100" s="44" t="s">
        <v>3596</v>
      </c>
    </row>
    <row r="4101" spans="1:5" x14ac:dyDescent="0.35">
      <c r="A4101" s="40">
        <v>44153</v>
      </c>
      <c r="B4101" s="38">
        <v>-23.89</v>
      </c>
      <c r="C4101" s="13" t="s">
        <v>1620</v>
      </c>
      <c r="D4101" s="36">
        <v>6541.3</v>
      </c>
      <c r="E4101" s="44" t="s">
        <v>3596</v>
      </c>
    </row>
    <row r="4102" spans="1:5" x14ac:dyDescent="0.35">
      <c r="A4102" s="40">
        <v>44152</v>
      </c>
      <c r="B4102" s="38">
        <v>-240</v>
      </c>
      <c r="C4102" s="13" t="s">
        <v>1696</v>
      </c>
      <c r="D4102" s="36">
        <v>6630.66</v>
      </c>
      <c r="E4102" s="44" t="s">
        <v>3596</v>
      </c>
    </row>
    <row r="4103" spans="1:5" x14ac:dyDescent="0.35">
      <c r="A4103" s="40">
        <v>44152</v>
      </c>
      <c r="B4103" s="38">
        <v>-25.14</v>
      </c>
      <c r="C4103" s="13" t="s">
        <v>1624</v>
      </c>
      <c r="D4103" s="36">
        <v>7012.85</v>
      </c>
      <c r="E4103" s="44" t="s">
        <v>3596</v>
      </c>
    </row>
    <row r="4104" spans="1:5" x14ac:dyDescent="0.35">
      <c r="A4104" s="40">
        <v>44152</v>
      </c>
      <c r="B4104" s="38">
        <v>-2.5</v>
      </c>
      <c r="C4104" s="13" t="s">
        <v>24</v>
      </c>
      <c r="D4104" s="36">
        <v>6628.16</v>
      </c>
      <c r="E4104" s="44" t="s">
        <v>3596</v>
      </c>
    </row>
    <row r="4105" spans="1:5" x14ac:dyDescent="0.35">
      <c r="A4105" s="40">
        <v>44152</v>
      </c>
      <c r="B4105" s="38">
        <v>-4.1399999999999997</v>
      </c>
      <c r="C4105" s="13" t="s">
        <v>1622</v>
      </c>
      <c r="D4105" s="36">
        <v>6870.66</v>
      </c>
      <c r="E4105" s="44" t="s">
        <v>3596</v>
      </c>
    </row>
    <row r="4106" spans="1:5" x14ac:dyDescent="0.35">
      <c r="A4106" s="40">
        <v>44152</v>
      </c>
      <c r="B4106" s="38">
        <v>-138.05000000000001</v>
      </c>
      <c r="C4106" s="13" t="s">
        <v>1623</v>
      </c>
      <c r="D4106" s="36">
        <v>6874.8</v>
      </c>
      <c r="E4106" s="44" t="s">
        <v>3596</v>
      </c>
    </row>
    <row r="4107" spans="1:5" x14ac:dyDescent="0.35">
      <c r="A4107" s="40">
        <v>44152</v>
      </c>
      <c r="B4107" s="38">
        <v>-23.48</v>
      </c>
      <c r="C4107" s="13" t="s">
        <v>1490</v>
      </c>
      <c r="D4107" s="36">
        <v>6604.68</v>
      </c>
      <c r="E4107" s="44" t="s">
        <v>3596</v>
      </c>
    </row>
    <row r="4108" spans="1:5" x14ac:dyDescent="0.35">
      <c r="A4108" s="40">
        <v>44151</v>
      </c>
      <c r="B4108" s="38">
        <v>-10.1</v>
      </c>
      <c r="C4108" s="13" t="s">
        <v>1625</v>
      </c>
      <c r="D4108" s="36">
        <v>7086.51</v>
      </c>
      <c r="E4108" s="44" t="s">
        <v>3596</v>
      </c>
    </row>
    <row r="4109" spans="1:5" x14ac:dyDescent="0.35">
      <c r="A4109" s="40">
        <v>44151</v>
      </c>
      <c r="B4109" s="38">
        <v>-48.52</v>
      </c>
      <c r="C4109" s="13" t="s">
        <v>1471</v>
      </c>
      <c r="D4109" s="36">
        <v>7037.99</v>
      </c>
      <c r="E4109" s="44" t="s">
        <v>3596</v>
      </c>
    </row>
    <row r="4110" spans="1:5" x14ac:dyDescent="0.35">
      <c r="A4110" s="40">
        <v>44149</v>
      </c>
      <c r="B4110" s="38">
        <v>-40</v>
      </c>
      <c r="C4110" s="13" t="s">
        <v>1697</v>
      </c>
      <c r="D4110" s="36">
        <v>7099.11</v>
      </c>
      <c r="E4110" s="44" t="s">
        <v>3596</v>
      </c>
    </row>
    <row r="4111" spans="1:5" x14ac:dyDescent="0.35">
      <c r="A4111" s="40">
        <v>44149</v>
      </c>
      <c r="B4111" s="38">
        <v>-350</v>
      </c>
      <c r="C4111" s="13" t="s">
        <v>1697</v>
      </c>
      <c r="D4111" s="36">
        <v>7141.61</v>
      </c>
      <c r="E4111" s="44" t="s">
        <v>3596</v>
      </c>
    </row>
    <row r="4112" spans="1:5" x14ac:dyDescent="0.35">
      <c r="A4112" s="40">
        <v>44149</v>
      </c>
      <c r="B4112" s="38">
        <v>-2.5</v>
      </c>
      <c r="C4112" s="13" t="s">
        <v>24</v>
      </c>
      <c r="D4112" s="36">
        <v>7096.61</v>
      </c>
      <c r="E4112" s="44" t="s">
        <v>3596</v>
      </c>
    </row>
    <row r="4113" spans="1:5" x14ac:dyDescent="0.35">
      <c r="A4113" s="40">
        <v>44149</v>
      </c>
      <c r="B4113" s="38">
        <v>-2.5</v>
      </c>
      <c r="C4113" s="13" t="s">
        <v>24</v>
      </c>
      <c r="D4113" s="36">
        <v>7139.11</v>
      </c>
      <c r="E4113" s="44" t="s">
        <v>3596</v>
      </c>
    </row>
    <row r="4114" spans="1:5" x14ac:dyDescent="0.35">
      <c r="A4114" s="40">
        <v>44149</v>
      </c>
      <c r="B4114" s="38">
        <v>-100</v>
      </c>
      <c r="C4114" s="13" t="s">
        <v>946</v>
      </c>
      <c r="D4114" s="36">
        <v>7491.61</v>
      </c>
      <c r="E4114" s="44" t="s">
        <v>3596</v>
      </c>
    </row>
    <row r="4115" spans="1:5" x14ac:dyDescent="0.35">
      <c r="A4115" s="40">
        <v>44148</v>
      </c>
      <c r="B4115" s="38">
        <v>-32.9</v>
      </c>
      <c r="C4115" s="13" t="s">
        <v>1626</v>
      </c>
      <c r="D4115" s="36">
        <v>7591.61</v>
      </c>
      <c r="E4115" s="44" t="s">
        <v>3596</v>
      </c>
    </row>
    <row r="4116" spans="1:5" x14ac:dyDescent="0.35">
      <c r="A4116" s="40">
        <v>44148</v>
      </c>
      <c r="B4116" s="38">
        <v>-174.2</v>
      </c>
      <c r="C4116" s="13" t="s">
        <v>1627</v>
      </c>
      <c r="D4116" s="36">
        <v>7624.51</v>
      </c>
      <c r="E4116" s="44" t="s">
        <v>3596</v>
      </c>
    </row>
    <row r="4117" spans="1:5" x14ac:dyDescent="0.35">
      <c r="A4117" s="40">
        <v>44147</v>
      </c>
      <c r="B4117" s="38">
        <v>2227.4699999999998</v>
      </c>
      <c r="C4117" s="13" t="s">
        <v>1578</v>
      </c>
      <c r="D4117" s="36">
        <v>8240.7099999999991</v>
      </c>
      <c r="E4117" s="44" t="s">
        <v>3596</v>
      </c>
    </row>
    <row r="4118" spans="1:5" x14ac:dyDescent="0.35">
      <c r="A4118" s="40">
        <v>44147</v>
      </c>
      <c r="B4118" s="38">
        <v>-500</v>
      </c>
      <c r="C4118" s="13" t="s">
        <v>945</v>
      </c>
      <c r="D4118" s="36">
        <v>7740.71</v>
      </c>
      <c r="E4118" s="44" t="s">
        <v>3596</v>
      </c>
    </row>
    <row r="4119" spans="1:5" x14ac:dyDescent="0.35">
      <c r="A4119" s="40">
        <v>44147</v>
      </c>
      <c r="B4119" s="38">
        <v>58</v>
      </c>
      <c r="C4119" s="13" t="s">
        <v>1238</v>
      </c>
      <c r="D4119" s="36">
        <v>7798.71</v>
      </c>
      <c r="E4119" s="44" t="s">
        <v>3596</v>
      </c>
    </row>
    <row r="4120" spans="1:5" x14ac:dyDescent="0.35">
      <c r="A4120" s="40">
        <v>44146</v>
      </c>
      <c r="B4120" s="38">
        <v>-40.799999999999997</v>
      </c>
      <c r="C4120" s="13" t="s">
        <v>1628</v>
      </c>
      <c r="D4120" s="36">
        <v>5979.24</v>
      </c>
      <c r="E4120" s="44" t="s">
        <v>3596</v>
      </c>
    </row>
    <row r="4121" spans="1:5" x14ac:dyDescent="0.35">
      <c r="A4121" s="40">
        <v>44146</v>
      </c>
      <c r="B4121" s="38">
        <v>-32.799999999999997</v>
      </c>
      <c r="C4121" s="13" t="s">
        <v>1629</v>
      </c>
      <c r="D4121" s="36">
        <v>6020.04</v>
      </c>
      <c r="E4121" s="44" t="s">
        <v>3596</v>
      </c>
    </row>
    <row r="4122" spans="1:5" x14ac:dyDescent="0.35">
      <c r="A4122" s="40">
        <v>44146</v>
      </c>
      <c r="B4122" s="38">
        <v>34</v>
      </c>
      <c r="C4122" s="13" t="s">
        <v>1969</v>
      </c>
      <c r="D4122" s="36">
        <v>6013.24</v>
      </c>
      <c r="E4122" s="44" t="s">
        <v>3596</v>
      </c>
    </row>
    <row r="4123" spans="1:5" x14ac:dyDescent="0.35">
      <c r="A4123" s="40">
        <v>44145</v>
      </c>
      <c r="B4123" s="38">
        <v>-43.79</v>
      </c>
      <c r="C4123" s="13" t="s">
        <v>1631</v>
      </c>
      <c r="D4123" s="36">
        <v>6142.34</v>
      </c>
      <c r="E4123" s="44" t="s">
        <v>3596</v>
      </c>
    </row>
    <row r="4124" spans="1:5" x14ac:dyDescent="0.35">
      <c r="A4124" s="40">
        <v>44145</v>
      </c>
      <c r="B4124" s="38">
        <v>-33</v>
      </c>
      <c r="C4124" s="13" t="s">
        <v>1630</v>
      </c>
      <c r="D4124" s="36">
        <v>6109.34</v>
      </c>
      <c r="E4124" s="44" t="s">
        <v>3596</v>
      </c>
    </row>
    <row r="4125" spans="1:5" x14ac:dyDescent="0.35">
      <c r="A4125" s="40">
        <v>44145</v>
      </c>
      <c r="B4125" s="38">
        <v>-56.5</v>
      </c>
      <c r="C4125" s="13" t="s">
        <v>1471</v>
      </c>
      <c r="D4125" s="36">
        <v>6052.84</v>
      </c>
      <c r="E4125" s="44" t="s">
        <v>3596</v>
      </c>
    </row>
    <row r="4126" spans="1:5" x14ac:dyDescent="0.35">
      <c r="A4126" s="40">
        <v>44144</v>
      </c>
      <c r="B4126" s="38">
        <v>30</v>
      </c>
      <c r="C4126" s="13" t="s">
        <v>1969</v>
      </c>
      <c r="D4126" s="36">
        <v>6245.13</v>
      </c>
      <c r="E4126" s="44" t="s">
        <v>3596</v>
      </c>
    </row>
    <row r="4127" spans="1:5" x14ac:dyDescent="0.35">
      <c r="A4127" s="40">
        <v>44144</v>
      </c>
      <c r="B4127" s="38">
        <v>-20</v>
      </c>
      <c r="C4127" s="13" t="s">
        <v>1677</v>
      </c>
      <c r="D4127" s="36">
        <v>6215.13</v>
      </c>
      <c r="E4127" s="44" t="s">
        <v>3596</v>
      </c>
    </row>
    <row r="4128" spans="1:5" x14ac:dyDescent="0.35">
      <c r="A4128" s="40">
        <v>44144</v>
      </c>
      <c r="B4128" s="38">
        <v>-59</v>
      </c>
      <c r="C4128" s="13" t="s">
        <v>37</v>
      </c>
      <c r="D4128" s="36">
        <v>6186.13</v>
      </c>
      <c r="E4128" s="44" t="s">
        <v>3596</v>
      </c>
    </row>
    <row r="4129" spans="1:5" x14ac:dyDescent="0.35">
      <c r="A4129" s="40">
        <v>44143</v>
      </c>
      <c r="B4129" s="38">
        <v>20</v>
      </c>
      <c r="C4129" s="13" t="s">
        <v>1745</v>
      </c>
      <c r="D4129" s="36">
        <v>6256.13</v>
      </c>
      <c r="E4129" s="44" t="s">
        <v>3596</v>
      </c>
    </row>
    <row r="4130" spans="1:5" x14ac:dyDescent="0.35">
      <c r="A4130" s="40">
        <v>44143</v>
      </c>
      <c r="B4130" s="38">
        <v>-20</v>
      </c>
      <c r="C4130" s="13" t="s">
        <v>1678</v>
      </c>
      <c r="D4130" s="36">
        <v>6236.13</v>
      </c>
      <c r="E4130" s="44" t="s">
        <v>3596</v>
      </c>
    </row>
    <row r="4131" spans="1:5" x14ac:dyDescent="0.35">
      <c r="A4131" s="40">
        <v>44143</v>
      </c>
      <c r="B4131" s="38">
        <v>-21</v>
      </c>
      <c r="C4131" s="13" t="s">
        <v>1737</v>
      </c>
      <c r="D4131" s="36">
        <v>6235.13</v>
      </c>
      <c r="E4131" s="44" t="s">
        <v>3596</v>
      </c>
    </row>
    <row r="4132" spans="1:5" x14ac:dyDescent="0.35">
      <c r="A4132" s="40">
        <v>44142</v>
      </c>
      <c r="B4132" s="38">
        <v>-10.99</v>
      </c>
      <c r="C4132" s="13" t="s">
        <v>1634</v>
      </c>
      <c r="D4132" s="36">
        <v>6357.99</v>
      </c>
      <c r="E4132" s="44" t="s">
        <v>3596</v>
      </c>
    </row>
    <row r="4133" spans="1:5" x14ac:dyDescent="0.35">
      <c r="A4133" s="40">
        <v>44142</v>
      </c>
      <c r="B4133" s="38">
        <v>-100</v>
      </c>
      <c r="C4133" s="13" t="s">
        <v>946</v>
      </c>
      <c r="D4133" s="36">
        <v>6256.13</v>
      </c>
      <c r="E4133" s="44" t="s">
        <v>3596</v>
      </c>
    </row>
    <row r="4134" spans="1:5" x14ac:dyDescent="0.35">
      <c r="A4134" s="40">
        <v>44142</v>
      </c>
      <c r="B4134" s="38">
        <v>-1.86</v>
      </c>
      <c r="C4134" s="13" t="s">
        <v>1633</v>
      </c>
      <c r="D4134" s="36">
        <v>6356.13</v>
      </c>
      <c r="E4134" s="44" t="s">
        <v>3596</v>
      </c>
    </row>
    <row r="4135" spans="1:5" x14ac:dyDescent="0.35">
      <c r="A4135" s="40">
        <v>44139</v>
      </c>
      <c r="B4135" s="38">
        <v>-23.5</v>
      </c>
      <c r="C4135" s="13" t="s">
        <v>1635</v>
      </c>
      <c r="D4135" s="36">
        <v>6379.57</v>
      </c>
      <c r="E4135" s="44" t="s">
        <v>3596</v>
      </c>
    </row>
    <row r="4136" spans="1:5" x14ac:dyDescent="0.35">
      <c r="A4136" s="40">
        <v>44139</v>
      </c>
      <c r="B4136" s="38">
        <v>-10.59</v>
      </c>
      <c r="C4136" s="13" t="s">
        <v>1471</v>
      </c>
      <c r="D4136" s="36">
        <v>6368.98</v>
      </c>
      <c r="E4136" s="44" t="s">
        <v>3596</v>
      </c>
    </row>
    <row r="4137" spans="1:5" x14ac:dyDescent="0.35">
      <c r="A4137" s="40">
        <v>44138</v>
      </c>
      <c r="B4137" s="38">
        <v>-14.88</v>
      </c>
      <c r="C4137" s="13" t="s">
        <v>1471</v>
      </c>
      <c r="D4137" s="36">
        <v>6403.07</v>
      </c>
      <c r="E4137" s="44" t="s">
        <v>3596</v>
      </c>
    </row>
    <row r="4138" spans="1:5" x14ac:dyDescent="0.35">
      <c r="A4138" s="40">
        <v>44138</v>
      </c>
      <c r="B4138" s="38">
        <v>-14.99</v>
      </c>
      <c r="C4138" s="13" t="s">
        <v>1636</v>
      </c>
      <c r="D4138" s="36">
        <v>6417.95</v>
      </c>
      <c r="E4138" s="44" t="s">
        <v>3596</v>
      </c>
    </row>
    <row r="4139" spans="1:5" x14ac:dyDescent="0.35">
      <c r="A4139" s="40">
        <v>44137</v>
      </c>
      <c r="B4139" s="38">
        <v>-172.99</v>
      </c>
      <c r="C4139" s="13" t="s">
        <v>1637</v>
      </c>
      <c r="D4139" s="36">
        <v>6432.94</v>
      </c>
      <c r="E4139" s="44" t="s">
        <v>3596</v>
      </c>
    </row>
    <row r="4140" spans="1:5" x14ac:dyDescent="0.35">
      <c r="A4140" s="40">
        <v>44136</v>
      </c>
      <c r="B4140" s="38">
        <v>-20</v>
      </c>
      <c r="C4140" s="13" t="s">
        <v>3385</v>
      </c>
      <c r="D4140" s="36">
        <v>6642.39</v>
      </c>
      <c r="E4140" s="44" t="s">
        <v>3596</v>
      </c>
    </row>
    <row r="4141" spans="1:5" x14ac:dyDescent="0.35">
      <c r="A4141" s="40">
        <v>44136</v>
      </c>
      <c r="B4141" s="38">
        <v>-36.46</v>
      </c>
      <c r="C4141" s="13" t="s">
        <v>1471</v>
      </c>
      <c r="D4141" s="36">
        <v>6605.93</v>
      </c>
      <c r="E4141" s="44" t="s">
        <v>3596</v>
      </c>
    </row>
    <row r="4142" spans="1:5" x14ac:dyDescent="0.35">
      <c r="A4142" s="40">
        <v>44135</v>
      </c>
      <c r="B4142" s="38">
        <v>-31.15</v>
      </c>
      <c r="C4142" s="13" t="s">
        <v>1638</v>
      </c>
      <c r="D4142" s="36">
        <v>6662.39</v>
      </c>
      <c r="E4142" s="44" t="s">
        <v>3596</v>
      </c>
    </row>
    <row r="4143" spans="1:5" x14ac:dyDescent="0.35">
      <c r="A4143" s="40">
        <v>44135</v>
      </c>
      <c r="B4143" s="38">
        <v>-100</v>
      </c>
      <c r="C4143" s="13" t="s">
        <v>946</v>
      </c>
      <c r="D4143" s="36">
        <v>6693.54</v>
      </c>
      <c r="E4143" s="44" t="s">
        <v>3596</v>
      </c>
    </row>
    <row r="4144" spans="1:5" x14ac:dyDescent="0.35">
      <c r="A4144" s="40">
        <v>44134</v>
      </c>
      <c r="B4144" s="38">
        <v>-7.53</v>
      </c>
      <c r="C4144" s="13" t="s">
        <v>1639</v>
      </c>
      <c r="D4144" s="36">
        <v>6793.54</v>
      </c>
      <c r="E4144" s="44" t="s">
        <v>3596</v>
      </c>
    </row>
    <row r="4145" spans="1:5" x14ac:dyDescent="0.35">
      <c r="A4145" s="40">
        <v>44133</v>
      </c>
      <c r="B4145" s="38">
        <v>2101.4699999999998</v>
      </c>
      <c r="C4145" s="13" t="s">
        <v>1640</v>
      </c>
      <c r="D4145" s="36">
        <v>7301.07</v>
      </c>
      <c r="E4145" s="43" t="s">
        <v>3596</v>
      </c>
    </row>
    <row r="4146" spans="1:5" x14ac:dyDescent="0.35">
      <c r="A4146" s="40">
        <v>44133</v>
      </c>
      <c r="B4146" s="38">
        <v>-500</v>
      </c>
      <c r="C4146" s="13" t="s">
        <v>945</v>
      </c>
      <c r="D4146" s="36">
        <v>6801.07</v>
      </c>
      <c r="E4146" s="43" t="s">
        <v>3596</v>
      </c>
    </row>
    <row r="4147" spans="1:5" x14ac:dyDescent="0.35">
      <c r="A4147" s="40">
        <v>44132</v>
      </c>
      <c r="B4147" s="38">
        <v>-23.89</v>
      </c>
      <c r="C4147" s="13" t="s">
        <v>1641</v>
      </c>
      <c r="D4147" s="36">
        <v>5251.96</v>
      </c>
      <c r="E4147" s="43" t="s">
        <v>3596</v>
      </c>
    </row>
    <row r="4148" spans="1:5" x14ac:dyDescent="0.35">
      <c r="A4148" s="40">
        <v>44132</v>
      </c>
      <c r="B4148" s="38">
        <v>-23.89</v>
      </c>
      <c r="C4148" s="13" t="s">
        <v>1642</v>
      </c>
      <c r="D4148" s="36">
        <v>5275.85</v>
      </c>
      <c r="E4148" s="43" t="s">
        <v>3596</v>
      </c>
    </row>
    <row r="4149" spans="1:5" x14ac:dyDescent="0.35">
      <c r="A4149" s="40">
        <v>44132</v>
      </c>
      <c r="B4149" s="38">
        <v>-30</v>
      </c>
      <c r="C4149" s="13" t="s">
        <v>1643</v>
      </c>
      <c r="D4149" s="36">
        <v>5299.74</v>
      </c>
      <c r="E4149" s="43" t="s">
        <v>3596</v>
      </c>
    </row>
    <row r="4150" spans="1:5" x14ac:dyDescent="0.35">
      <c r="A4150" s="40">
        <v>44132</v>
      </c>
      <c r="B4150" s="38">
        <v>-52.36</v>
      </c>
      <c r="C4150" s="13" t="s">
        <v>1490</v>
      </c>
      <c r="D4150" s="36">
        <v>5199.6000000000004</v>
      </c>
      <c r="E4150" s="43" t="s">
        <v>3596</v>
      </c>
    </row>
    <row r="4151" spans="1:5" x14ac:dyDescent="0.35">
      <c r="A4151" s="40">
        <v>44130</v>
      </c>
      <c r="B4151" s="38">
        <v>-100</v>
      </c>
      <c r="C4151" s="13" t="s">
        <v>1963</v>
      </c>
      <c r="D4151" s="36">
        <v>5329.74</v>
      </c>
      <c r="E4151" s="43" t="s">
        <v>3596</v>
      </c>
    </row>
    <row r="4152" spans="1:5" x14ac:dyDescent="0.35">
      <c r="A4152" s="40">
        <v>44130</v>
      </c>
      <c r="B4152" s="38">
        <v>-28.63</v>
      </c>
      <c r="C4152" s="13" t="s">
        <v>1471</v>
      </c>
      <c r="D4152" s="36">
        <v>5429.74</v>
      </c>
      <c r="E4152" s="43" t="s">
        <v>3596</v>
      </c>
    </row>
    <row r="4153" spans="1:5" x14ac:dyDescent="0.35">
      <c r="A4153" s="40">
        <v>44128</v>
      </c>
      <c r="B4153" s="38">
        <v>-25.99</v>
      </c>
      <c r="C4153" s="13" t="s">
        <v>1644</v>
      </c>
      <c r="D4153" s="36">
        <v>5542.37</v>
      </c>
      <c r="E4153" s="43" t="s">
        <v>3596</v>
      </c>
    </row>
    <row r="4154" spans="1:5" x14ac:dyDescent="0.35">
      <c r="A4154" s="40">
        <v>44128</v>
      </c>
      <c r="B4154" s="38">
        <v>-100</v>
      </c>
      <c r="C4154" s="13" t="s">
        <v>946</v>
      </c>
      <c r="D4154" s="36">
        <v>5442.37</v>
      </c>
      <c r="E4154" s="43" t="s">
        <v>3596</v>
      </c>
    </row>
    <row r="4155" spans="1:5" x14ac:dyDescent="0.35">
      <c r="A4155" s="40">
        <v>44128</v>
      </c>
      <c r="B4155" s="38">
        <v>16</v>
      </c>
      <c r="C4155" s="13" t="s">
        <v>1976</v>
      </c>
      <c r="D4155" s="36">
        <v>5458.37</v>
      </c>
      <c r="E4155" s="43" t="s">
        <v>3596</v>
      </c>
    </row>
    <row r="4156" spans="1:5" x14ac:dyDescent="0.35">
      <c r="A4156" s="40">
        <v>44125</v>
      </c>
      <c r="B4156" s="38">
        <v>-53.8</v>
      </c>
      <c r="C4156" s="13" t="s">
        <v>1645</v>
      </c>
      <c r="D4156" s="36">
        <v>5568.36</v>
      </c>
      <c r="E4156" s="43" t="s">
        <v>3596</v>
      </c>
    </row>
    <row r="4157" spans="1:5" x14ac:dyDescent="0.35">
      <c r="A4157" s="40">
        <v>44124</v>
      </c>
      <c r="B4157" s="38">
        <v>-23.89</v>
      </c>
      <c r="C4157" s="13" t="s">
        <v>1647</v>
      </c>
      <c r="D4157" s="36">
        <v>5586.22</v>
      </c>
      <c r="E4157" s="43" t="s">
        <v>3596</v>
      </c>
    </row>
    <row r="4158" spans="1:5" x14ac:dyDescent="0.35">
      <c r="A4158" s="40">
        <v>44124</v>
      </c>
      <c r="B4158" s="38">
        <v>20.12</v>
      </c>
      <c r="C4158" s="13" t="s">
        <v>1648</v>
      </c>
      <c r="D4158" s="36">
        <v>5610.11</v>
      </c>
      <c r="E4158" s="43" t="s">
        <v>3596</v>
      </c>
    </row>
    <row r="4159" spans="1:5" x14ac:dyDescent="0.35">
      <c r="A4159" s="40">
        <v>44124</v>
      </c>
      <c r="B4159" s="38">
        <v>63</v>
      </c>
      <c r="C4159" s="13" t="s">
        <v>1242</v>
      </c>
      <c r="D4159" s="36">
        <v>5622.16</v>
      </c>
      <c r="E4159" s="43" t="s">
        <v>3596</v>
      </c>
    </row>
    <row r="4160" spans="1:5" x14ac:dyDescent="0.35">
      <c r="A4160" s="40">
        <v>44124</v>
      </c>
      <c r="B4160" s="38">
        <v>-27.06</v>
      </c>
      <c r="C4160" s="13" t="s">
        <v>1646</v>
      </c>
      <c r="D4160" s="36">
        <v>5559.16</v>
      </c>
      <c r="E4160" s="43" t="s">
        <v>3596</v>
      </c>
    </row>
    <row r="4161" spans="1:5" x14ac:dyDescent="0.35">
      <c r="A4161" s="40">
        <v>44123</v>
      </c>
      <c r="B4161" s="38">
        <v>-22</v>
      </c>
      <c r="C4161" s="13" t="s">
        <v>1970</v>
      </c>
      <c r="D4161" s="36">
        <v>5754.99</v>
      </c>
      <c r="E4161" s="43" t="s">
        <v>3596</v>
      </c>
    </row>
    <row r="4162" spans="1:5" x14ac:dyDescent="0.35">
      <c r="A4162" s="40">
        <v>44123</v>
      </c>
      <c r="B4162" s="38">
        <v>-165</v>
      </c>
      <c r="C4162" s="13" t="s">
        <v>1738</v>
      </c>
      <c r="D4162" s="36">
        <v>5589.99</v>
      </c>
      <c r="E4162" s="43" t="s">
        <v>3596</v>
      </c>
    </row>
    <row r="4163" spans="1:5" x14ac:dyDescent="0.35">
      <c r="A4163" s="40">
        <v>44121</v>
      </c>
      <c r="B4163" s="38">
        <v>-22</v>
      </c>
      <c r="C4163" s="13" t="s">
        <v>1679</v>
      </c>
      <c r="D4163" s="36">
        <v>5776.99</v>
      </c>
      <c r="E4163" s="43" t="s">
        <v>3596</v>
      </c>
    </row>
    <row r="4164" spans="1:5" x14ac:dyDescent="0.35">
      <c r="A4164" s="40">
        <v>44121</v>
      </c>
      <c r="B4164" s="38">
        <v>-100</v>
      </c>
      <c r="C4164" s="13" t="s">
        <v>946</v>
      </c>
      <c r="D4164" s="36">
        <v>5798.99</v>
      </c>
      <c r="E4164" s="43" t="s">
        <v>3596</v>
      </c>
    </row>
    <row r="4165" spans="1:5" x14ac:dyDescent="0.35">
      <c r="A4165" s="40">
        <v>44120</v>
      </c>
      <c r="B4165" s="38">
        <v>-67.08</v>
      </c>
      <c r="C4165" s="13" t="s">
        <v>1650</v>
      </c>
      <c r="D4165" s="36">
        <v>5927.99</v>
      </c>
      <c r="E4165" s="43" t="s">
        <v>3596</v>
      </c>
    </row>
    <row r="4166" spans="1:5" x14ac:dyDescent="0.35">
      <c r="A4166" s="40">
        <v>44120</v>
      </c>
      <c r="B4166" s="38">
        <v>-23.89</v>
      </c>
      <c r="C4166" s="13" t="s">
        <v>1650</v>
      </c>
      <c r="D4166" s="36">
        <v>5995.07</v>
      </c>
      <c r="E4166" s="43" t="s">
        <v>3596</v>
      </c>
    </row>
    <row r="4167" spans="1:5" x14ac:dyDescent="0.35">
      <c r="A4167" s="40">
        <v>44120</v>
      </c>
      <c r="B4167" s="38">
        <v>-29</v>
      </c>
      <c r="C4167" s="13" t="s">
        <v>1649</v>
      </c>
      <c r="D4167" s="36">
        <v>5898.99</v>
      </c>
      <c r="E4167" s="43" t="s">
        <v>3596</v>
      </c>
    </row>
    <row r="4168" spans="1:5" x14ac:dyDescent="0.35">
      <c r="A4168" s="40">
        <v>44119</v>
      </c>
      <c r="B4168" s="38">
        <v>2101.4699999999998</v>
      </c>
      <c r="C4168" s="13" t="s">
        <v>1651</v>
      </c>
      <c r="D4168" s="36">
        <v>6518.96</v>
      </c>
      <c r="E4168" s="43" t="s">
        <v>3596</v>
      </c>
    </row>
    <row r="4169" spans="1:5" x14ac:dyDescent="0.35">
      <c r="A4169" s="40">
        <v>44119</v>
      </c>
      <c r="B4169" s="38">
        <v>-500</v>
      </c>
      <c r="C4169" s="13" t="s">
        <v>945</v>
      </c>
      <c r="D4169" s="36">
        <v>6018.96</v>
      </c>
      <c r="E4169" s="43" t="s">
        <v>3596</v>
      </c>
    </row>
    <row r="4170" spans="1:5" x14ac:dyDescent="0.35">
      <c r="A4170" s="40">
        <v>44118</v>
      </c>
      <c r="B4170" s="38">
        <v>-23.89</v>
      </c>
      <c r="C4170" s="13" t="s">
        <v>1652</v>
      </c>
      <c r="D4170" s="36">
        <v>4417.49</v>
      </c>
      <c r="E4170" s="43" t="s">
        <v>3596</v>
      </c>
    </row>
    <row r="4171" spans="1:5" x14ac:dyDescent="0.35">
      <c r="A4171" s="40">
        <v>44118</v>
      </c>
      <c r="B4171" s="38">
        <v>-28.49</v>
      </c>
      <c r="C4171" s="13" t="s">
        <v>1652</v>
      </c>
      <c r="D4171" s="36">
        <v>4441.38</v>
      </c>
      <c r="E4171" s="43" t="s">
        <v>3596</v>
      </c>
    </row>
    <row r="4172" spans="1:5" x14ac:dyDescent="0.35">
      <c r="A4172" s="40">
        <v>44117</v>
      </c>
      <c r="B4172" s="38">
        <v>-180</v>
      </c>
      <c r="C4172" s="13" t="s">
        <v>1653</v>
      </c>
      <c r="D4172" s="36">
        <v>4469.87</v>
      </c>
      <c r="E4172" s="43" t="s">
        <v>3596</v>
      </c>
    </row>
    <row r="4173" spans="1:5" x14ac:dyDescent="0.35">
      <c r="A4173" s="40">
        <v>44117</v>
      </c>
      <c r="B4173" s="38">
        <v>-117</v>
      </c>
      <c r="C4173" s="13" t="s">
        <v>1653</v>
      </c>
      <c r="D4173" s="36">
        <v>4649.87</v>
      </c>
      <c r="E4173" s="43" t="s">
        <v>3596</v>
      </c>
    </row>
    <row r="4174" spans="1:5" x14ac:dyDescent="0.35">
      <c r="A4174" s="40">
        <v>44116</v>
      </c>
      <c r="B4174" s="38">
        <v>-42.48</v>
      </c>
      <c r="C4174" s="13" t="s">
        <v>1471</v>
      </c>
      <c r="D4174" s="36">
        <v>4826.37</v>
      </c>
      <c r="E4174" s="43" t="s">
        <v>3596</v>
      </c>
    </row>
    <row r="4175" spans="1:5" x14ac:dyDescent="0.35">
      <c r="A4175" s="40">
        <v>44116</v>
      </c>
      <c r="B4175" s="38">
        <v>-59.5</v>
      </c>
      <c r="C4175" s="13" t="s">
        <v>37</v>
      </c>
      <c r="D4175" s="36">
        <v>4766.87</v>
      </c>
      <c r="E4175" s="43" t="s">
        <v>3596</v>
      </c>
    </row>
    <row r="4176" spans="1:5" x14ac:dyDescent="0.35">
      <c r="A4176" s="40">
        <v>44114</v>
      </c>
      <c r="B4176" s="38">
        <v>-100</v>
      </c>
      <c r="C4176" s="13" t="s">
        <v>946</v>
      </c>
      <c r="D4176" s="36">
        <v>4850.8500000000004</v>
      </c>
      <c r="E4176" s="43" t="s">
        <v>3596</v>
      </c>
    </row>
    <row r="4177" spans="1:5" x14ac:dyDescent="0.35">
      <c r="A4177" s="40">
        <v>44114</v>
      </c>
      <c r="B4177" s="38">
        <v>18</v>
      </c>
      <c r="C4177" s="13" t="s">
        <v>1977</v>
      </c>
      <c r="D4177" s="36">
        <v>4868.8500000000004</v>
      </c>
      <c r="E4177" s="43" t="s">
        <v>3596</v>
      </c>
    </row>
    <row r="4178" spans="1:5" x14ac:dyDescent="0.35">
      <c r="A4178" s="40">
        <v>44113</v>
      </c>
      <c r="B4178" s="38">
        <v>-8</v>
      </c>
      <c r="C4178" s="13" t="s">
        <v>1964</v>
      </c>
      <c r="D4178" s="36">
        <v>4950.8500000000004</v>
      </c>
      <c r="E4178" s="43" t="s">
        <v>3596</v>
      </c>
    </row>
    <row r="4179" spans="1:5" x14ac:dyDescent="0.35">
      <c r="A4179" s="40">
        <v>44113</v>
      </c>
      <c r="B4179" s="38">
        <v>-16.600000000000001</v>
      </c>
      <c r="C4179" s="13" t="s">
        <v>1654</v>
      </c>
      <c r="D4179" s="36">
        <v>4958.8500000000004</v>
      </c>
      <c r="E4179" s="43" t="s">
        <v>3596</v>
      </c>
    </row>
    <row r="4180" spans="1:5" x14ac:dyDescent="0.35">
      <c r="A4180" s="40">
        <v>44112</v>
      </c>
      <c r="B4180" s="38">
        <v>-33.5</v>
      </c>
      <c r="C4180" s="13" t="s">
        <v>1655</v>
      </c>
      <c r="D4180" s="36">
        <v>4975.45</v>
      </c>
      <c r="E4180" s="43" t="s">
        <v>3596</v>
      </c>
    </row>
    <row r="4181" spans="1:5" x14ac:dyDescent="0.35">
      <c r="A4181" s="40">
        <v>44112</v>
      </c>
      <c r="B4181" s="38">
        <v>-24.26</v>
      </c>
      <c r="C4181" s="13" t="s">
        <v>1655</v>
      </c>
      <c r="D4181" s="36">
        <v>5008.95</v>
      </c>
      <c r="E4181" s="43" t="s">
        <v>3596</v>
      </c>
    </row>
    <row r="4182" spans="1:5" x14ac:dyDescent="0.35">
      <c r="A4182" s="40">
        <v>44112</v>
      </c>
      <c r="B4182" s="38">
        <v>-33.5</v>
      </c>
      <c r="C4182" s="13" t="s">
        <v>1376</v>
      </c>
      <c r="D4182" s="36">
        <v>4975.45</v>
      </c>
      <c r="E4182" s="43" t="s">
        <v>3596</v>
      </c>
    </row>
    <row r="4183" spans="1:5" x14ac:dyDescent="0.35">
      <c r="A4183" s="40">
        <v>44112</v>
      </c>
      <c r="B4183" s="38">
        <v>-24.26</v>
      </c>
      <c r="C4183" s="13" t="s">
        <v>1376</v>
      </c>
      <c r="D4183" s="36">
        <v>5008.95</v>
      </c>
      <c r="E4183" s="43" t="s">
        <v>3596</v>
      </c>
    </row>
    <row r="4184" spans="1:5" x14ac:dyDescent="0.35">
      <c r="A4184" s="40">
        <v>44112</v>
      </c>
      <c r="B4184" s="38">
        <v>-9.99</v>
      </c>
      <c r="C4184" s="13" t="s">
        <v>1656</v>
      </c>
      <c r="D4184" s="36">
        <v>5033.21</v>
      </c>
      <c r="E4184" s="43" t="s">
        <v>3596</v>
      </c>
    </row>
    <row r="4185" spans="1:5" x14ac:dyDescent="0.35">
      <c r="A4185" s="40">
        <v>44112</v>
      </c>
      <c r="B4185" s="38">
        <v>-9.99</v>
      </c>
      <c r="C4185" s="13" t="s">
        <v>1377</v>
      </c>
      <c r="D4185" s="36">
        <v>5033.21</v>
      </c>
      <c r="E4185" s="43" t="s">
        <v>3596</v>
      </c>
    </row>
    <row r="4186" spans="1:5" x14ac:dyDescent="0.35">
      <c r="A4186" s="40">
        <v>44111</v>
      </c>
      <c r="B4186" s="38">
        <v>-23.29</v>
      </c>
      <c r="C4186" s="13" t="s">
        <v>1382</v>
      </c>
      <c r="D4186" s="36">
        <v>5271.54</v>
      </c>
      <c r="E4186" s="43" t="s">
        <v>3596</v>
      </c>
    </row>
    <row r="4187" spans="1:5" x14ac:dyDescent="0.35">
      <c r="A4187" s="40">
        <v>44111</v>
      </c>
      <c r="B4187" s="38">
        <v>-21.9</v>
      </c>
      <c r="C4187" s="13" t="s">
        <v>1382</v>
      </c>
      <c r="D4187" s="36">
        <v>5294.83</v>
      </c>
      <c r="E4187" s="43" t="s">
        <v>3596</v>
      </c>
    </row>
    <row r="4188" spans="1:5" x14ac:dyDescent="0.35">
      <c r="A4188" s="40">
        <v>44111</v>
      </c>
      <c r="B4188" s="38">
        <v>-23.89</v>
      </c>
      <c r="C4188" s="13" t="s">
        <v>1382</v>
      </c>
      <c r="D4188" s="36">
        <v>5316.73</v>
      </c>
      <c r="E4188" s="43" t="s">
        <v>3596</v>
      </c>
    </row>
    <row r="4189" spans="1:5" x14ac:dyDescent="0.35">
      <c r="A4189" s="40">
        <v>44111</v>
      </c>
      <c r="B4189" s="38">
        <v>-24.34</v>
      </c>
      <c r="C4189" s="13" t="s">
        <v>1381</v>
      </c>
      <c r="D4189" s="36">
        <v>5247.2</v>
      </c>
      <c r="E4189" s="43" t="s">
        <v>3596</v>
      </c>
    </row>
    <row r="4190" spans="1:5" x14ac:dyDescent="0.35">
      <c r="A4190" s="40">
        <v>44111</v>
      </c>
      <c r="B4190" s="38">
        <v>-54</v>
      </c>
      <c r="C4190" s="13" t="s">
        <v>1378</v>
      </c>
      <c r="D4190" s="36">
        <v>5113.2</v>
      </c>
      <c r="E4190" s="43" t="s">
        <v>3596</v>
      </c>
    </row>
    <row r="4191" spans="1:5" x14ac:dyDescent="0.35">
      <c r="A4191" s="40">
        <v>44111</v>
      </c>
      <c r="B4191" s="38">
        <v>-70</v>
      </c>
      <c r="C4191" s="13" t="s">
        <v>1657</v>
      </c>
      <c r="D4191" s="36">
        <v>5043.2</v>
      </c>
      <c r="E4191" s="43" t="s">
        <v>3596</v>
      </c>
    </row>
    <row r="4192" spans="1:5" x14ac:dyDescent="0.35">
      <c r="A4192" s="40">
        <v>44111</v>
      </c>
      <c r="B4192" s="38">
        <v>-60</v>
      </c>
      <c r="C4192" s="13" t="s">
        <v>1379</v>
      </c>
      <c r="D4192" s="36">
        <v>5167.2</v>
      </c>
      <c r="E4192" s="43" t="s">
        <v>3596</v>
      </c>
    </row>
    <row r="4193" spans="1:5" x14ac:dyDescent="0.35">
      <c r="A4193" s="40">
        <v>44111</v>
      </c>
      <c r="B4193" s="38">
        <v>-20</v>
      </c>
      <c r="C4193" s="13" t="s">
        <v>1380</v>
      </c>
      <c r="D4193" s="36">
        <v>5227.2</v>
      </c>
      <c r="E4193" s="43" t="s">
        <v>3596</v>
      </c>
    </row>
    <row r="4194" spans="1:5" x14ac:dyDescent="0.35">
      <c r="A4194" s="40">
        <v>44110</v>
      </c>
      <c r="B4194" s="38">
        <v>-36.29</v>
      </c>
      <c r="C4194" s="13" t="s">
        <v>1385</v>
      </c>
      <c r="D4194" s="36">
        <v>5347.62</v>
      </c>
      <c r="E4194" s="43" t="s">
        <v>3596</v>
      </c>
    </row>
    <row r="4195" spans="1:5" x14ac:dyDescent="0.35">
      <c r="A4195" s="40">
        <v>44110</v>
      </c>
      <c r="B4195" s="38">
        <v>-4</v>
      </c>
      <c r="C4195" s="13" t="s">
        <v>1384</v>
      </c>
      <c r="D4195" s="36">
        <v>5343.62</v>
      </c>
      <c r="E4195" s="43" t="s">
        <v>3596</v>
      </c>
    </row>
    <row r="4196" spans="1:5" x14ac:dyDescent="0.35">
      <c r="A4196" s="40">
        <v>44110</v>
      </c>
      <c r="B4196" s="38">
        <v>-186.15</v>
      </c>
      <c r="C4196" s="13" t="s">
        <v>1386</v>
      </c>
      <c r="D4196" s="36">
        <v>5383.91</v>
      </c>
      <c r="E4196" s="43" t="s">
        <v>3596</v>
      </c>
    </row>
    <row r="4197" spans="1:5" x14ac:dyDescent="0.35">
      <c r="A4197" s="40">
        <v>44110</v>
      </c>
      <c r="B4197" s="38">
        <v>-3</v>
      </c>
      <c r="C4197" s="13" t="s">
        <v>1383</v>
      </c>
      <c r="D4197" s="36">
        <v>5340.62</v>
      </c>
      <c r="E4197" s="43" t="s">
        <v>3596</v>
      </c>
    </row>
    <row r="4198" spans="1:5" x14ac:dyDescent="0.35">
      <c r="A4198" s="40">
        <v>44109</v>
      </c>
      <c r="B4198" s="38">
        <v>-35</v>
      </c>
      <c r="C4198" s="13" t="s">
        <v>1389</v>
      </c>
      <c r="D4198" s="36">
        <v>5623.58</v>
      </c>
      <c r="E4198" s="43" t="s">
        <v>3596</v>
      </c>
    </row>
    <row r="4199" spans="1:5" x14ac:dyDescent="0.35">
      <c r="A4199" s="40">
        <v>44109</v>
      </c>
      <c r="B4199" s="38">
        <v>-5</v>
      </c>
      <c r="C4199" s="13" t="s">
        <v>1388</v>
      </c>
      <c r="D4199" s="36">
        <v>5581.51</v>
      </c>
      <c r="E4199" s="43" t="s">
        <v>3596</v>
      </c>
    </row>
    <row r="4200" spans="1:5" x14ac:dyDescent="0.35">
      <c r="A4200" s="40">
        <v>44109</v>
      </c>
      <c r="B4200" s="38">
        <v>-37.07</v>
      </c>
      <c r="C4200" s="13" t="s">
        <v>1388</v>
      </c>
      <c r="D4200" s="36">
        <v>5586.51</v>
      </c>
      <c r="E4200" s="43" t="s">
        <v>3596</v>
      </c>
    </row>
    <row r="4201" spans="1:5" x14ac:dyDescent="0.35">
      <c r="A4201" s="40">
        <v>44109</v>
      </c>
      <c r="B4201" s="38">
        <v>-11.45</v>
      </c>
      <c r="C4201" s="13" t="s">
        <v>1387</v>
      </c>
      <c r="D4201" s="36">
        <v>5570.06</v>
      </c>
      <c r="E4201" s="43" t="s">
        <v>3596</v>
      </c>
    </row>
    <row r="4202" spans="1:5" x14ac:dyDescent="0.35">
      <c r="A4202" s="40">
        <v>44109</v>
      </c>
      <c r="B4202" s="38">
        <v>-6.5</v>
      </c>
      <c r="C4202" s="13" t="s">
        <v>1159</v>
      </c>
      <c r="D4202" s="36">
        <v>5718.58</v>
      </c>
      <c r="E4202" s="43" t="s">
        <v>3596</v>
      </c>
    </row>
    <row r="4203" spans="1:5" x14ac:dyDescent="0.35">
      <c r="A4203" s="40">
        <v>44109</v>
      </c>
      <c r="B4203" s="38">
        <v>-60</v>
      </c>
      <c r="C4203" s="13" t="s">
        <v>1274</v>
      </c>
      <c r="D4203" s="36">
        <v>5658.58</v>
      </c>
      <c r="E4203" s="43" t="s">
        <v>3596</v>
      </c>
    </row>
    <row r="4204" spans="1:5" x14ac:dyDescent="0.35">
      <c r="A4204" s="40">
        <v>44107</v>
      </c>
      <c r="B4204" s="38">
        <v>-90</v>
      </c>
      <c r="C4204" s="13" t="s">
        <v>1698</v>
      </c>
      <c r="D4204" s="36">
        <v>5733.27</v>
      </c>
      <c r="E4204" s="43" t="s">
        <v>3596</v>
      </c>
    </row>
    <row r="4205" spans="1:5" x14ac:dyDescent="0.35">
      <c r="A4205" s="40">
        <v>44107</v>
      </c>
      <c r="B4205" s="38">
        <v>-5</v>
      </c>
      <c r="C4205" s="13" t="s">
        <v>1392</v>
      </c>
      <c r="D4205" s="36">
        <v>5881.17</v>
      </c>
      <c r="E4205" s="43" t="s">
        <v>3596</v>
      </c>
    </row>
    <row r="4206" spans="1:5" x14ac:dyDescent="0.35">
      <c r="A4206" s="40">
        <v>44107</v>
      </c>
      <c r="B4206" s="38">
        <v>-55</v>
      </c>
      <c r="C4206" s="13" t="s">
        <v>1390</v>
      </c>
      <c r="D4206" s="36">
        <v>5823.27</v>
      </c>
      <c r="E4206" s="43" t="s">
        <v>3596</v>
      </c>
    </row>
    <row r="4207" spans="1:5" x14ac:dyDescent="0.35">
      <c r="A4207" s="40">
        <v>44107</v>
      </c>
      <c r="B4207" s="38">
        <v>-8.19</v>
      </c>
      <c r="C4207" s="13" t="s">
        <v>1</v>
      </c>
      <c r="D4207" s="36">
        <v>5725.08</v>
      </c>
      <c r="E4207" s="43" t="s">
        <v>3596</v>
      </c>
    </row>
    <row r="4208" spans="1:5" x14ac:dyDescent="0.35">
      <c r="A4208" s="40">
        <v>44107</v>
      </c>
      <c r="B4208" s="38">
        <v>-100</v>
      </c>
      <c r="C4208" s="13" t="s">
        <v>946</v>
      </c>
      <c r="D4208" s="36">
        <v>5886.17</v>
      </c>
      <c r="E4208" s="43" t="s">
        <v>3596</v>
      </c>
    </row>
    <row r="4209" spans="1:5" x14ac:dyDescent="0.35">
      <c r="A4209" s="40">
        <v>44107</v>
      </c>
      <c r="B4209" s="38">
        <v>-2.9</v>
      </c>
      <c r="C4209" s="13" t="s">
        <v>1391</v>
      </c>
      <c r="D4209" s="36">
        <v>5878.27</v>
      </c>
      <c r="E4209" s="43" t="s">
        <v>3596</v>
      </c>
    </row>
    <row r="4210" spans="1:5" x14ac:dyDescent="0.35">
      <c r="A4210" s="40">
        <v>44106</v>
      </c>
      <c r="B4210" s="38">
        <v>62</v>
      </c>
      <c r="C4210" s="13" t="s">
        <v>1238</v>
      </c>
      <c r="D4210" s="36">
        <v>5986.17</v>
      </c>
      <c r="E4210" s="43" t="s">
        <v>3596</v>
      </c>
    </row>
    <row r="4211" spans="1:5" x14ac:dyDescent="0.35">
      <c r="A4211" s="40">
        <v>44105</v>
      </c>
      <c r="B4211" s="38">
        <v>-31.4</v>
      </c>
      <c r="C4211" s="13" t="s">
        <v>1396</v>
      </c>
      <c r="D4211" s="36">
        <v>6635.86</v>
      </c>
      <c r="E4211" s="43" t="s">
        <v>3596</v>
      </c>
    </row>
    <row r="4212" spans="1:5" x14ac:dyDescent="0.35">
      <c r="A4212" s="40">
        <v>44105</v>
      </c>
      <c r="B4212" s="38">
        <v>2101.4699999999998</v>
      </c>
      <c r="C4212" s="13" t="s">
        <v>1399</v>
      </c>
      <c r="D4212" s="36">
        <v>6756.75</v>
      </c>
      <c r="E4212" s="43" t="s">
        <v>3596</v>
      </c>
    </row>
    <row r="4213" spans="1:5" x14ac:dyDescent="0.35">
      <c r="A4213" s="40">
        <v>44105</v>
      </c>
      <c r="B4213" s="38">
        <v>-500</v>
      </c>
      <c r="C4213" s="13" t="s">
        <v>945</v>
      </c>
      <c r="D4213" s="36">
        <v>6135.86</v>
      </c>
      <c r="E4213" s="43" t="s">
        <v>3596</v>
      </c>
    </row>
    <row r="4214" spans="1:5" x14ac:dyDescent="0.35">
      <c r="A4214" s="40">
        <v>44105</v>
      </c>
      <c r="B4214" s="38">
        <v>-26.8</v>
      </c>
      <c r="C4214" s="13" t="s">
        <v>1397</v>
      </c>
      <c r="D4214" s="36">
        <v>6667.26</v>
      </c>
      <c r="E4214" s="43" t="s">
        <v>3596</v>
      </c>
    </row>
    <row r="4215" spans="1:5" x14ac:dyDescent="0.35">
      <c r="A4215" s="40">
        <v>44105</v>
      </c>
      <c r="B4215" s="38">
        <v>-23</v>
      </c>
      <c r="C4215" s="13" t="s">
        <v>1397</v>
      </c>
      <c r="D4215" s="36">
        <v>6694.06</v>
      </c>
      <c r="E4215" s="43" t="s">
        <v>3596</v>
      </c>
    </row>
    <row r="4216" spans="1:5" x14ac:dyDescent="0.35">
      <c r="A4216" s="40">
        <v>44105</v>
      </c>
      <c r="B4216" s="38">
        <v>-20</v>
      </c>
      <c r="C4216" s="13" t="s">
        <v>3385</v>
      </c>
      <c r="D4216" s="36">
        <v>6115.86</v>
      </c>
      <c r="E4216" s="43" t="s">
        <v>3596</v>
      </c>
    </row>
    <row r="4217" spans="1:5" x14ac:dyDescent="0.35">
      <c r="A4217" s="40">
        <v>44105</v>
      </c>
      <c r="B4217" s="38">
        <v>-39.69</v>
      </c>
      <c r="C4217" s="13" t="s">
        <v>1398</v>
      </c>
      <c r="D4217" s="36">
        <v>6717.06</v>
      </c>
      <c r="E4217" s="43" t="s">
        <v>3596</v>
      </c>
    </row>
    <row r="4218" spans="1:5" x14ac:dyDescent="0.35">
      <c r="A4218" s="40">
        <v>44105</v>
      </c>
      <c r="B4218" s="38">
        <v>-172.3</v>
      </c>
      <c r="C4218" s="13" t="s">
        <v>1394</v>
      </c>
      <c r="D4218" s="36">
        <v>5924.17</v>
      </c>
      <c r="E4218" s="43" t="s">
        <v>3596</v>
      </c>
    </row>
    <row r="4219" spans="1:5" x14ac:dyDescent="0.35">
      <c r="A4219" s="40">
        <v>44105</v>
      </c>
      <c r="B4219" s="38">
        <v>-19.39</v>
      </c>
      <c r="C4219" s="13" t="s">
        <v>1274</v>
      </c>
      <c r="D4219" s="36">
        <v>6096.47</v>
      </c>
      <c r="E4219" s="43" t="s">
        <v>3596</v>
      </c>
    </row>
    <row r="4220" spans="1:5" x14ac:dyDescent="0.35">
      <c r="A4220" s="40">
        <v>44104</v>
      </c>
      <c r="B4220" s="38">
        <v>-30.64</v>
      </c>
      <c r="C4220" s="13" t="s">
        <v>1401</v>
      </c>
      <c r="D4220" s="36">
        <v>4679.17</v>
      </c>
      <c r="E4220" s="43" t="s">
        <v>3596</v>
      </c>
    </row>
    <row r="4221" spans="1:5" x14ac:dyDescent="0.35">
      <c r="A4221" s="40">
        <v>44104</v>
      </c>
      <c r="B4221" s="38">
        <v>-23.89</v>
      </c>
      <c r="C4221" s="13" t="s">
        <v>1400</v>
      </c>
      <c r="D4221" s="36">
        <v>4655.28</v>
      </c>
      <c r="E4221" s="43" t="s">
        <v>3596</v>
      </c>
    </row>
    <row r="4222" spans="1:5" x14ac:dyDescent="0.35">
      <c r="A4222" s="40">
        <v>44103</v>
      </c>
      <c r="B4222" s="38">
        <v>-27.79</v>
      </c>
      <c r="C4222" s="13" t="s">
        <v>1403</v>
      </c>
      <c r="D4222" s="36">
        <v>4776.51</v>
      </c>
      <c r="E4222" s="43" t="s">
        <v>3596</v>
      </c>
    </row>
    <row r="4223" spans="1:5" x14ac:dyDescent="0.35">
      <c r="A4223" s="40">
        <v>44103</v>
      </c>
      <c r="B4223" s="38">
        <v>-47.7</v>
      </c>
      <c r="C4223" s="13" t="s">
        <v>1</v>
      </c>
      <c r="D4223" s="36">
        <v>4709.8100000000004</v>
      </c>
      <c r="E4223" s="43" t="s">
        <v>3596</v>
      </c>
    </row>
    <row r="4224" spans="1:5" x14ac:dyDescent="0.35">
      <c r="A4224" s="40">
        <v>44103</v>
      </c>
      <c r="B4224" s="38">
        <v>-19</v>
      </c>
      <c r="C4224" s="13" t="s">
        <v>1402</v>
      </c>
      <c r="D4224" s="36">
        <v>4757.51</v>
      </c>
      <c r="E4224" s="43" t="s">
        <v>3596</v>
      </c>
    </row>
    <row r="4225" spans="1:5" x14ac:dyDescent="0.35">
      <c r="A4225" s="40">
        <v>44101</v>
      </c>
      <c r="B4225" s="38">
        <v>-560</v>
      </c>
      <c r="C4225" s="13" t="s">
        <v>1739</v>
      </c>
      <c r="D4225" s="36">
        <v>4804.3</v>
      </c>
      <c r="E4225" s="43" t="s">
        <v>3596</v>
      </c>
    </row>
    <row r="4226" spans="1:5" x14ac:dyDescent="0.35">
      <c r="A4226" s="40">
        <v>44100</v>
      </c>
      <c r="B4226" s="38">
        <v>-100</v>
      </c>
      <c r="C4226" s="13" t="s">
        <v>946</v>
      </c>
      <c r="D4226" s="36">
        <v>5364.3</v>
      </c>
      <c r="E4226" s="43" t="s">
        <v>3596</v>
      </c>
    </row>
    <row r="4227" spans="1:5" x14ac:dyDescent="0.35">
      <c r="A4227" s="40">
        <v>44098</v>
      </c>
      <c r="B4227" s="38">
        <v>-17.53</v>
      </c>
      <c r="C4227" s="13" t="s">
        <v>1</v>
      </c>
      <c r="D4227" s="36">
        <v>5464.3</v>
      </c>
      <c r="E4227" s="43" t="s">
        <v>3596</v>
      </c>
    </row>
    <row r="4228" spans="1:5" x14ac:dyDescent="0.35">
      <c r="A4228" s="40">
        <v>44097</v>
      </c>
      <c r="B4228" s="38">
        <v>-22.89</v>
      </c>
      <c r="C4228" s="13" t="s">
        <v>1404</v>
      </c>
      <c r="D4228" s="36">
        <v>5481.83</v>
      </c>
      <c r="E4228" s="43" t="s">
        <v>3596</v>
      </c>
    </row>
    <row r="4229" spans="1:5" x14ac:dyDescent="0.35">
      <c r="A4229" s="40">
        <v>44097</v>
      </c>
      <c r="B4229" s="38">
        <v>-33.299999999999997</v>
      </c>
      <c r="C4229" s="13" t="s">
        <v>1405</v>
      </c>
      <c r="D4229" s="36">
        <v>5504.72</v>
      </c>
      <c r="E4229" s="43" t="s">
        <v>3596</v>
      </c>
    </row>
    <row r="4230" spans="1:5" x14ac:dyDescent="0.35">
      <c r="A4230" s="40">
        <v>44096</v>
      </c>
      <c r="B4230" s="38">
        <v>-47.49</v>
      </c>
      <c r="C4230" s="13" t="s">
        <v>1406</v>
      </c>
      <c r="D4230" s="36">
        <v>5538.02</v>
      </c>
      <c r="E4230" s="43" t="s">
        <v>3596</v>
      </c>
    </row>
    <row r="4231" spans="1:5" x14ac:dyDescent="0.35">
      <c r="A4231" s="40">
        <v>44095</v>
      </c>
      <c r="B4231" s="39">
        <v>-21</v>
      </c>
      <c r="C4231" s="14" t="s">
        <v>1970</v>
      </c>
      <c r="D4231" s="37">
        <v>5585.51</v>
      </c>
      <c r="E4231" s="44" t="s">
        <v>3596</v>
      </c>
    </row>
    <row r="4232" spans="1:5" x14ac:dyDescent="0.35">
      <c r="A4232" s="40">
        <v>44093</v>
      </c>
      <c r="B4232" s="38">
        <v>-100</v>
      </c>
      <c r="C4232" s="13" t="s">
        <v>946</v>
      </c>
      <c r="D4232" s="36">
        <v>5606.51</v>
      </c>
      <c r="E4232" s="43" t="s">
        <v>3596</v>
      </c>
    </row>
    <row r="4233" spans="1:5" x14ac:dyDescent="0.35">
      <c r="A4233" s="40">
        <v>44092</v>
      </c>
      <c r="B4233" s="38">
        <v>30</v>
      </c>
      <c r="C4233" s="13" t="s">
        <v>1745</v>
      </c>
      <c r="D4233" s="36">
        <v>5706.51</v>
      </c>
      <c r="E4233" s="43" t="s">
        <v>3596</v>
      </c>
    </row>
    <row r="4234" spans="1:5" x14ac:dyDescent="0.35">
      <c r="A4234" s="40">
        <v>44092</v>
      </c>
      <c r="B4234" s="38">
        <v>-30</v>
      </c>
      <c r="C4234" s="13" t="s">
        <v>1740</v>
      </c>
      <c r="D4234" s="36">
        <v>5676.51</v>
      </c>
      <c r="E4234" s="43" t="s">
        <v>3596</v>
      </c>
    </row>
    <row r="4235" spans="1:5" x14ac:dyDescent="0.35">
      <c r="A4235" s="40">
        <v>44092</v>
      </c>
      <c r="B4235" s="38">
        <v>-13.98</v>
      </c>
      <c r="C4235" s="13" t="s">
        <v>1407</v>
      </c>
      <c r="D4235" s="36">
        <v>5706.51</v>
      </c>
      <c r="E4235" s="43" t="s">
        <v>3596</v>
      </c>
    </row>
    <row r="4236" spans="1:5" x14ac:dyDescent="0.35">
      <c r="A4236" s="40">
        <v>44091</v>
      </c>
      <c r="B4236" s="38">
        <v>-88.79</v>
      </c>
      <c r="C4236" s="13" t="s">
        <v>1408</v>
      </c>
      <c r="D4236" s="36">
        <v>6220.49</v>
      </c>
      <c r="E4236" s="43" t="s">
        <v>3596</v>
      </c>
    </row>
    <row r="4237" spans="1:5" x14ac:dyDescent="0.35">
      <c r="A4237" s="40">
        <v>44091</v>
      </c>
      <c r="B4237" s="38">
        <v>2101.4699999999998</v>
      </c>
      <c r="C4237" s="13" t="s">
        <v>1409</v>
      </c>
      <c r="D4237" s="36">
        <v>6309.28</v>
      </c>
      <c r="E4237" s="43" t="s">
        <v>3596</v>
      </c>
    </row>
    <row r="4238" spans="1:5" x14ac:dyDescent="0.35">
      <c r="A4238" s="40">
        <v>44091</v>
      </c>
      <c r="B4238" s="38">
        <v>-500</v>
      </c>
      <c r="C4238" s="13" t="s">
        <v>945</v>
      </c>
      <c r="D4238" s="36">
        <v>5720.49</v>
      </c>
      <c r="E4238" s="43" t="s">
        <v>3596</v>
      </c>
    </row>
    <row r="4239" spans="1:5" x14ac:dyDescent="0.35">
      <c r="A4239" s="40">
        <v>44090</v>
      </c>
      <c r="B4239" s="38">
        <v>-31.69</v>
      </c>
      <c r="C4239" s="13" t="s">
        <v>1412</v>
      </c>
      <c r="D4239" s="36">
        <v>4267.78</v>
      </c>
      <c r="E4239" s="43" t="s">
        <v>3596</v>
      </c>
    </row>
    <row r="4240" spans="1:5" x14ac:dyDescent="0.35">
      <c r="A4240" s="40">
        <v>44090</v>
      </c>
      <c r="B4240" s="38">
        <v>-23.89</v>
      </c>
      <c r="C4240" s="13" t="s">
        <v>1411</v>
      </c>
      <c r="D4240" s="36">
        <v>4243.8900000000003</v>
      </c>
      <c r="E4240" s="43" t="s">
        <v>3596</v>
      </c>
    </row>
    <row r="4241" spans="1:5" x14ac:dyDescent="0.35">
      <c r="A4241" s="40">
        <v>44090</v>
      </c>
      <c r="B4241" s="38">
        <v>-4</v>
      </c>
      <c r="C4241" s="13" t="s">
        <v>1410</v>
      </c>
      <c r="D4241" s="36">
        <v>4239.8900000000003</v>
      </c>
      <c r="E4241" s="43" t="s">
        <v>3596</v>
      </c>
    </row>
    <row r="4242" spans="1:5" x14ac:dyDescent="0.35">
      <c r="A4242" s="40">
        <v>44090</v>
      </c>
      <c r="B4242" s="38">
        <v>-32.08</v>
      </c>
      <c r="C4242" s="13" t="s">
        <v>1274</v>
      </c>
      <c r="D4242" s="36">
        <v>4207.8100000000004</v>
      </c>
      <c r="E4242" s="43" t="s">
        <v>3596</v>
      </c>
    </row>
    <row r="4243" spans="1:5" x14ac:dyDescent="0.35">
      <c r="A4243" s="40">
        <v>44088</v>
      </c>
      <c r="B4243" s="38">
        <v>63.5</v>
      </c>
      <c r="C4243" s="13" t="s">
        <v>1242</v>
      </c>
      <c r="D4243" s="36">
        <v>4299.47</v>
      </c>
      <c r="E4243" s="43" t="s">
        <v>3596</v>
      </c>
    </row>
    <row r="4244" spans="1:5" x14ac:dyDescent="0.35">
      <c r="A4244" s="40">
        <v>44088</v>
      </c>
      <c r="B4244" s="38">
        <v>-11.15</v>
      </c>
      <c r="C4244" s="13" t="s">
        <v>1274</v>
      </c>
      <c r="D4244" s="36">
        <v>4235.97</v>
      </c>
      <c r="E4244" s="43" t="s">
        <v>3596</v>
      </c>
    </row>
    <row r="4245" spans="1:5" x14ac:dyDescent="0.35">
      <c r="A4245" s="40">
        <v>44086</v>
      </c>
      <c r="B4245" s="38">
        <v>-3.29</v>
      </c>
      <c r="C4245" s="13" t="s">
        <v>1</v>
      </c>
      <c r="D4245" s="36">
        <v>4247.12</v>
      </c>
      <c r="E4245" s="43" t="s">
        <v>3596</v>
      </c>
    </row>
    <row r="4246" spans="1:5" x14ac:dyDescent="0.35">
      <c r="A4246" s="40">
        <v>44086</v>
      </c>
      <c r="B4246" s="38">
        <v>-100</v>
      </c>
      <c r="C4246" s="13" t="s">
        <v>946</v>
      </c>
      <c r="D4246" s="36">
        <v>4250.41</v>
      </c>
      <c r="E4246" s="43" t="s">
        <v>3596</v>
      </c>
    </row>
    <row r="4247" spans="1:5" x14ac:dyDescent="0.35">
      <c r="A4247" s="40">
        <v>44084</v>
      </c>
      <c r="B4247" s="39">
        <v>-191.63</v>
      </c>
      <c r="C4247" s="14" t="s">
        <v>1413</v>
      </c>
      <c r="D4247" s="37">
        <v>4350.41</v>
      </c>
      <c r="E4247" s="44" t="s">
        <v>3596</v>
      </c>
    </row>
    <row r="4248" spans="1:5" x14ac:dyDescent="0.35">
      <c r="A4248" s="40">
        <v>44083</v>
      </c>
      <c r="B4248" s="38">
        <v>-32.99</v>
      </c>
      <c r="C4248" s="13" t="s">
        <v>1416</v>
      </c>
      <c r="D4248" s="36">
        <v>5021.12</v>
      </c>
      <c r="E4248" s="43" t="s">
        <v>3596</v>
      </c>
    </row>
    <row r="4249" spans="1:5" x14ac:dyDescent="0.35">
      <c r="A4249" s="40">
        <v>44083</v>
      </c>
      <c r="B4249" s="39">
        <v>-290</v>
      </c>
      <c r="C4249" s="14" t="s">
        <v>37</v>
      </c>
      <c r="D4249" s="37">
        <v>4542.04</v>
      </c>
      <c r="E4249" s="44" t="s">
        <v>3596</v>
      </c>
    </row>
    <row r="4250" spans="1:5" x14ac:dyDescent="0.35">
      <c r="A4250" s="40">
        <v>44083</v>
      </c>
      <c r="B4250" s="38">
        <v>-84.38</v>
      </c>
      <c r="C4250" s="13" t="s">
        <v>1415</v>
      </c>
      <c r="D4250" s="36">
        <v>4936.74</v>
      </c>
      <c r="E4250" s="43" t="s">
        <v>3596</v>
      </c>
    </row>
    <row r="4251" spans="1:5" x14ac:dyDescent="0.35">
      <c r="A4251" s="40">
        <v>44083</v>
      </c>
      <c r="B4251" s="38">
        <v>-100</v>
      </c>
      <c r="C4251" s="13" t="s">
        <v>1221</v>
      </c>
      <c r="D4251" s="36">
        <v>4832.04</v>
      </c>
      <c r="E4251" s="43" t="s">
        <v>3596</v>
      </c>
    </row>
    <row r="4252" spans="1:5" x14ac:dyDescent="0.35">
      <c r="A4252" s="40">
        <v>44083</v>
      </c>
      <c r="B4252" s="38">
        <v>-4.7</v>
      </c>
      <c r="C4252" s="13" t="s">
        <v>1414</v>
      </c>
      <c r="D4252" s="36">
        <v>4932.04</v>
      </c>
      <c r="E4252" s="43" t="s">
        <v>3596</v>
      </c>
    </row>
    <row r="4253" spans="1:5" x14ac:dyDescent="0.35">
      <c r="A4253" s="40">
        <v>44083</v>
      </c>
      <c r="B4253" s="38">
        <v>-26.44</v>
      </c>
      <c r="C4253" s="13" t="s">
        <v>1417</v>
      </c>
      <c r="D4253" s="36">
        <v>5054.1099999999997</v>
      </c>
      <c r="E4253" s="43" t="s">
        <v>3596</v>
      </c>
    </row>
    <row r="4254" spans="1:5" x14ac:dyDescent="0.35">
      <c r="A4254" s="40">
        <v>44082</v>
      </c>
      <c r="B4254" s="38">
        <v>-9.99</v>
      </c>
      <c r="C4254" s="13" t="s">
        <v>1418</v>
      </c>
      <c r="D4254" s="36">
        <v>5032.55</v>
      </c>
      <c r="E4254" s="43" t="s">
        <v>3596</v>
      </c>
    </row>
    <row r="4255" spans="1:5" x14ac:dyDescent="0.35">
      <c r="A4255" s="40">
        <v>44082</v>
      </c>
      <c r="B4255" s="38">
        <v>48</v>
      </c>
      <c r="C4255" s="13" t="s">
        <v>1658</v>
      </c>
      <c r="D4255" s="36">
        <v>5080.55</v>
      </c>
      <c r="E4255" s="43" t="s">
        <v>3596</v>
      </c>
    </row>
    <row r="4256" spans="1:5" x14ac:dyDescent="0.35">
      <c r="A4256" s="40">
        <v>44081</v>
      </c>
      <c r="B4256" s="38">
        <v>-25.6</v>
      </c>
      <c r="C4256" s="13" t="s">
        <v>1274</v>
      </c>
      <c r="D4256" s="36">
        <v>5042.54</v>
      </c>
      <c r="E4256" s="43" t="s">
        <v>3596</v>
      </c>
    </row>
    <row r="4257" spans="1:5" x14ac:dyDescent="0.35">
      <c r="A4257" s="40">
        <v>44080</v>
      </c>
      <c r="B4257" s="38">
        <v>-10</v>
      </c>
      <c r="C4257" s="13" t="s">
        <v>1419</v>
      </c>
      <c r="D4257" s="36">
        <v>5068.1400000000003</v>
      </c>
      <c r="E4257" s="43" t="s">
        <v>3596</v>
      </c>
    </row>
    <row r="4258" spans="1:5" x14ac:dyDescent="0.35">
      <c r="A4258" s="40">
        <v>44080</v>
      </c>
      <c r="B4258" s="38">
        <v>-89.31</v>
      </c>
      <c r="C4258" s="13" t="s">
        <v>1274</v>
      </c>
      <c r="D4258" s="36">
        <v>5078.1400000000003</v>
      </c>
      <c r="E4258" s="43" t="s">
        <v>3596</v>
      </c>
    </row>
    <row r="4259" spans="1:5" x14ac:dyDescent="0.35">
      <c r="A4259" s="40">
        <v>44079</v>
      </c>
      <c r="B4259" s="38">
        <v>16</v>
      </c>
      <c r="C4259" s="13" t="s">
        <v>1659</v>
      </c>
      <c r="D4259" s="36">
        <v>5167.45</v>
      </c>
      <c r="E4259" s="43" t="s">
        <v>3596</v>
      </c>
    </row>
    <row r="4260" spans="1:5" x14ac:dyDescent="0.35">
      <c r="A4260" s="40">
        <v>44079</v>
      </c>
      <c r="B4260" s="38">
        <v>-100</v>
      </c>
      <c r="C4260" s="13" t="s">
        <v>946</v>
      </c>
      <c r="D4260" s="36">
        <v>5466.59</v>
      </c>
      <c r="E4260" s="43" t="s">
        <v>3596</v>
      </c>
    </row>
    <row r="4261" spans="1:5" x14ac:dyDescent="0.35">
      <c r="A4261" s="40">
        <v>44079</v>
      </c>
      <c r="B4261" s="38">
        <v>-28</v>
      </c>
      <c r="C4261" s="13" t="s">
        <v>1704</v>
      </c>
      <c r="D4261" s="36">
        <v>5151.45</v>
      </c>
      <c r="E4261" s="43" t="s">
        <v>3596</v>
      </c>
    </row>
    <row r="4262" spans="1:5" x14ac:dyDescent="0.35">
      <c r="A4262" s="40">
        <v>44079</v>
      </c>
      <c r="B4262" s="38">
        <v>-277</v>
      </c>
      <c r="C4262" s="13" t="s">
        <v>1420</v>
      </c>
      <c r="D4262" s="36">
        <v>5179.45</v>
      </c>
      <c r="E4262" s="43" t="s">
        <v>3596</v>
      </c>
    </row>
    <row r="4263" spans="1:5" x14ac:dyDescent="0.35">
      <c r="A4263" s="40">
        <v>44079</v>
      </c>
      <c r="B4263" s="38">
        <v>-10.14</v>
      </c>
      <c r="C4263" s="13" t="s">
        <v>1421</v>
      </c>
      <c r="D4263" s="36">
        <v>5456.45</v>
      </c>
      <c r="E4263" s="43" t="s">
        <v>3596</v>
      </c>
    </row>
    <row r="4264" spans="1:5" x14ac:dyDescent="0.35">
      <c r="A4264" s="40">
        <v>44078</v>
      </c>
      <c r="B4264" s="38">
        <v>-21.95</v>
      </c>
      <c r="C4264" s="13" t="s">
        <v>1422</v>
      </c>
      <c r="D4264" s="36">
        <v>5566.59</v>
      </c>
      <c r="E4264" s="43" t="s">
        <v>3596</v>
      </c>
    </row>
    <row r="4265" spans="1:5" x14ac:dyDescent="0.35">
      <c r="A4265" s="40">
        <v>44077</v>
      </c>
      <c r="B4265" s="38">
        <v>2063.09</v>
      </c>
      <c r="C4265" s="13" t="s">
        <v>1424</v>
      </c>
      <c r="D4265" s="36">
        <v>5950.54</v>
      </c>
      <c r="E4265" s="43" t="s">
        <v>3596</v>
      </c>
    </row>
    <row r="4266" spans="1:5" x14ac:dyDescent="0.35">
      <c r="A4266" s="40">
        <v>44077</v>
      </c>
      <c r="B4266" s="38">
        <v>-500</v>
      </c>
      <c r="C4266" s="13" t="s">
        <v>945</v>
      </c>
      <c r="D4266" s="36">
        <v>5450.54</v>
      </c>
      <c r="E4266" s="43" t="s">
        <v>3596</v>
      </c>
    </row>
    <row r="4267" spans="1:5" x14ac:dyDescent="0.35">
      <c r="A4267" s="40">
        <v>44077</v>
      </c>
      <c r="B4267" s="38">
        <v>138</v>
      </c>
      <c r="C4267" s="13" t="s">
        <v>1958</v>
      </c>
      <c r="D4267" s="36">
        <v>5588.54</v>
      </c>
      <c r="E4267" s="43" t="s">
        <v>3596</v>
      </c>
    </row>
    <row r="4268" spans="1:5" x14ac:dyDescent="0.35">
      <c r="A4268" s="40">
        <v>44076</v>
      </c>
      <c r="B4268" s="38">
        <v>-32.89</v>
      </c>
      <c r="C4268" s="13" t="s">
        <v>1426</v>
      </c>
      <c r="D4268" s="36">
        <v>3916.05</v>
      </c>
      <c r="E4268" s="43" t="s">
        <v>3596</v>
      </c>
    </row>
    <row r="4269" spans="1:5" x14ac:dyDescent="0.35">
      <c r="A4269" s="40">
        <v>44076</v>
      </c>
      <c r="B4269" s="38">
        <v>-3.21</v>
      </c>
      <c r="C4269" s="13" t="s">
        <v>1425</v>
      </c>
      <c r="D4269" s="36">
        <v>3887.45</v>
      </c>
      <c r="E4269" s="43" t="s">
        <v>3596</v>
      </c>
    </row>
    <row r="4270" spans="1:5" x14ac:dyDescent="0.35">
      <c r="A4270" s="40">
        <v>44076</v>
      </c>
      <c r="B4270" s="38">
        <v>-25.39</v>
      </c>
      <c r="C4270" s="13" t="s">
        <v>1425</v>
      </c>
      <c r="D4270" s="36">
        <v>3890.66</v>
      </c>
      <c r="E4270" s="43" t="s">
        <v>3596</v>
      </c>
    </row>
    <row r="4271" spans="1:5" x14ac:dyDescent="0.35">
      <c r="A4271" s="40">
        <v>44075</v>
      </c>
      <c r="B4271" s="38">
        <v>-20</v>
      </c>
      <c r="C4271" s="13" t="s">
        <v>3385</v>
      </c>
      <c r="D4271" s="36">
        <v>4171.24</v>
      </c>
      <c r="E4271" s="43" t="s">
        <v>3596</v>
      </c>
    </row>
    <row r="4272" spans="1:5" x14ac:dyDescent="0.35">
      <c r="A4272" s="40">
        <v>44075</v>
      </c>
      <c r="B4272" s="38">
        <v>-172.3</v>
      </c>
      <c r="C4272" s="13" t="s">
        <v>1427</v>
      </c>
      <c r="D4272" s="36">
        <v>3948.94</v>
      </c>
      <c r="E4272" s="43" t="s">
        <v>3596</v>
      </c>
    </row>
    <row r="4273" spans="1:5" x14ac:dyDescent="0.35">
      <c r="A4273" s="40">
        <v>44075</v>
      </c>
      <c r="B4273" s="38">
        <v>-50</v>
      </c>
      <c r="C4273" s="13" t="s">
        <v>1221</v>
      </c>
      <c r="D4273" s="36">
        <v>4121.24</v>
      </c>
      <c r="E4273" s="43" t="s">
        <v>3596</v>
      </c>
    </row>
    <row r="4274" spans="1:5" x14ac:dyDescent="0.35">
      <c r="A4274" s="40">
        <v>44072</v>
      </c>
      <c r="B4274" s="38">
        <v>-100</v>
      </c>
      <c r="C4274" s="13" t="s">
        <v>946</v>
      </c>
      <c r="D4274" s="36">
        <v>4191.24</v>
      </c>
      <c r="E4274" s="43" t="s">
        <v>3596</v>
      </c>
    </row>
    <row r="4275" spans="1:5" x14ac:dyDescent="0.35">
      <c r="A4275" s="40">
        <v>44070</v>
      </c>
      <c r="B4275" s="38">
        <v>-31</v>
      </c>
      <c r="C4275" s="13" t="s">
        <v>1428</v>
      </c>
      <c r="D4275" s="36">
        <v>4291.24</v>
      </c>
      <c r="E4275" s="43" t="s">
        <v>3596</v>
      </c>
    </row>
    <row r="4276" spans="1:5" x14ac:dyDescent="0.35">
      <c r="A4276" s="40">
        <v>44069</v>
      </c>
      <c r="B4276" s="38">
        <v>-66.19</v>
      </c>
      <c r="C4276" s="13" t="s">
        <v>1430</v>
      </c>
      <c r="D4276" s="36">
        <v>4267.05</v>
      </c>
      <c r="E4276" s="43" t="s">
        <v>3596</v>
      </c>
    </row>
    <row r="4277" spans="1:5" x14ac:dyDescent="0.35">
      <c r="A4277" s="40">
        <v>44069</v>
      </c>
      <c r="B4277" s="38">
        <v>70</v>
      </c>
      <c r="C4277" s="13" t="s">
        <v>1660</v>
      </c>
      <c r="D4277" s="36">
        <v>4322.24</v>
      </c>
      <c r="E4277" s="43" t="s">
        <v>3596</v>
      </c>
    </row>
    <row r="4278" spans="1:5" x14ac:dyDescent="0.35">
      <c r="A4278" s="40">
        <v>44069</v>
      </c>
      <c r="B4278" s="38">
        <v>-14.81</v>
      </c>
      <c r="C4278" s="13" t="s">
        <v>1429</v>
      </c>
      <c r="D4278" s="36">
        <v>4252.24</v>
      </c>
      <c r="E4278" s="43" t="s">
        <v>3596</v>
      </c>
    </row>
    <row r="4279" spans="1:5" x14ac:dyDescent="0.35">
      <c r="A4279" s="40">
        <v>44068</v>
      </c>
      <c r="B4279" s="38">
        <v>-22.5</v>
      </c>
      <c r="C4279" s="13" t="s">
        <v>1431</v>
      </c>
      <c r="D4279" s="36">
        <v>4445.57</v>
      </c>
      <c r="E4279" s="43" t="s">
        <v>3596</v>
      </c>
    </row>
    <row r="4280" spans="1:5" x14ac:dyDescent="0.35">
      <c r="A4280" s="40">
        <v>44068</v>
      </c>
      <c r="B4280" s="38">
        <v>-112.33</v>
      </c>
      <c r="C4280" s="13" t="s">
        <v>1274</v>
      </c>
      <c r="D4280" s="36">
        <v>4333.24</v>
      </c>
      <c r="E4280" s="43" t="s">
        <v>3596</v>
      </c>
    </row>
    <row r="4281" spans="1:5" x14ac:dyDescent="0.35">
      <c r="A4281" s="40">
        <v>44066</v>
      </c>
      <c r="B4281" s="38">
        <v>-38.51</v>
      </c>
      <c r="C4281" s="13" t="s">
        <v>773</v>
      </c>
      <c r="D4281" s="36">
        <v>4468.07</v>
      </c>
      <c r="E4281" s="43" t="s">
        <v>3596</v>
      </c>
    </row>
    <row r="4282" spans="1:5" x14ac:dyDescent="0.35">
      <c r="A4282" s="40">
        <v>44065</v>
      </c>
      <c r="B4282" s="38">
        <v>-100</v>
      </c>
      <c r="C4282" s="13" t="s">
        <v>946</v>
      </c>
      <c r="D4282" s="36">
        <v>4506.58</v>
      </c>
      <c r="E4282" s="43" t="s">
        <v>3596</v>
      </c>
    </row>
    <row r="4283" spans="1:5" x14ac:dyDescent="0.35">
      <c r="A4283" s="40">
        <v>44063</v>
      </c>
      <c r="B4283" s="38">
        <v>2053.4899999999998</v>
      </c>
      <c r="C4283" s="13" t="s">
        <v>1432</v>
      </c>
      <c r="D4283" s="36">
        <v>5106.58</v>
      </c>
      <c r="E4283" s="43" t="s">
        <v>3596</v>
      </c>
    </row>
    <row r="4284" spans="1:5" x14ac:dyDescent="0.35">
      <c r="A4284" s="40">
        <v>44063</v>
      </c>
      <c r="B4284" s="38">
        <v>-500</v>
      </c>
      <c r="C4284" s="13" t="s">
        <v>945</v>
      </c>
      <c r="D4284" s="36">
        <v>4606.58</v>
      </c>
      <c r="E4284" s="43" t="s">
        <v>3596</v>
      </c>
    </row>
    <row r="4285" spans="1:5" x14ac:dyDescent="0.35">
      <c r="A4285" s="40">
        <v>44062</v>
      </c>
      <c r="B4285" s="38">
        <v>-35.79</v>
      </c>
      <c r="C4285" s="13" t="s">
        <v>1435</v>
      </c>
      <c r="D4285" s="36">
        <v>3089.76</v>
      </c>
      <c r="E4285" s="43" t="s">
        <v>3596</v>
      </c>
    </row>
    <row r="4286" spans="1:5" x14ac:dyDescent="0.35">
      <c r="A4286" s="40">
        <v>44062</v>
      </c>
      <c r="B4286" s="38">
        <v>-27.4</v>
      </c>
      <c r="C4286" s="13" t="s">
        <v>1437</v>
      </c>
      <c r="D4286" s="36">
        <v>3165.55</v>
      </c>
      <c r="E4286" s="43" t="s">
        <v>3596</v>
      </c>
    </row>
    <row r="4287" spans="1:5" x14ac:dyDescent="0.35">
      <c r="A4287" s="40">
        <v>44062</v>
      </c>
      <c r="B4287" s="38">
        <v>-40</v>
      </c>
      <c r="C4287" s="13" t="s">
        <v>1436</v>
      </c>
      <c r="D4287" s="36">
        <v>3125.55</v>
      </c>
      <c r="E4287" s="43" t="s">
        <v>3596</v>
      </c>
    </row>
    <row r="4288" spans="1:5" x14ac:dyDescent="0.35">
      <c r="A4288" s="40">
        <v>44062</v>
      </c>
      <c r="B4288" s="38">
        <v>-9.65</v>
      </c>
      <c r="C4288" s="13" t="s">
        <v>1434</v>
      </c>
      <c r="D4288" s="36">
        <v>3080.11</v>
      </c>
      <c r="E4288" s="43" t="s">
        <v>3596</v>
      </c>
    </row>
    <row r="4289" spans="1:5" x14ac:dyDescent="0.35">
      <c r="A4289" s="40">
        <v>44062</v>
      </c>
      <c r="B4289" s="38">
        <v>-27.02</v>
      </c>
      <c r="C4289" s="13" t="s">
        <v>1433</v>
      </c>
      <c r="D4289" s="36">
        <v>3053.09</v>
      </c>
      <c r="E4289" s="43" t="s">
        <v>3596</v>
      </c>
    </row>
    <row r="4290" spans="1:5" x14ac:dyDescent="0.35">
      <c r="A4290" s="40">
        <v>44061</v>
      </c>
      <c r="B4290" s="38">
        <v>-27</v>
      </c>
      <c r="C4290" s="13" t="s">
        <v>1439</v>
      </c>
      <c r="D4290" s="36">
        <v>3221.8</v>
      </c>
      <c r="E4290" s="43" t="s">
        <v>3596</v>
      </c>
    </row>
    <row r="4291" spans="1:5" x14ac:dyDescent="0.35">
      <c r="A4291" s="40">
        <v>44061</v>
      </c>
      <c r="B4291" s="38">
        <v>-19.2</v>
      </c>
      <c r="C4291" s="13" t="s">
        <v>1438</v>
      </c>
      <c r="D4291" s="36">
        <v>3192.95</v>
      </c>
      <c r="E4291" s="43" t="s">
        <v>3596</v>
      </c>
    </row>
    <row r="4292" spans="1:5" x14ac:dyDescent="0.35">
      <c r="A4292" s="40">
        <v>44061</v>
      </c>
      <c r="B4292" s="38">
        <v>-9.65</v>
      </c>
      <c r="C4292" s="13" t="s">
        <v>1438</v>
      </c>
      <c r="D4292" s="36">
        <v>3212.15</v>
      </c>
      <c r="E4292" s="43" t="s">
        <v>3596</v>
      </c>
    </row>
    <row r="4293" spans="1:5" x14ac:dyDescent="0.35">
      <c r="A4293" s="40">
        <v>44060</v>
      </c>
      <c r="B4293" s="38">
        <v>-58</v>
      </c>
      <c r="C4293" s="13" t="s">
        <v>1274</v>
      </c>
      <c r="D4293" s="36">
        <v>3248.8</v>
      </c>
      <c r="E4293" s="43" t="s">
        <v>3596</v>
      </c>
    </row>
    <row r="4294" spans="1:5" x14ac:dyDescent="0.35">
      <c r="A4294" s="40">
        <v>44058</v>
      </c>
      <c r="B4294" s="38">
        <v>-4.07</v>
      </c>
      <c r="C4294" s="13" t="s">
        <v>1441</v>
      </c>
      <c r="D4294" s="36">
        <v>3473.11</v>
      </c>
      <c r="E4294" s="43" t="s">
        <v>3596</v>
      </c>
    </row>
    <row r="4295" spans="1:5" x14ac:dyDescent="0.35">
      <c r="A4295" s="40">
        <v>44058</v>
      </c>
      <c r="B4295" s="38">
        <v>-15</v>
      </c>
      <c r="C4295" s="13" t="s">
        <v>1442</v>
      </c>
      <c r="D4295" s="36">
        <v>3477.18</v>
      </c>
      <c r="E4295" s="43" t="s">
        <v>3596</v>
      </c>
    </row>
    <row r="4296" spans="1:5" x14ac:dyDescent="0.35">
      <c r="A4296" s="40">
        <v>44058</v>
      </c>
      <c r="B4296" s="38">
        <v>-24.14</v>
      </c>
      <c r="C4296" s="13" t="s">
        <v>1440</v>
      </c>
      <c r="D4296" s="36">
        <v>3420.3</v>
      </c>
      <c r="E4296" s="43" t="s">
        <v>3596</v>
      </c>
    </row>
    <row r="4297" spans="1:5" x14ac:dyDescent="0.35">
      <c r="A4297" s="40">
        <v>44058</v>
      </c>
      <c r="B4297" s="38">
        <v>-28.67</v>
      </c>
      <c r="C4297" s="13" t="s">
        <v>1440</v>
      </c>
      <c r="D4297" s="36">
        <v>3444.44</v>
      </c>
      <c r="E4297" s="43" t="s">
        <v>3596</v>
      </c>
    </row>
    <row r="4298" spans="1:5" x14ac:dyDescent="0.35">
      <c r="A4298" s="40">
        <v>44058</v>
      </c>
      <c r="B4298" s="38">
        <v>20</v>
      </c>
      <c r="C4298" s="13" t="s">
        <v>1661</v>
      </c>
      <c r="D4298" s="36">
        <v>3306.8</v>
      </c>
      <c r="E4298" s="43" t="s">
        <v>3596</v>
      </c>
    </row>
    <row r="4299" spans="1:5" x14ac:dyDescent="0.35">
      <c r="A4299" s="40">
        <v>44058</v>
      </c>
      <c r="B4299" s="38">
        <v>-100</v>
      </c>
      <c r="C4299" s="13" t="s">
        <v>946</v>
      </c>
      <c r="D4299" s="36">
        <v>3320.3</v>
      </c>
      <c r="E4299" s="43" t="s">
        <v>3596</v>
      </c>
    </row>
    <row r="4300" spans="1:5" x14ac:dyDescent="0.35">
      <c r="A4300" s="40">
        <v>44058</v>
      </c>
      <c r="B4300" s="38">
        <v>-33.5</v>
      </c>
      <c r="C4300" s="13" t="s">
        <v>0</v>
      </c>
      <c r="D4300" s="36">
        <v>3286.8</v>
      </c>
      <c r="E4300" s="43" t="s">
        <v>3596</v>
      </c>
    </row>
    <row r="4301" spans="1:5" x14ac:dyDescent="0.35">
      <c r="A4301" s="40">
        <v>44057</v>
      </c>
      <c r="B4301" s="38">
        <v>-7.8</v>
      </c>
      <c r="C4301" s="13" t="s">
        <v>1443</v>
      </c>
      <c r="D4301" s="36">
        <v>3376</v>
      </c>
      <c r="E4301" s="43" t="s">
        <v>3596</v>
      </c>
    </row>
    <row r="4302" spans="1:5" x14ac:dyDescent="0.35">
      <c r="A4302" s="40">
        <v>44057</v>
      </c>
      <c r="B4302" s="38">
        <v>112.56</v>
      </c>
      <c r="C4302" s="13" t="s">
        <v>1238</v>
      </c>
      <c r="D4302" s="36">
        <v>3488.56</v>
      </c>
      <c r="E4302" s="43" t="s">
        <v>3596</v>
      </c>
    </row>
    <row r="4303" spans="1:5" x14ac:dyDescent="0.35">
      <c r="A4303" s="40">
        <v>44057</v>
      </c>
      <c r="B4303" s="38">
        <v>3.62</v>
      </c>
      <c r="C4303" s="13" t="s">
        <v>247</v>
      </c>
      <c r="D4303" s="36">
        <v>3492.18</v>
      </c>
      <c r="E4303" s="43" t="s">
        <v>3596</v>
      </c>
    </row>
    <row r="4304" spans="1:5" x14ac:dyDescent="0.35">
      <c r="A4304" s="40">
        <v>44057</v>
      </c>
      <c r="B4304" s="38">
        <v>-23.99</v>
      </c>
      <c r="C4304" s="13" t="s">
        <v>1445</v>
      </c>
      <c r="D4304" s="36">
        <v>3387.4</v>
      </c>
      <c r="E4304" s="43" t="s">
        <v>3596</v>
      </c>
    </row>
    <row r="4305" spans="1:5" x14ac:dyDescent="0.35">
      <c r="A4305" s="40">
        <v>44057</v>
      </c>
      <c r="B4305" s="38">
        <v>-3.6</v>
      </c>
      <c r="C4305" s="13" t="s">
        <v>1444</v>
      </c>
      <c r="D4305" s="36">
        <v>3383.8</v>
      </c>
      <c r="E4305" s="43" t="s">
        <v>3596</v>
      </c>
    </row>
    <row r="4306" spans="1:5" x14ac:dyDescent="0.35">
      <c r="A4306" s="40">
        <v>44056</v>
      </c>
      <c r="B4306" s="38">
        <v>-19</v>
      </c>
      <c r="C4306" s="13" t="s">
        <v>1447</v>
      </c>
      <c r="D4306" s="36">
        <v>3417.39</v>
      </c>
      <c r="E4306" s="43" t="s">
        <v>3596</v>
      </c>
    </row>
    <row r="4307" spans="1:5" x14ac:dyDescent="0.35">
      <c r="A4307" s="40">
        <v>44056</v>
      </c>
      <c r="B4307" s="38">
        <v>-6</v>
      </c>
      <c r="C4307" s="13" t="s">
        <v>1446</v>
      </c>
      <c r="D4307" s="36">
        <v>3411.39</v>
      </c>
      <c r="E4307" s="43" t="s">
        <v>3596</v>
      </c>
    </row>
    <row r="4308" spans="1:5" x14ac:dyDescent="0.35">
      <c r="A4308" s="40">
        <v>44055</v>
      </c>
      <c r="B4308" s="38">
        <v>-17.5</v>
      </c>
      <c r="C4308" s="13" t="s">
        <v>1450</v>
      </c>
      <c r="D4308" s="36">
        <v>3709.11</v>
      </c>
      <c r="E4308" s="43" t="s">
        <v>3596</v>
      </c>
    </row>
    <row r="4309" spans="1:5" x14ac:dyDescent="0.35">
      <c r="A4309" s="40">
        <v>44055</v>
      </c>
      <c r="B4309" s="38">
        <v>-11.45</v>
      </c>
      <c r="C4309" s="13" t="s">
        <v>1448</v>
      </c>
      <c r="D4309" s="36">
        <v>3506.39</v>
      </c>
      <c r="E4309" s="43" t="s">
        <v>3596</v>
      </c>
    </row>
    <row r="4310" spans="1:5" x14ac:dyDescent="0.35">
      <c r="A4310" s="40">
        <v>44055</v>
      </c>
      <c r="B4310" s="38">
        <v>-70</v>
      </c>
      <c r="C4310" s="13" t="s">
        <v>1704</v>
      </c>
      <c r="D4310" s="36">
        <v>3436.39</v>
      </c>
      <c r="E4310" s="43" t="s">
        <v>3596</v>
      </c>
    </row>
    <row r="4311" spans="1:5" x14ac:dyDescent="0.35">
      <c r="A4311" s="40">
        <v>44055</v>
      </c>
      <c r="B4311" s="38">
        <v>-191.27</v>
      </c>
      <c r="C4311" s="13" t="s">
        <v>1449</v>
      </c>
      <c r="D4311" s="36">
        <v>3517.84</v>
      </c>
      <c r="E4311" s="43" t="s">
        <v>3596</v>
      </c>
    </row>
    <row r="4312" spans="1:5" x14ac:dyDescent="0.35">
      <c r="A4312" s="40">
        <v>44054</v>
      </c>
      <c r="B4312" s="38">
        <v>-47.75</v>
      </c>
      <c r="C4312" s="13" t="s">
        <v>1451</v>
      </c>
      <c r="D4312" s="36">
        <v>3726.61</v>
      </c>
      <c r="E4312" s="43" t="s">
        <v>3596</v>
      </c>
    </row>
    <row r="4313" spans="1:5" x14ac:dyDescent="0.35">
      <c r="A4313" s="40">
        <v>44054</v>
      </c>
      <c r="B4313" s="38">
        <v>-25.2</v>
      </c>
      <c r="C4313" s="13" t="s">
        <v>1452</v>
      </c>
      <c r="D4313" s="36">
        <v>3783.86</v>
      </c>
      <c r="E4313" s="43" t="s">
        <v>3596</v>
      </c>
    </row>
    <row r="4314" spans="1:5" x14ac:dyDescent="0.35">
      <c r="A4314" s="40">
        <v>44054</v>
      </c>
      <c r="B4314" s="38">
        <v>-9.5</v>
      </c>
      <c r="C4314" s="13" t="s">
        <v>1704</v>
      </c>
      <c r="D4314" s="36">
        <v>3774.36</v>
      </c>
      <c r="E4314" s="43" t="s">
        <v>3596</v>
      </c>
    </row>
    <row r="4315" spans="1:5" x14ac:dyDescent="0.35">
      <c r="A4315" s="40">
        <v>44054</v>
      </c>
      <c r="B4315" s="38">
        <v>-12.96</v>
      </c>
      <c r="C4315" s="13" t="s">
        <v>1453</v>
      </c>
      <c r="D4315" s="36">
        <v>3809.06</v>
      </c>
      <c r="E4315" s="43" t="s">
        <v>3596</v>
      </c>
    </row>
    <row r="4316" spans="1:5" x14ac:dyDescent="0.35">
      <c r="A4316" s="40">
        <v>44053</v>
      </c>
      <c r="B4316" s="38">
        <v>-8.5</v>
      </c>
      <c r="C4316" s="13" t="s">
        <v>1455</v>
      </c>
      <c r="D4316" s="36">
        <v>3910.07</v>
      </c>
      <c r="E4316" s="43" t="s">
        <v>3596</v>
      </c>
    </row>
    <row r="4317" spans="1:5" x14ac:dyDescent="0.35">
      <c r="A4317" s="40">
        <v>44053</v>
      </c>
      <c r="B4317" s="38">
        <v>-16.8</v>
      </c>
      <c r="C4317" s="13" t="s">
        <v>1455</v>
      </c>
      <c r="D4317" s="36">
        <v>3918.57</v>
      </c>
      <c r="E4317" s="43" t="s">
        <v>3596</v>
      </c>
    </row>
    <row r="4318" spans="1:5" x14ac:dyDescent="0.35">
      <c r="A4318" s="40">
        <v>44053</v>
      </c>
      <c r="B4318" s="38">
        <v>-28.55</v>
      </c>
      <c r="C4318" s="13" t="s">
        <v>1454</v>
      </c>
      <c r="D4318" s="36">
        <v>3881.52</v>
      </c>
      <c r="E4318" s="43" t="s">
        <v>3596</v>
      </c>
    </row>
    <row r="4319" spans="1:5" x14ac:dyDescent="0.35">
      <c r="A4319" s="40">
        <v>44053</v>
      </c>
      <c r="B4319" s="38">
        <v>-59.5</v>
      </c>
      <c r="C4319" s="13" t="s">
        <v>37</v>
      </c>
      <c r="D4319" s="36">
        <v>3822.02</v>
      </c>
      <c r="E4319" s="43" t="s">
        <v>3596</v>
      </c>
    </row>
    <row r="4320" spans="1:5" x14ac:dyDescent="0.35">
      <c r="A4320" s="40">
        <v>44052</v>
      </c>
      <c r="B4320" s="38">
        <v>-24.2</v>
      </c>
      <c r="C4320" s="13" t="s">
        <v>1456</v>
      </c>
      <c r="D4320" s="36">
        <v>3935.37</v>
      </c>
      <c r="E4320" s="43" t="s">
        <v>3596</v>
      </c>
    </row>
    <row r="4321" spans="1:5" x14ac:dyDescent="0.35">
      <c r="A4321" s="40">
        <v>44052</v>
      </c>
      <c r="B4321" s="38">
        <v>-6.3</v>
      </c>
      <c r="C4321" s="13" t="s">
        <v>1456</v>
      </c>
      <c r="D4321" s="36">
        <v>3959.57</v>
      </c>
      <c r="E4321" s="43" t="s">
        <v>3596</v>
      </c>
    </row>
    <row r="4322" spans="1:5" x14ac:dyDescent="0.35">
      <c r="A4322" s="40">
        <v>44052</v>
      </c>
      <c r="B4322" s="38">
        <v>-3</v>
      </c>
      <c r="C4322" s="13" t="s">
        <v>1457</v>
      </c>
      <c r="D4322" s="36">
        <v>3965.87</v>
      </c>
      <c r="E4322" s="43" t="s">
        <v>3596</v>
      </c>
    </row>
    <row r="4323" spans="1:5" x14ac:dyDescent="0.35">
      <c r="A4323" s="40">
        <v>44051</v>
      </c>
      <c r="B4323" s="38">
        <v>-100</v>
      </c>
      <c r="C4323" s="13" t="s">
        <v>946</v>
      </c>
      <c r="D4323" s="36">
        <v>3991.8</v>
      </c>
      <c r="E4323" s="43" t="s">
        <v>3596</v>
      </c>
    </row>
    <row r="4324" spans="1:5" x14ac:dyDescent="0.35">
      <c r="A4324" s="40">
        <v>44051</v>
      </c>
      <c r="B4324" s="38">
        <v>-22.93</v>
      </c>
      <c r="C4324" s="13" t="s">
        <v>1274</v>
      </c>
      <c r="D4324" s="36">
        <v>3968.87</v>
      </c>
      <c r="E4324" s="43" t="s">
        <v>3596</v>
      </c>
    </row>
    <row r="4325" spans="1:5" x14ac:dyDescent="0.35">
      <c r="A4325" s="40">
        <v>44050</v>
      </c>
      <c r="B4325" s="38">
        <v>-185</v>
      </c>
      <c r="C4325" s="13" t="s">
        <v>2072</v>
      </c>
      <c r="D4325" s="36">
        <v>4091.8</v>
      </c>
      <c r="E4325" s="43" t="s">
        <v>3596</v>
      </c>
    </row>
    <row r="4326" spans="1:5" x14ac:dyDescent="0.35">
      <c r="A4326" s="40">
        <v>44050</v>
      </c>
      <c r="B4326" s="38">
        <v>-14.95</v>
      </c>
      <c r="C4326" s="13" t="s">
        <v>1458</v>
      </c>
      <c r="D4326" s="36">
        <v>4276.8</v>
      </c>
      <c r="E4326" s="43" t="s">
        <v>3596</v>
      </c>
    </row>
    <row r="4327" spans="1:5" x14ac:dyDescent="0.35">
      <c r="A4327" s="40">
        <v>44050</v>
      </c>
      <c r="B4327" s="38">
        <v>-70</v>
      </c>
      <c r="C4327" s="13" t="s">
        <v>1459</v>
      </c>
      <c r="D4327" s="36">
        <v>4291.75</v>
      </c>
      <c r="E4327" s="43" t="s">
        <v>3596</v>
      </c>
    </row>
    <row r="4328" spans="1:5" x14ac:dyDescent="0.35">
      <c r="A4328" s="40">
        <v>44049</v>
      </c>
      <c r="B4328" s="38">
        <v>-337.7</v>
      </c>
      <c r="C4328" s="13" t="s">
        <v>1461</v>
      </c>
      <c r="D4328" s="36">
        <v>4871.74</v>
      </c>
      <c r="E4328" s="43" t="s">
        <v>3596</v>
      </c>
    </row>
    <row r="4329" spans="1:5" x14ac:dyDescent="0.35">
      <c r="A4329" s="40">
        <v>44049</v>
      </c>
      <c r="B4329" s="38">
        <v>2053.4899999999998</v>
      </c>
      <c r="C4329" s="13" t="s">
        <v>1462</v>
      </c>
      <c r="D4329" s="36">
        <v>5209.4399999999996</v>
      </c>
      <c r="E4329" s="43" t="s">
        <v>3596</v>
      </c>
    </row>
    <row r="4330" spans="1:5" x14ac:dyDescent="0.35">
      <c r="A4330" s="40">
        <v>44049</v>
      </c>
      <c r="B4330" s="38">
        <v>-500</v>
      </c>
      <c r="C4330" s="13" t="s">
        <v>945</v>
      </c>
      <c r="D4330" s="36">
        <v>4361.75</v>
      </c>
      <c r="E4330" s="43" t="s">
        <v>3596</v>
      </c>
    </row>
    <row r="4331" spans="1:5" x14ac:dyDescent="0.35">
      <c r="A4331" s="40">
        <v>44049</v>
      </c>
      <c r="B4331" s="38">
        <v>-9.99</v>
      </c>
      <c r="C4331" s="13" t="s">
        <v>1460</v>
      </c>
      <c r="D4331" s="36">
        <v>4861.75</v>
      </c>
      <c r="E4331" s="43" t="s">
        <v>3596</v>
      </c>
    </row>
    <row r="4332" spans="1:5" x14ac:dyDescent="0.35">
      <c r="A4332" s="40">
        <v>44048</v>
      </c>
      <c r="B4332" s="38">
        <v>-28.53</v>
      </c>
      <c r="C4332" s="13" t="s">
        <v>1463</v>
      </c>
      <c r="D4332" s="36">
        <v>3324.95</v>
      </c>
      <c r="E4332" s="43" t="s">
        <v>3596</v>
      </c>
    </row>
    <row r="4333" spans="1:5" x14ac:dyDescent="0.35">
      <c r="A4333" s="40">
        <v>44048</v>
      </c>
      <c r="B4333" s="38">
        <v>-169</v>
      </c>
      <c r="C4333" s="13" t="s">
        <v>2073</v>
      </c>
      <c r="D4333" s="36">
        <v>3155.95</v>
      </c>
      <c r="E4333" s="43" t="s">
        <v>3596</v>
      </c>
    </row>
    <row r="4334" spans="1:5" x14ac:dyDescent="0.35">
      <c r="A4334" s="40">
        <v>44046</v>
      </c>
      <c r="B4334" s="38">
        <v>-23.55</v>
      </c>
      <c r="C4334" s="13" t="s">
        <v>1</v>
      </c>
      <c r="D4334" s="36">
        <v>3525.78</v>
      </c>
      <c r="E4334" s="43" t="s">
        <v>3596</v>
      </c>
    </row>
    <row r="4335" spans="1:5" x14ac:dyDescent="0.35">
      <c r="A4335" s="40">
        <v>44046</v>
      </c>
      <c r="B4335" s="38">
        <v>-172.3</v>
      </c>
      <c r="C4335" s="13" t="s">
        <v>1464</v>
      </c>
      <c r="D4335" s="36">
        <v>3353.48</v>
      </c>
      <c r="E4335" s="43" t="s">
        <v>3596</v>
      </c>
    </row>
    <row r="4336" spans="1:5" x14ac:dyDescent="0.35">
      <c r="A4336" s="40">
        <v>44044</v>
      </c>
      <c r="B4336" s="38">
        <v>-20</v>
      </c>
      <c r="C4336" s="13" t="s">
        <v>1465</v>
      </c>
      <c r="D4336" s="36">
        <v>3659.33</v>
      </c>
      <c r="E4336" s="43" t="s">
        <v>3596</v>
      </c>
    </row>
    <row r="4337" spans="1:5" x14ac:dyDescent="0.35">
      <c r="A4337" s="40">
        <v>44044</v>
      </c>
      <c r="B4337" s="38">
        <v>-20</v>
      </c>
      <c r="C4337" s="13" t="s">
        <v>3385</v>
      </c>
      <c r="D4337" s="36">
        <v>3698.33</v>
      </c>
      <c r="E4337" s="43" t="s">
        <v>3596</v>
      </c>
    </row>
    <row r="4338" spans="1:5" x14ac:dyDescent="0.35">
      <c r="A4338" s="40">
        <v>44044</v>
      </c>
      <c r="B4338" s="38">
        <v>-100</v>
      </c>
      <c r="C4338" s="13" t="s">
        <v>946</v>
      </c>
      <c r="D4338" s="36">
        <v>3718.33</v>
      </c>
      <c r="E4338" s="43" t="s">
        <v>3596</v>
      </c>
    </row>
    <row r="4339" spans="1:5" x14ac:dyDescent="0.35">
      <c r="A4339" s="40">
        <v>44044</v>
      </c>
      <c r="B4339" s="38">
        <v>-110</v>
      </c>
      <c r="C4339" s="13" t="s">
        <v>1221</v>
      </c>
      <c r="D4339" s="36">
        <v>3549.33</v>
      </c>
      <c r="E4339" s="43" t="s">
        <v>3596</v>
      </c>
    </row>
    <row r="4340" spans="1:5" x14ac:dyDescent="0.35">
      <c r="A4340" s="40">
        <v>44044</v>
      </c>
      <c r="B4340" s="38">
        <v>-19</v>
      </c>
      <c r="C4340" s="13" t="s">
        <v>0</v>
      </c>
      <c r="D4340" s="36">
        <v>3679.33</v>
      </c>
      <c r="E4340" s="43" t="s">
        <v>3596</v>
      </c>
    </row>
    <row r="4341" spans="1:5" x14ac:dyDescent="0.35">
      <c r="A4341" s="40">
        <v>44043</v>
      </c>
      <c r="B4341" s="38">
        <v>-70</v>
      </c>
      <c r="C4341" s="13" t="s">
        <v>1699</v>
      </c>
      <c r="D4341" s="36">
        <v>3840.13</v>
      </c>
      <c r="E4341" s="43" t="s">
        <v>3596</v>
      </c>
    </row>
    <row r="4342" spans="1:5" x14ac:dyDescent="0.35">
      <c r="A4342" s="40">
        <v>44043</v>
      </c>
      <c r="B4342" s="38">
        <v>-2.8</v>
      </c>
      <c r="C4342" s="13" t="s">
        <v>24</v>
      </c>
      <c r="D4342" s="36">
        <v>3837.33</v>
      </c>
      <c r="E4342" s="43" t="s">
        <v>3596</v>
      </c>
    </row>
    <row r="4343" spans="1:5" x14ac:dyDescent="0.35">
      <c r="A4343" s="40">
        <v>44043</v>
      </c>
      <c r="B4343" s="38">
        <v>-19</v>
      </c>
      <c r="C4343" s="13" t="s">
        <v>0</v>
      </c>
      <c r="D4343" s="36">
        <v>3818.33</v>
      </c>
      <c r="E4343" s="43" t="s">
        <v>3596</v>
      </c>
    </row>
    <row r="4344" spans="1:5" x14ac:dyDescent="0.35">
      <c r="A4344" s="40">
        <v>44042</v>
      </c>
      <c r="B4344" s="38">
        <v>-45.89</v>
      </c>
      <c r="C4344" s="13" t="s">
        <v>1467</v>
      </c>
      <c r="D4344" s="36">
        <v>3930.88</v>
      </c>
      <c r="E4344" s="43" t="s">
        <v>3596</v>
      </c>
    </row>
    <row r="4345" spans="1:5" x14ac:dyDescent="0.35">
      <c r="A4345" s="40">
        <v>44042</v>
      </c>
      <c r="B4345" s="38">
        <v>-40.11</v>
      </c>
      <c r="C4345" s="13" t="s">
        <v>1468</v>
      </c>
      <c r="D4345" s="36">
        <v>3976.77</v>
      </c>
      <c r="E4345" s="43" t="s">
        <v>3596</v>
      </c>
    </row>
    <row r="4346" spans="1:5" x14ac:dyDescent="0.35">
      <c r="A4346" s="40">
        <v>44042</v>
      </c>
      <c r="B4346" s="38">
        <v>-20.75</v>
      </c>
      <c r="C4346" s="13" t="s">
        <v>1466</v>
      </c>
      <c r="D4346" s="36">
        <v>3910.13</v>
      </c>
      <c r="E4346" s="43" t="s">
        <v>3596</v>
      </c>
    </row>
    <row r="4347" spans="1:5" x14ac:dyDescent="0.35">
      <c r="A4347" s="40">
        <v>44042</v>
      </c>
      <c r="B4347" s="38">
        <v>-21.5</v>
      </c>
      <c r="C4347" s="13" t="s">
        <v>1469</v>
      </c>
      <c r="D4347" s="36">
        <v>4016.88</v>
      </c>
      <c r="E4347" s="43" t="s">
        <v>3596</v>
      </c>
    </row>
    <row r="4348" spans="1:5" x14ac:dyDescent="0.35">
      <c r="A4348" s="40">
        <v>44041</v>
      </c>
      <c r="B4348" s="38">
        <v>-7.5</v>
      </c>
      <c r="C4348" s="13" t="s">
        <v>1704</v>
      </c>
      <c r="D4348" s="36">
        <v>4038.38</v>
      </c>
      <c r="E4348" s="43" t="s">
        <v>3596</v>
      </c>
    </row>
    <row r="4349" spans="1:5" x14ac:dyDescent="0.35">
      <c r="A4349" s="40">
        <v>44040</v>
      </c>
      <c r="B4349" s="38">
        <v>-30</v>
      </c>
      <c r="C4349" s="13" t="s">
        <v>1662</v>
      </c>
      <c r="D4349" s="36">
        <v>4369.26</v>
      </c>
      <c r="E4349" s="43" t="s">
        <v>3596</v>
      </c>
    </row>
    <row r="4350" spans="1:5" x14ac:dyDescent="0.35">
      <c r="A4350" s="40">
        <v>44040</v>
      </c>
      <c r="B4350" s="38">
        <v>-250</v>
      </c>
      <c r="C4350" s="13" t="s">
        <v>1657</v>
      </c>
      <c r="D4350" s="36">
        <v>4119.26</v>
      </c>
      <c r="E4350" s="43" t="s">
        <v>3596</v>
      </c>
    </row>
    <row r="4351" spans="1:5" x14ac:dyDescent="0.35">
      <c r="A4351" s="40">
        <v>44040</v>
      </c>
      <c r="B4351" s="38">
        <v>-73.38</v>
      </c>
      <c r="C4351" s="13" t="s">
        <v>1274</v>
      </c>
      <c r="D4351" s="36">
        <v>4045.88</v>
      </c>
      <c r="E4351" s="43" t="s">
        <v>3596</v>
      </c>
    </row>
    <row r="4352" spans="1:5" x14ac:dyDescent="0.35">
      <c r="A4352" s="40">
        <v>44037</v>
      </c>
      <c r="B4352" s="38">
        <v>-100</v>
      </c>
      <c r="C4352" s="13" t="s">
        <v>946</v>
      </c>
      <c r="D4352" s="36">
        <v>4429.26</v>
      </c>
      <c r="E4352" s="43" t="s">
        <v>3596</v>
      </c>
    </row>
    <row r="4353" spans="1:5" x14ac:dyDescent="0.35">
      <c r="A4353" s="40">
        <v>44037</v>
      </c>
      <c r="B4353" s="38">
        <v>-30</v>
      </c>
      <c r="C4353" s="13" t="s">
        <v>1741</v>
      </c>
      <c r="D4353" s="36">
        <v>4399.26</v>
      </c>
      <c r="E4353" s="43" t="s">
        <v>3596</v>
      </c>
    </row>
    <row r="4354" spans="1:5" x14ac:dyDescent="0.35">
      <c r="A4354" s="40">
        <v>44035</v>
      </c>
      <c r="B4354" s="38">
        <v>2053.4899999999998</v>
      </c>
      <c r="C4354" s="13" t="s">
        <v>1039</v>
      </c>
      <c r="D4354" s="36">
        <v>5029.26</v>
      </c>
      <c r="E4354" s="43" t="s">
        <v>3596</v>
      </c>
    </row>
    <row r="4355" spans="1:5" x14ac:dyDescent="0.35">
      <c r="A4355" s="40">
        <v>44035</v>
      </c>
      <c r="B4355" s="38">
        <v>-500</v>
      </c>
      <c r="C4355" s="13" t="s">
        <v>945</v>
      </c>
      <c r="D4355" s="36">
        <v>4529.26</v>
      </c>
      <c r="E4355" s="43" t="s">
        <v>3596</v>
      </c>
    </row>
    <row r="4356" spans="1:5" x14ac:dyDescent="0.35">
      <c r="A4356" s="40">
        <v>44034</v>
      </c>
      <c r="B4356" s="38">
        <v>-26.9</v>
      </c>
      <c r="C4356" s="13" t="s">
        <v>1362</v>
      </c>
      <c r="D4356" s="36">
        <v>3160.41</v>
      </c>
      <c r="E4356" s="43" t="s">
        <v>3596</v>
      </c>
    </row>
    <row r="4357" spans="1:5" x14ac:dyDescent="0.35">
      <c r="A4357" s="40">
        <v>44034</v>
      </c>
      <c r="B4357" s="38">
        <v>-143</v>
      </c>
      <c r="C4357" s="13" t="s">
        <v>1742</v>
      </c>
      <c r="D4357" s="36">
        <v>2975.77</v>
      </c>
      <c r="E4357" s="43" t="s">
        <v>3596</v>
      </c>
    </row>
    <row r="4358" spans="1:5" x14ac:dyDescent="0.35">
      <c r="A4358" s="40">
        <v>44034</v>
      </c>
      <c r="B4358" s="38">
        <v>-23.99</v>
      </c>
      <c r="C4358" s="13" t="s">
        <v>1363</v>
      </c>
      <c r="D4358" s="36">
        <v>3187.31</v>
      </c>
      <c r="E4358" s="43" t="s">
        <v>3596</v>
      </c>
    </row>
    <row r="4359" spans="1:5" x14ac:dyDescent="0.35">
      <c r="A4359" s="40">
        <v>44034</v>
      </c>
      <c r="B4359" s="38">
        <v>-41.64</v>
      </c>
      <c r="C4359" s="13" t="s">
        <v>1361</v>
      </c>
      <c r="D4359" s="36">
        <v>3118.77</v>
      </c>
      <c r="E4359" s="43" t="s">
        <v>3596</v>
      </c>
    </row>
    <row r="4360" spans="1:5" x14ac:dyDescent="0.35">
      <c r="A4360" s="40">
        <v>44033</v>
      </c>
      <c r="B4360" s="38">
        <v>20</v>
      </c>
      <c r="C4360" s="13" t="s">
        <v>1374</v>
      </c>
      <c r="D4360" s="36">
        <v>3211.3</v>
      </c>
      <c r="E4360" s="43" t="s">
        <v>3596</v>
      </c>
    </row>
    <row r="4361" spans="1:5" x14ac:dyDescent="0.35">
      <c r="A4361" s="40">
        <v>44033</v>
      </c>
      <c r="B4361" s="38">
        <v>-4.9000000000000004</v>
      </c>
      <c r="C4361" s="13" t="s">
        <v>1364</v>
      </c>
      <c r="D4361" s="36">
        <v>3191.3</v>
      </c>
      <c r="E4361" s="43" t="s">
        <v>3596</v>
      </c>
    </row>
    <row r="4362" spans="1:5" x14ac:dyDescent="0.35">
      <c r="A4362" s="40">
        <v>44032</v>
      </c>
      <c r="B4362" s="38">
        <v>-52.7</v>
      </c>
      <c r="C4362" s="13" t="s">
        <v>1274</v>
      </c>
      <c r="D4362" s="36">
        <v>3196.2</v>
      </c>
      <c r="E4362" s="43" t="s">
        <v>3596</v>
      </c>
    </row>
    <row r="4363" spans="1:5" x14ac:dyDescent="0.35">
      <c r="A4363" s="40">
        <v>44030</v>
      </c>
      <c r="B4363" s="38">
        <v>-20</v>
      </c>
      <c r="C4363" s="13" t="s">
        <v>1373</v>
      </c>
      <c r="D4363" s="36">
        <v>3248.9</v>
      </c>
      <c r="E4363" s="43" t="s">
        <v>3596</v>
      </c>
    </row>
    <row r="4364" spans="1:5" x14ac:dyDescent="0.35">
      <c r="A4364" s="40">
        <v>44030</v>
      </c>
      <c r="B4364" s="38">
        <v>-100</v>
      </c>
      <c r="C4364" s="13" t="s">
        <v>946</v>
      </c>
      <c r="D4364" s="36">
        <v>3268.9</v>
      </c>
      <c r="E4364" s="43" t="s">
        <v>3596</v>
      </c>
    </row>
    <row r="4365" spans="1:5" x14ac:dyDescent="0.35">
      <c r="A4365" s="40">
        <v>44028</v>
      </c>
      <c r="B4365" s="38">
        <v>-13.4</v>
      </c>
      <c r="C4365" s="13" t="s">
        <v>1365</v>
      </c>
      <c r="D4365" s="36">
        <v>3368.9</v>
      </c>
      <c r="E4365" s="43" t="s">
        <v>3596</v>
      </c>
    </row>
    <row r="4366" spans="1:5" x14ac:dyDescent="0.35">
      <c r="A4366" s="40">
        <v>44028</v>
      </c>
      <c r="B4366" s="38">
        <v>-39.9</v>
      </c>
      <c r="C4366" s="13" t="s">
        <v>1366</v>
      </c>
      <c r="D4366" s="36">
        <v>3382.3</v>
      </c>
      <c r="E4366" s="43" t="s">
        <v>3596</v>
      </c>
    </row>
    <row r="4367" spans="1:5" x14ac:dyDescent="0.35">
      <c r="A4367" s="40">
        <v>44028</v>
      </c>
      <c r="B4367" s="38">
        <v>-15.75</v>
      </c>
      <c r="C4367" s="13" t="s">
        <v>1366</v>
      </c>
      <c r="D4367" s="36">
        <v>3422.2</v>
      </c>
      <c r="E4367" s="43" t="s">
        <v>3596</v>
      </c>
    </row>
    <row r="4368" spans="1:5" x14ac:dyDescent="0.35">
      <c r="A4368" s="40">
        <v>44027</v>
      </c>
      <c r="B4368" s="38">
        <v>-24</v>
      </c>
      <c r="C4368" s="13" t="s">
        <v>1370</v>
      </c>
      <c r="D4368" s="36">
        <v>3437.95</v>
      </c>
      <c r="E4368" s="43" t="s">
        <v>3596</v>
      </c>
    </row>
    <row r="4369" spans="1:5" x14ac:dyDescent="0.35">
      <c r="A4369" s="40">
        <v>44026</v>
      </c>
      <c r="B4369" s="38">
        <v>-211.12</v>
      </c>
      <c r="C4369" s="13" t="s">
        <v>1367</v>
      </c>
      <c r="D4369" s="36">
        <v>3461.95</v>
      </c>
      <c r="E4369" s="43" t="s">
        <v>3596</v>
      </c>
    </row>
    <row r="4370" spans="1:5" x14ac:dyDescent="0.35">
      <c r="A4370" s="40">
        <v>44026</v>
      </c>
      <c r="B4370" s="38">
        <v>-17.989999999999998</v>
      </c>
      <c r="C4370" s="13" t="s">
        <v>1368</v>
      </c>
      <c r="D4370" s="36">
        <v>3673.07</v>
      </c>
      <c r="E4370" s="43" t="s">
        <v>3596</v>
      </c>
    </row>
    <row r="4371" spans="1:5" x14ac:dyDescent="0.35">
      <c r="A4371" s="40">
        <v>44025</v>
      </c>
      <c r="B4371" s="38">
        <v>60</v>
      </c>
      <c r="C4371" s="13" t="s">
        <v>1371</v>
      </c>
      <c r="D4371" s="36">
        <v>3691.06</v>
      </c>
      <c r="E4371" s="43" t="s">
        <v>3596</v>
      </c>
    </row>
    <row r="4372" spans="1:5" x14ac:dyDescent="0.35">
      <c r="A4372" s="40">
        <v>44023</v>
      </c>
      <c r="B4372" s="38">
        <v>54</v>
      </c>
      <c r="C4372" s="13" t="s">
        <v>1372</v>
      </c>
      <c r="D4372" s="36">
        <v>3631.06</v>
      </c>
      <c r="E4372" s="43" t="s">
        <v>3596</v>
      </c>
    </row>
    <row r="4373" spans="1:5" x14ac:dyDescent="0.35">
      <c r="A4373" s="40">
        <v>44023</v>
      </c>
      <c r="B4373" s="38">
        <v>-100</v>
      </c>
      <c r="C4373" s="13" t="s">
        <v>946</v>
      </c>
      <c r="D4373" s="36">
        <v>3577.06</v>
      </c>
      <c r="E4373" s="43" t="s">
        <v>3596</v>
      </c>
    </row>
    <row r="4374" spans="1:5" x14ac:dyDescent="0.35">
      <c r="A4374" s="40">
        <v>44022</v>
      </c>
      <c r="B4374" s="38">
        <v>-20</v>
      </c>
      <c r="C4374" s="13" t="s">
        <v>1369</v>
      </c>
      <c r="D4374" s="36">
        <v>3724.32</v>
      </c>
      <c r="E4374" s="43" t="s">
        <v>3596</v>
      </c>
    </row>
    <row r="4375" spans="1:5" x14ac:dyDescent="0.35">
      <c r="A4375" s="40">
        <v>44022</v>
      </c>
      <c r="B4375" s="38">
        <v>-47.26</v>
      </c>
      <c r="C4375" s="13" t="s">
        <v>37</v>
      </c>
      <c r="D4375" s="36">
        <v>3677.06</v>
      </c>
      <c r="E4375" s="43" t="s">
        <v>3596</v>
      </c>
    </row>
    <row r="4376" spans="1:5" x14ac:dyDescent="0.35">
      <c r="A4376" s="40">
        <v>44021</v>
      </c>
      <c r="B4376" s="38">
        <v>-160.46</v>
      </c>
      <c r="C4376" s="13" t="s">
        <v>1337</v>
      </c>
      <c r="D4376" s="36">
        <v>4283.91</v>
      </c>
      <c r="E4376" s="43" t="s">
        <v>3596</v>
      </c>
    </row>
    <row r="4377" spans="1:5" x14ac:dyDescent="0.35">
      <c r="A4377" s="40">
        <v>44021</v>
      </c>
      <c r="B4377" s="38">
        <v>2053.4899999999998</v>
      </c>
      <c r="C4377" s="13" t="s">
        <v>1338</v>
      </c>
      <c r="D4377" s="36">
        <v>4444.37</v>
      </c>
      <c r="E4377" s="43" t="s">
        <v>3596</v>
      </c>
    </row>
    <row r="4378" spans="1:5" x14ac:dyDescent="0.35">
      <c r="A4378" s="40">
        <v>44021</v>
      </c>
      <c r="B4378" s="38">
        <v>-500</v>
      </c>
      <c r="C4378" s="13" t="s">
        <v>945</v>
      </c>
      <c r="D4378" s="36">
        <v>3744.32</v>
      </c>
      <c r="E4378" s="43" t="s">
        <v>3596</v>
      </c>
    </row>
    <row r="4379" spans="1:5" x14ac:dyDescent="0.35">
      <c r="A4379" s="40">
        <v>44021</v>
      </c>
      <c r="B4379" s="38">
        <v>-8.6300000000000008</v>
      </c>
      <c r="C4379" s="13" t="s">
        <v>1336</v>
      </c>
      <c r="D4379" s="36">
        <v>4244.32</v>
      </c>
      <c r="E4379" s="43" t="s">
        <v>3596</v>
      </c>
    </row>
    <row r="4380" spans="1:5" x14ac:dyDescent="0.35">
      <c r="A4380" s="40">
        <v>44021</v>
      </c>
      <c r="B4380" s="38">
        <v>-30.96</v>
      </c>
      <c r="C4380" s="13" t="s">
        <v>1336</v>
      </c>
      <c r="D4380" s="36">
        <v>4252.95</v>
      </c>
      <c r="E4380" s="43" t="s">
        <v>3596</v>
      </c>
    </row>
    <row r="4381" spans="1:5" x14ac:dyDescent="0.35">
      <c r="A4381" s="40">
        <v>44020</v>
      </c>
      <c r="B4381" s="38">
        <v>-46.46</v>
      </c>
      <c r="C4381" s="13" t="s">
        <v>1340</v>
      </c>
      <c r="D4381" s="36">
        <v>2412.9499999999998</v>
      </c>
      <c r="E4381" s="43" t="s">
        <v>3596</v>
      </c>
    </row>
    <row r="4382" spans="1:5" x14ac:dyDescent="0.35">
      <c r="A4382" s="40">
        <v>44020</v>
      </c>
      <c r="B4382" s="38">
        <v>-22.07</v>
      </c>
      <c r="C4382" s="13" t="s">
        <v>1339</v>
      </c>
      <c r="D4382" s="36">
        <v>2390.88</v>
      </c>
      <c r="E4382" s="43" t="s">
        <v>3596</v>
      </c>
    </row>
    <row r="4383" spans="1:5" x14ac:dyDescent="0.35">
      <c r="A4383" s="40">
        <v>44019</v>
      </c>
      <c r="B4383" s="38">
        <v>-9.99</v>
      </c>
      <c r="C4383" s="13" t="s">
        <v>1341</v>
      </c>
      <c r="D4383" s="36">
        <v>2496.04</v>
      </c>
      <c r="E4383" s="43" t="s">
        <v>3596</v>
      </c>
    </row>
    <row r="4384" spans="1:5" x14ac:dyDescent="0.35">
      <c r="A4384" s="40">
        <v>44019</v>
      </c>
      <c r="B4384" s="38">
        <v>-36.630000000000003</v>
      </c>
      <c r="C4384" s="13" t="s">
        <v>1274</v>
      </c>
      <c r="D4384" s="36">
        <v>2459.41</v>
      </c>
      <c r="E4384" s="43" t="s">
        <v>3596</v>
      </c>
    </row>
    <row r="4385" spans="1:5" x14ac:dyDescent="0.35">
      <c r="A4385" s="40">
        <v>44018</v>
      </c>
      <c r="B4385" s="38">
        <v>53.48</v>
      </c>
      <c r="C4385" s="13" t="s">
        <v>1238</v>
      </c>
      <c r="D4385" s="36">
        <v>2484.52</v>
      </c>
      <c r="E4385" s="43" t="s">
        <v>3596</v>
      </c>
    </row>
    <row r="4386" spans="1:5" x14ac:dyDescent="0.35">
      <c r="A4386" s="40">
        <v>44018</v>
      </c>
      <c r="B4386" s="38">
        <v>53.3</v>
      </c>
      <c r="C4386" s="13" t="s">
        <v>1242</v>
      </c>
      <c r="D4386" s="36">
        <v>2537.8200000000002</v>
      </c>
      <c r="E4386" s="43" t="s">
        <v>3596</v>
      </c>
    </row>
    <row r="4387" spans="1:5" x14ac:dyDescent="0.35">
      <c r="A4387" s="40">
        <v>44018</v>
      </c>
      <c r="B4387" s="38">
        <v>-31.79</v>
      </c>
      <c r="C4387" s="13" t="s">
        <v>1274</v>
      </c>
      <c r="D4387" s="36">
        <v>2506.0300000000002</v>
      </c>
      <c r="E4387" s="43" t="s">
        <v>3596</v>
      </c>
    </row>
    <row r="4388" spans="1:5" x14ac:dyDescent="0.35">
      <c r="A4388" s="40">
        <v>44016</v>
      </c>
      <c r="B4388" s="38">
        <v>-100</v>
      </c>
      <c r="C4388" s="13" t="s">
        <v>946</v>
      </c>
      <c r="D4388" s="36">
        <v>2431.04</v>
      </c>
      <c r="E4388" s="43" t="s">
        <v>3596</v>
      </c>
    </row>
    <row r="4389" spans="1:5" x14ac:dyDescent="0.35">
      <c r="A4389" s="40">
        <v>44014</v>
      </c>
      <c r="B4389" s="38">
        <v>-47.94</v>
      </c>
      <c r="C4389" s="13" t="s">
        <v>1011</v>
      </c>
      <c r="D4389" s="36">
        <v>2531.04</v>
      </c>
      <c r="E4389" s="43" t="s">
        <v>3596</v>
      </c>
    </row>
    <row r="4390" spans="1:5" x14ac:dyDescent="0.35">
      <c r="A4390" s="40">
        <v>44014</v>
      </c>
      <c r="B4390" s="38">
        <v>-8.33</v>
      </c>
      <c r="C4390" s="13" t="s">
        <v>1342</v>
      </c>
      <c r="D4390" s="36">
        <v>2578.98</v>
      </c>
      <c r="E4390" s="43" t="s">
        <v>3596</v>
      </c>
    </row>
    <row r="4391" spans="1:5" x14ac:dyDescent="0.35">
      <c r="A4391" s="40">
        <v>44013</v>
      </c>
      <c r="B4391" s="38">
        <v>-14.2</v>
      </c>
      <c r="C4391" s="13" t="s">
        <v>1344</v>
      </c>
      <c r="D4391" s="36">
        <v>2759.61</v>
      </c>
      <c r="E4391" s="43" t="s">
        <v>3596</v>
      </c>
    </row>
    <row r="4392" spans="1:5" x14ac:dyDescent="0.35">
      <c r="A4392" s="40">
        <v>44013</v>
      </c>
      <c r="B4392" s="38">
        <v>-20</v>
      </c>
      <c r="C4392" s="13" t="s">
        <v>3385</v>
      </c>
      <c r="D4392" s="36">
        <v>2773.81</v>
      </c>
      <c r="E4392" s="43" t="s">
        <v>3596</v>
      </c>
    </row>
    <row r="4393" spans="1:5" x14ac:dyDescent="0.35">
      <c r="A4393" s="40">
        <v>44013</v>
      </c>
      <c r="B4393" s="38">
        <v>-172.3</v>
      </c>
      <c r="C4393" s="13" t="s">
        <v>1343</v>
      </c>
      <c r="D4393" s="36">
        <v>2587.31</v>
      </c>
      <c r="E4393" s="43" t="s">
        <v>3596</v>
      </c>
    </row>
    <row r="4394" spans="1:5" x14ac:dyDescent="0.35">
      <c r="A4394" s="40">
        <v>44012</v>
      </c>
      <c r="B4394" s="38">
        <v>-27.5</v>
      </c>
      <c r="C4394" s="13" t="s">
        <v>1356</v>
      </c>
      <c r="D4394" s="36">
        <v>2862.27</v>
      </c>
      <c r="E4394" s="43" t="s">
        <v>3596</v>
      </c>
    </row>
    <row r="4395" spans="1:5" x14ac:dyDescent="0.35">
      <c r="A4395" s="40">
        <v>44012</v>
      </c>
      <c r="B4395" s="38">
        <v>-68.459999999999994</v>
      </c>
      <c r="C4395" s="13" t="s">
        <v>1274</v>
      </c>
      <c r="D4395" s="36">
        <v>2793.81</v>
      </c>
      <c r="E4395" s="43" t="s">
        <v>3596</v>
      </c>
    </row>
    <row r="4396" spans="1:5" x14ac:dyDescent="0.35">
      <c r="A4396" s="40">
        <v>44012</v>
      </c>
      <c r="B4396" s="38">
        <v>-33.19</v>
      </c>
      <c r="C4396" s="13" t="s">
        <v>1345</v>
      </c>
      <c r="D4396" s="36">
        <v>2889.77</v>
      </c>
      <c r="E4396" s="43" t="s">
        <v>3596</v>
      </c>
    </row>
    <row r="4397" spans="1:5" x14ac:dyDescent="0.35">
      <c r="A4397" s="40">
        <v>44011</v>
      </c>
      <c r="B4397" s="38">
        <v>-19.55</v>
      </c>
      <c r="C4397" s="13" t="s">
        <v>779</v>
      </c>
      <c r="D4397" s="36">
        <v>2922.96</v>
      </c>
      <c r="E4397" s="43" t="s">
        <v>3596</v>
      </c>
    </row>
    <row r="4398" spans="1:5" x14ac:dyDescent="0.35">
      <c r="A4398" s="40">
        <v>44011</v>
      </c>
      <c r="B4398" s="38">
        <v>56</v>
      </c>
      <c r="C4398" s="13" t="s">
        <v>1663</v>
      </c>
      <c r="D4398" s="36">
        <v>2946.5</v>
      </c>
      <c r="E4398" s="43" t="s">
        <v>3596</v>
      </c>
    </row>
    <row r="4399" spans="1:5" x14ac:dyDescent="0.35">
      <c r="A4399" s="40">
        <v>44011</v>
      </c>
      <c r="B4399" s="38">
        <v>56</v>
      </c>
      <c r="C4399" s="13" t="s">
        <v>1355</v>
      </c>
      <c r="D4399" s="36">
        <v>2890.5</v>
      </c>
      <c r="E4399" s="43" t="s">
        <v>3596</v>
      </c>
    </row>
    <row r="4400" spans="1:5" x14ac:dyDescent="0.35">
      <c r="A4400" s="40">
        <v>44011</v>
      </c>
      <c r="B4400" s="38">
        <v>-210</v>
      </c>
      <c r="C4400" s="13" t="s">
        <v>1356</v>
      </c>
      <c r="D4400" s="36">
        <v>2834.5</v>
      </c>
      <c r="E4400" s="43" t="s">
        <v>3596</v>
      </c>
    </row>
    <row r="4401" spans="1:5" x14ac:dyDescent="0.35">
      <c r="A4401" s="40">
        <v>44011</v>
      </c>
      <c r="B4401" s="38">
        <v>-3.99</v>
      </c>
      <c r="C4401" s="13" t="s">
        <v>1</v>
      </c>
      <c r="D4401" s="36">
        <v>2942.51</v>
      </c>
      <c r="E4401" s="43" t="s">
        <v>3596</v>
      </c>
    </row>
    <row r="4402" spans="1:5" x14ac:dyDescent="0.35">
      <c r="A4402" s="40">
        <v>44009</v>
      </c>
      <c r="B4402" s="38">
        <v>-100</v>
      </c>
      <c r="C4402" s="13" t="s">
        <v>946</v>
      </c>
      <c r="D4402" s="36">
        <v>3078.38</v>
      </c>
      <c r="E4402" s="43" t="s">
        <v>3596</v>
      </c>
    </row>
    <row r="4403" spans="1:5" x14ac:dyDescent="0.35">
      <c r="A4403" s="40">
        <v>44009</v>
      </c>
      <c r="B4403" s="38">
        <v>-6.9</v>
      </c>
      <c r="C4403" s="13" t="s">
        <v>1347</v>
      </c>
      <c r="D4403" s="36">
        <v>3071.48</v>
      </c>
      <c r="E4403" s="43" t="s">
        <v>3596</v>
      </c>
    </row>
    <row r="4404" spans="1:5" x14ac:dyDescent="0.35">
      <c r="A4404" s="40">
        <v>44009</v>
      </c>
      <c r="B4404" s="38">
        <v>-26.98</v>
      </c>
      <c r="C4404" s="13" t="s">
        <v>1346</v>
      </c>
      <c r="D4404" s="36">
        <v>3044.5</v>
      </c>
      <c r="E4404" s="43" t="s">
        <v>3596</v>
      </c>
    </row>
    <row r="4405" spans="1:5" x14ac:dyDescent="0.35">
      <c r="A4405" s="40">
        <v>44008</v>
      </c>
      <c r="B4405" s="38">
        <v>-45.4</v>
      </c>
      <c r="C4405" s="13" t="s">
        <v>1348</v>
      </c>
      <c r="D4405" s="36">
        <v>3178.38</v>
      </c>
      <c r="E4405" s="43" t="s">
        <v>3596</v>
      </c>
    </row>
    <row r="4406" spans="1:5" x14ac:dyDescent="0.35">
      <c r="A4406" s="40">
        <v>44007</v>
      </c>
      <c r="B4406" s="38">
        <v>2053.4899999999998</v>
      </c>
      <c r="C4406" s="13" t="s">
        <v>1350</v>
      </c>
      <c r="D4406" s="36">
        <v>5950.4</v>
      </c>
      <c r="E4406" s="43" t="s">
        <v>3596</v>
      </c>
    </row>
    <row r="4407" spans="1:5" x14ac:dyDescent="0.35">
      <c r="A4407" s="40">
        <v>44007</v>
      </c>
      <c r="B4407" s="38">
        <v>-33.229999999999997</v>
      </c>
      <c r="C4407" s="13" t="s">
        <v>1375</v>
      </c>
      <c r="D4407" s="36">
        <v>3223.78</v>
      </c>
      <c r="E4407" s="43" t="s">
        <v>3596</v>
      </c>
    </row>
    <row r="4408" spans="1:5" x14ac:dyDescent="0.35">
      <c r="A4408" s="40">
        <v>44007</v>
      </c>
      <c r="B4408" s="38">
        <v>-500</v>
      </c>
      <c r="C4408" s="13" t="s">
        <v>945</v>
      </c>
      <c r="D4408" s="36">
        <v>3359.01</v>
      </c>
      <c r="E4408" s="43" t="s">
        <v>3596</v>
      </c>
    </row>
    <row r="4409" spans="1:5" x14ac:dyDescent="0.35">
      <c r="A4409" s="40">
        <v>44007</v>
      </c>
      <c r="B4409" s="38">
        <v>-2056</v>
      </c>
      <c r="C4409" s="13" t="s">
        <v>1358</v>
      </c>
      <c r="D4409" s="36">
        <v>3859.01</v>
      </c>
      <c r="E4409" s="43" t="s">
        <v>3596</v>
      </c>
    </row>
    <row r="4410" spans="1:5" x14ac:dyDescent="0.35">
      <c r="A4410" s="40">
        <v>44007</v>
      </c>
      <c r="B4410" s="38">
        <v>-102</v>
      </c>
      <c r="C4410" s="13" t="s">
        <v>1357</v>
      </c>
      <c r="D4410" s="36">
        <v>3257.01</v>
      </c>
      <c r="E4410" s="43" t="s">
        <v>3596</v>
      </c>
    </row>
    <row r="4411" spans="1:5" x14ac:dyDescent="0.35">
      <c r="A4411" s="40">
        <v>44007</v>
      </c>
      <c r="B4411" s="38">
        <v>-35.39</v>
      </c>
      <c r="C4411" s="13" t="s">
        <v>1349</v>
      </c>
      <c r="D4411" s="36">
        <v>5915.01</v>
      </c>
      <c r="E4411" s="43" t="s">
        <v>3596</v>
      </c>
    </row>
    <row r="4412" spans="1:5" x14ac:dyDescent="0.35">
      <c r="A4412" s="40">
        <v>44006</v>
      </c>
      <c r="B4412" s="38">
        <v>-10.45</v>
      </c>
      <c r="C4412" s="13" t="s">
        <v>1351</v>
      </c>
      <c r="D4412" s="36">
        <v>3896.91</v>
      </c>
      <c r="E4412" s="43" t="s">
        <v>3596</v>
      </c>
    </row>
    <row r="4413" spans="1:5" x14ac:dyDescent="0.35">
      <c r="A4413" s="40">
        <v>44005</v>
      </c>
      <c r="B4413" s="38">
        <v>-5.08</v>
      </c>
      <c r="C4413" s="13" t="s">
        <v>1352</v>
      </c>
      <c r="D4413" s="36">
        <v>3907.36</v>
      </c>
      <c r="E4413" s="43" t="s">
        <v>3596</v>
      </c>
    </row>
    <row r="4414" spans="1:5" x14ac:dyDescent="0.35">
      <c r="A4414" s="40">
        <v>44004</v>
      </c>
      <c r="B4414" s="38">
        <v>-37.520000000000003</v>
      </c>
      <c r="C4414" s="13" t="s">
        <v>1274</v>
      </c>
      <c r="D4414" s="36">
        <v>3912.44</v>
      </c>
      <c r="E4414" s="43" t="s">
        <v>3596</v>
      </c>
    </row>
    <row r="4415" spans="1:5" x14ac:dyDescent="0.35">
      <c r="A4415" s="40">
        <v>44002</v>
      </c>
      <c r="B4415" s="38">
        <v>-250</v>
      </c>
      <c r="C4415" s="13" t="s">
        <v>1700</v>
      </c>
      <c r="D4415" s="36">
        <v>4052.76</v>
      </c>
      <c r="E4415" s="43" t="s">
        <v>3596</v>
      </c>
    </row>
    <row r="4416" spans="1:5" x14ac:dyDescent="0.35">
      <c r="A4416" s="40">
        <v>44002</v>
      </c>
      <c r="B4416" s="38">
        <v>-2.8</v>
      </c>
      <c r="C4416" s="13" t="s">
        <v>24</v>
      </c>
      <c r="D4416" s="36">
        <v>4049.96</v>
      </c>
      <c r="E4416" s="43" t="s">
        <v>3596</v>
      </c>
    </row>
    <row r="4417" spans="1:5" x14ac:dyDescent="0.35">
      <c r="A4417" s="40">
        <v>44002</v>
      </c>
      <c r="B4417" s="38">
        <v>-100</v>
      </c>
      <c r="C4417" s="13" t="s">
        <v>1359</v>
      </c>
      <c r="D4417" s="36">
        <v>3949.96</v>
      </c>
      <c r="E4417" s="43" t="s">
        <v>3596</v>
      </c>
    </row>
    <row r="4418" spans="1:5" x14ac:dyDescent="0.35">
      <c r="A4418" s="40">
        <v>44002</v>
      </c>
      <c r="B4418" s="38">
        <v>-100</v>
      </c>
      <c r="C4418" s="13" t="s">
        <v>946</v>
      </c>
      <c r="D4418" s="36">
        <v>4350.76</v>
      </c>
      <c r="E4418" s="43" t="s">
        <v>3596</v>
      </c>
    </row>
    <row r="4419" spans="1:5" x14ac:dyDescent="0.35">
      <c r="A4419" s="40">
        <v>44002</v>
      </c>
      <c r="B4419" s="38">
        <v>-48</v>
      </c>
      <c r="C4419" s="13" t="s">
        <v>0</v>
      </c>
      <c r="D4419" s="36">
        <v>4302.76</v>
      </c>
      <c r="E4419" s="43" t="s">
        <v>3596</v>
      </c>
    </row>
    <row r="4420" spans="1:5" x14ac:dyDescent="0.35">
      <c r="A4420" s="40">
        <v>44000</v>
      </c>
      <c r="B4420" s="38">
        <v>-42.19</v>
      </c>
      <c r="C4420" s="13" t="s">
        <v>1353</v>
      </c>
      <c r="D4420" s="36">
        <v>4450.76</v>
      </c>
      <c r="E4420" s="43" t="s">
        <v>3596</v>
      </c>
    </row>
    <row r="4421" spans="1:5" x14ac:dyDescent="0.35">
      <c r="A4421" s="40">
        <v>43999</v>
      </c>
      <c r="B4421" s="38">
        <v>-197.83</v>
      </c>
      <c r="C4421" s="13" t="s">
        <v>1360</v>
      </c>
      <c r="D4421" s="36">
        <v>4492.95</v>
      </c>
      <c r="E4421" s="43" t="s">
        <v>3596</v>
      </c>
    </row>
    <row r="4422" spans="1:5" x14ac:dyDescent="0.35">
      <c r="A4422" s="40">
        <v>43998</v>
      </c>
      <c r="B4422" s="38">
        <v>-33.99</v>
      </c>
      <c r="C4422" s="13" t="s">
        <v>1354</v>
      </c>
      <c r="D4422" s="36">
        <v>4711.55</v>
      </c>
      <c r="E4422" s="43" t="s">
        <v>3596</v>
      </c>
    </row>
    <row r="4423" spans="1:5" x14ac:dyDescent="0.35">
      <c r="A4423" s="40">
        <v>43998</v>
      </c>
      <c r="B4423" s="38">
        <v>-20.77</v>
      </c>
      <c r="C4423" s="13" t="s">
        <v>1274</v>
      </c>
      <c r="D4423" s="36">
        <v>4690.78</v>
      </c>
      <c r="E4423" s="43" t="s">
        <v>3596</v>
      </c>
    </row>
    <row r="4424" spans="1:5" x14ac:dyDescent="0.35">
      <c r="A4424" s="40">
        <v>43995</v>
      </c>
      <c r="B4424" s="38">
        <v>-100</v>
      </c>
      <c r="C4424" s="13" t="s">
        <v>946</v>
      </c>
      <c r="D4424" s="36">
        <v>4745.54</v>
      </c>
      <c r="E4424" s="43" t="s">
        <v>3596</v>
      </c>
    </row>
    <row r="4425" spans="1:5" x14ac:dyDescent="0.35">
      <c r="A4425" s="40">
        <v>43994</v>
      </c>
      <c r="B4425" s="38">
        <v>16</v>
      </c>
      <c r="C4425" s="13" t="s">
        <v>2186</v>
      </c>
      <c r="D4425" s="36">
        <v>4845.54</v>
      </c>
      <c r="E4425" s="43" t="s">
        <v>3596</v>
      </c>
    </row>
    <row r="4426" spans="1:5" x14ac:dyDescent="0.35">
      <c r="A4426" s="40">
        <v>43994</v>
      </c>
      <c r="B4426" s="38">
        <v>-43</v>
      </c>
      <c r="C4426" s="13" t="s">
        <v>0</v>
      </c>
      <c r="D4426" s="36">
        <v>4829.54</v>
      </c>
      <c r="E4426" s="43" t="s">
        <v>3596</v>
      </c>
    </row>
    <row r="4427" spans="1:5" x14ac:dyDescent="0.35">
      <c r="A4427" s="40">
        <v>43993</v>
      </c>
      <c r="B4427" s="38">
        <v>2053.4899999999998</v>
      </c>
      <c r="C4427" s="13" t="s">
        <v>1327</v>
      </c>
      <c r="D4427" s="36">
        <v>5514.77</v>
      </c>
      <c r="E4427" s="43" t="s">
        <v>3596</v>
      </c>
    </row>
    <row r="4428" spans="1:5" x14ac:dyDescent="0.35">
      <c r="A4428" s="40">
        <v>43993</v>
      </c>
      <c r="B4428" s="38">
        <v>-500</v>
      </c>
      <c r="C4428" s="13" t="s">
        <v>945</v>
      </c>
      <c r="D4428" s="36">
        <v>5014.7700000000004</v>
      </c>
      <c r="E4428" s="43" t="s">
        <v>3596</v>
      </c>
    </row>
    <row r="4429" spans="1:5" x14ac:dyDescent="0.35">
      <c r="A4429" s="40">
        <v>43993</v>
      </c>
      <c r="B4429" s="38">
        <v>-73</v>
      </c>
      <c r="C4429" s="13" t="s">
        <v>37</v>
      </c>
      <c r="D4429" s="36">
        <v>4872.54</v>
      </c>
      <c r="E4429" s="43" t="s">
        <v>3596</v>
      </c>
    </row>
    <row r="4430" spans="1:5" x14ac:dyDescent="0.35">
      <c r="A4430" s="40">
        <v>43993</v>
      </c>
      <c r="B4430" s="38">
        <v>-69.23</v>
      </c>
      <c r="C4430" s="13" t="s">
        <v>1326</v>
      </c>
      <c r="D4430" s="36">
        <v>4945.54</v>
      </c>
      <c r="E4430" s="43" t="s">
        <v>3596</v>
      </c>
    </row>
    <row r="4431" spans="1:5" x14ac:dyDescent="0.35">
      <c r="A4431" s="40">
        <v>43992</v>
      </c>
      <c r="B4431" s="38">
        <v>-8.6999999999999993</v>
      </c>
      <c r="C4431" s="13" t="s">
        <v>1328</v>
      </c>
      <c r="D4431" s="36">
        <v>3461.28</v>
      </c>
      <c r="E4431" s="43" t="s">
        <v>3596</v>
      </c>
    </row>
    <row r="4432" spans="1:5" x14ac:dyDescent="0.35">
      <c r="A4432" s="40">
        <v>43991</v>
      </c>
      <c r="B4432" s="38">
        <v>-9.99</v>
      </c>
      <c r="C4432" s="13" t="s">
        <v>1329</v>
      </c>
      <c r="D4432" s="36">
        <v>3469.98</v>
      </c>
      <c r="E4432" s="43" t="s">
        <v>3596</v>
      </c>
    </row>
    <row r="4433" spans="1:5" x14ac:dyDescent="0.35">
      <c r="A4433" s="40">
        <v>43988</v>
      </c>
      <c r="B4433" s="38">
        <v>-100</v>
      </c>
      <c r="C4433" s="13" t="s">
        <v>946</v>
      </c>
      <c r="D4433" s="36">
        <v>3479.97</v>
      </c>
      <c r="E4433" s="43" t="s">
        <v>3596</v>
      </c>
    </row>
    <row r="4434" spans="1:5" x14ac:dyDescent="0.35">
      <c r="A4434" s="40">
        <v>43987</v>
      </c>
      <c r="B4434" s="38">
        <v>-181.02</v>
      </c>
      <c r="C4434" s="13" t="s">
        <v>1330</v>
      </c>
      <c r="D4434" s="36">
        <v>3579.97</v>
      </c>
      <c r="E4434" s="43" t="s">
        <v>3596</v>
      </c>
    </row>
    <row r="4435" spans="1:5" x14ac:dyDescent="0.35">
      <c r="A4435" s="40">
        <v>43986</v>
      </c>
      <c r="B4435" s="38">
        <v>-48</v>
      </c>
      <c r="C4435" s="13" t="s">
        <v>1331</v>
      </c>
      <c r="D4435" s="36">
        <v>3760.99</v>
      </c>
      <c r="E4435" s="43" t="s">
        <v>3596</v>
      </c>
    </row>
    <row r="4436" spans="1:5" x14ac:dyDescent="0.35">
      <c r="A4436" s="40">
        <v>43985</v>
      </c>
      <c r="B4436" s="38">
        <v>-15</v>
      </c>
      <c r="C4436" s="13" t="s">
        <v>1332</v>
      </c>
      <c r="D4436" s="36">
        <v>3808.99</v>
      </c>
      <c r="E4436" s="43" t="s">
        <v>3596</v>
      </c>
    </row>
    <row r="4437" spans="1:5" x14ac:dyDescent="0.35">
      <c r="A4437" s="40">
        <v>43985</v>
      </c>
      <c r="B4437" s="38">
        <v>-16.149999999999999</v>
      </c>
      <c r="C4437" s="13" t="s">
        <v>1333</v>
      </c>
      <c r="D4437" s="36">
        <v>3823.99</v>
      </c>
      <c r="E4437" s="43" t="s">
        <v>3596</v>
      </c>
    </row>
    <row r="4438" spans="1:5" x14ac:dyDescent="0.35">
      <c r="A4438" s="40">
        <v>43984</v>
      </c>
      <c r="B4438" s="38">
        <v>90</v>
      </c>
      <c r="C4438" s="13" t="s">
        <v>1238</v>
      </c>
      <c r="D4438" s="36">
        <v>3795.14</v>
      </c>
      <c r="E4438" s="43" t="s">
        <v>3596</v>
      </c>
    </row>
    <row r="4439" spans="1:5" x14ac:dyDescent="0.35">
      <c r="A4439" s="40">
        <v>43984</v>
      </c>
      <c r="B4439" s="38">
        <v>45</v>
      </c>
      <c r="C4439" s="13" t="s">
        <v>1242</v>
      </c>
      <c r="D4439" s="36">
        <v>3840.14</v>
      </c>
      <c r="E4439" s="43" t="s">
        <v>3596</v>
      </c>
    </row>
    <row r="4440" spans="1:5" x14ac:dyDescent="0.35">
      <c r="A4440" s="40">
        <v>43984</v>
      </c>
      <c r="B4440" s="38">
        <v>-32.090000000000003</v>
      </c>
      <c r="C4440" s="13" t="s">
        <v>1334</v>
      </c>
      <c r="D4440" s="36">
        <v>3705.14</v>
      </c>
      <c r="E4440" s="43" t="s">
        <v>3596</v>
      </c>
    </row>
    <row r="4441" spans="1:5" x14ac:dyDescent="0.35">
      <c r="A4441" s="40">
        <v>43983</v>
      </c>
      <c r="B4441" s="38">
        <v>-20</v>
      </c>
      <c r="C4441" s="13" t="s">
        <v>3385</v>
      </c>
      <c r="D4441" s="36">
        <v>3909.53</v>
      </c>
      <c r="E4441" s="43" t="s">
        <v>3596</v>
      </c>
    </row>
    <row r="4442" spans="1:5" x14ac:dyDescent="0.35">
      <c r="A4442" s="40">
        <v>43983</v>
      </c>
      <c r="B4442" s="38">
        <v>-172.3</v>
      </c>
      <c r="C4442" s="13" t="s">
        <v>1335</v>
      </c>
      <c r="D4442" s="36">
        <v>3737.23</v>
      </c>
      <c r="E4442" s="43" t="s">
        <v>3596</v>
      </c>
    </row>
    <row r="4443" spans="1:5" x14ac:dyDescent="0.35">
      <c r="A4443" s="40">
        <v>43981</v>
      </c>
      <c r="B4443" s="38">
        <v>-100</v>
      </c>
      <c r="C4443" s="13" t="s">
        <v>946</v>
      </c>
      <c r="D4443" s="36">
        <v>3929.53</v>
      </c>
      <c r="E4443" s="43" t="s">
        <v>3596</v>
      </c>
    </row>
    <row r="4444" spans="1:5" x14ac:dyDescent="0.35">
      <c r="A4444" s="40">
        <v>43979</v>
      </c>
      <c r="B4444" s="38">
        <v>2053.4899999999998</v>
      </c>
      <c r="C4444" s="13" t="s">
        <v>1318</v>
      </c>
      <c r="D4444" s="36">
        <v>4529.53</v>
      </c>
      <c r="E4444" s="43" t="s">
        <v>3596</v>
      </c>
    </row>
    <row r="4445" spans="1:5" x14ac:dyDescent="0.35">
      <c r="A4445" s="40">
        <v>43979</v>
      </c>
      <c r="B4445" s="38">
        <v>-500</v>
      </c>
      <c r="C4445" s="13" t="s">
        <v>945</v>
      </c>
      <c r="D4445" s="36">
        <v>4029.53</v>
      </c>
      <c r="E4445" s="43" t="s">
        <v>3596</v>
      </c>
    </row>
    <row r="4446" spans="1:5" x14ac:dyDescent="0.35">
      <c r="A4446" s="40">
        <v>43978</v>
      </c>
      <c r="B4446" s="38">
        <v>-17.5</v>
      </c>
      <c r="C4446" s="13" t="s">
        <v>1317</v>
      </c>
      <c r="D4446" s="36">
        <v>2550.16</v>
      </c>
      <c r="E4446" s="43" t="s">
        <v>3596</v>
      </c>
    </row>
    <row r="4447" spans="1:5" x14ac:dyDescent="0.35">
      <c r="A4447" s="40">
        <v>43978</v>
      </c>
      <c r="B4447" s="38">
        <v>-74.12</v>
      </c>
      <c r="C4447" s="13" t="s">
        <v>1316</v>
      </c>
      <c r="D4447" s="36">
        <v>2476.04</v>
      </c>
      <c r="E4447" s="43" t="s">
        <v>3596</v>
      </c>
    </row>
    <row r="4448" spans="1:5" x14ac:dyDescent="0.35">
      <c r="A4448" s="40">
        <v>43977</v>
      </c>
      <c r="B4448" s="38">
        <v>-322.41000000000003</v>
      </c>
      <c r="C4448" s="13" t="s">
        <v>1315</v>
      </c>
      <c r="D4448" s="36">
        <v>2567.66</v>
      </c>
      <c r="E4448" s="43" t="s">
        <v>3596</v>
      </c>
    </row>
    <row r="4449" spans="1:5" x14ac:dyDescent="0.35">
      <c r="A4449" s="40">
        <v>43977</v>
      </c>
      <c r="B4449" s="38">
        <v>-191.76</v>
      </c>
      <c r="C4449" s="13" t="s">
        <v>1320</v>
      </c>
      <c r="D4449" s="36">
        <v>2890.07</v>
      </c>
      <c r="E4449" s="43" t="s">
        <v>3596</v>
      </c>
    </row>
    <row r="4450" spans="1:5" x14ac:dyDescent="0.35">
      <c r="A4450" s="40">
        <v>43974</v>
      </c>
      <c r="B4450" s="38">
        <v>-21.66</v>
      </c>
      <c r="C4450" s="13" t="s">
        <v>1</v>
      </c>
      <c r="D4450" s="36">
        <v>3081.83</v>
      </c>
      <c r="E4450" s="43" t="s">
        <v>3596</v>
      </c>
    </row>
    <row r="4451" spans="1:5" x14ac:dyDescent="0.35">
      <c r="A4451" s="40">
        <v>43974</v>
      </c>
      <c r="B4451" s="38">
        <v>-100</v>
      </c>
      <c r="C4451" s="13" t="s">
        <v>946</v>
      </c>
      <c r="D4451" s="36">
        <v>3147.49</v>
      </c>
      <c r="E4451" s="43" t="s">
        <v>3596</v>
      </c>
    </row>
    <row r="4452" spans="1:5" x14ac:dyDescent="0.35">
      <c r="A4452" s="40">
        <v>43974</v>
      </c>
      <c r="B4452" s="38">
        <v>-44</v>
      </c>
      <c r="C4452" s="13" t="s">
        <v>0</v>
      </c>
      <c r="D4452" s="36">
        <v>3103.49</v>
      </c>
      <c r="E4452" s="43" t="s">
        <v>3596</v>
      </c>
    </row>
    <row r="4453" spans="1:5" x14ac:dyDescent="0.35">
      <c r="A4453" s="40">
        <v>43971</v>
      </c>
      <c r="B4453" s="38">
        <v>-13.12</v>
      </c>
      <c r="C4453" s="13" t="s">
        <v>1319</v>
      </c>
      <c r="D4453" s="36">
        <v>3347.99</v>
      </c>
      <c r="E4453" s="43" t="s">
        <v>3596</v>
      </c>
    </row>
    <row r="4454" spans="1:5" x14ac:dyDescent="0.35">
      <c r="A4454" s="40">
        <v>43971</v>
      </c>
      <c r="B4454" s="38">
        <v>-21.9</v>
      </c>
      <c r="C4454" s="13" t="s">
        <v>1313</v>
      </c>
      <c r="D4454" s="36">
        <v>3302.7</v>
      </c>
      <c r="E4454" s="43" t="s">
        <v>3596</v>
      </c>
    </row>
    <row r="4455" spans="1:5" x14ac:dyDescent="0.35">
      <c r="A4455" s="40">
        <v>43971</v>
      </c>
      <c r="B4455" s="38">
        <v>-23.39</v>
      </c>
      <c r="C4455" s="13" t="s">
        <v>1314</v>
      </c>
      <c r="D4455" s="36">
        <v>3324.6</v>
      </c>
      <c r="E4455" s="43" t="s">
        <v>3596</v>
      </c>
    </row>
    <row r="4456" spans="1:5" x14ac:dyDescent="0.35">
      <c r="A4456" s="40">
        <v>43971</v>
      </c>
      <c r="B4456" s="38">
        <v>-55.21</v>
      </c>
      <c r="C4456" s="13" t="s">
        <v>1312</v>
      </c>
      <c r="D4456" s="36">
        <v>3247.49</v>
      </c>
      <c r="E4456" s="43" t="s">
        <v>3596</v>
      </c>
    </row>
    <row r="4457" spans="1:5" x14ac:dyDescent="0.35">
      <c r="A4457" s="40">
        <v>43970</v>
      </c>
      <c r="B4457" s="38">
        <v>-46</v>
      </c>
      <c r="C4457" s="13" t="s">
        <v>1311</v>
      </c>
      <c r="D4457" s="36">
        <v>3361.11</v>
      </c>
      <c r="E4457" s="43" t="s">
        <v>3596</v>
      </c>
    </row>
    <row r="4458" spans="1:5" x14ac:dyDescent="0.35">
      <c r="A4458" s="40">
        <v>43967</v>
      </c>
      <c r="B4458" s="38">
        <v>-100</v>
      </c>
      <c r="C4458" s="13" t="s">
        <v>946</v>
      </c>
      <c r="D4458" s="36">
        <v>3407.11</v>
      </c>
      <c r="E4458" s="43" t="s">
        <v>3596</v>
      </c>
    </row>
    <row r="4459" spans="1:5" x14ac:dyDescent="0.35">
      <c r="A4459" s="40">
        <v>43965</v>
      </c>
      <c r="B4459" s="38">
        <v>2053.4899999999998</v>
      </c>
      <c r="C4459" s="13" t="s">
        <v>1303</v>
      </c>
      <c r="D4459" s="36">
        <v>4007.11</v>
      </c>
      <c r="E4459" s="43" t="s">
        <v>3596</v>
      </c>
    </row>
    <row r="4460" spans="1:5" x14ac:dyDescent="0.35">
      <c r="A4460" s="40">
        <v>43965</v>
      </c>
      <c r="B4460" s="38">
        <v>-500</v>
      </c>
      <c r="C4460" s="13" t="s">
        <v>945</v>
      </c>
      <c r="D4460" s="36">
        <v>3507.11</v>
      </c>
      <c r="E4460" s="43" t="s">
        <v>3596</v>
      </c>
    </row>
    <row r="4461" spans="1:5" x14ac:dyDescent="0.35">
      <c r="A4461" s="40">
        <v>43964</v>
      </c>
      <c r="B4461" s="38">
        <v>-40</v>
      </c>
      <c r="C4461" s="13" t="s">
        <v>1305</v>
      </c>
      <c r="D4461" s="36">
        <v>1990.64</v>
      </c>
      <c r="E4461" s="43" t="s">
        <v>3596</v>
      </c>
    </row>
    <row r="4462" spans="1:5" x14ac:dyDescent="0.35">
      <c r="A4462" s="40">
        <v>43964</v>
      </c>
      <c r="B4462" s="38">
        <v>-37.020000000000003</v>
      </c>
      <c r="C4462" s="13" t="s">
        <v>1304</v>
      </c>
      <c r="D4462" s="36">
        <v>1953.62</v>
      </c>
      <c r="E4462" s="43" t="s">
        <v>3596</v>
      </c>
    </row>
    <row r="4463" spans="1:5" x14ac:dyDescent="0.35">
      <c r="A4463" s="40">
        <v>43962</v>
      </c>
      <c r="B4463" s="38">
        <v>-73</v>
      </c>
      <c r="C4463" s="13" t="s">
        <v>37</v>
      </c>
      <c r="D4463" s="36">
        <v>2030.64</v>
      </c>
      <c r="E4463" s="43" t="s">
        <v>3596</v>
      </c>
    </row>
    <row r="4464" spans="1:5" x14ac:dyDescent="0.35">
      <c r="A4464" s="40">
        <v>43961</v>
      </c>
      <c r="B4464" s="38">
        <v>-85</v>
      </c>
      <c r="C4464" s="13" t="s">
        <v>1</v>
      </c>
      <c r="D4464" s="36">
        <v>2115.36</v>
      </c>
      <c r="E4464" s="43" t="s">
        <v>3596</v>
      </c>
    </row>
    <row r="4465" spans="1:5" x14ac:dyDescent="0.35">
      <c r="A4465" s="40">
        <v>43961</v>
      </c>
      <c r="B4465" s="38">
        <v>-11.72</v>
      </c>
      <c r="C4465" s="13" t="s">
        <v>773</v>
      </c>
      <c r="D4465" s="36">
        <v>2103.64</v>
      </c>
      <c r="E4465" s="43" t="s">
        <v>3596</v>
      </c>
    </row>
    <row r="4466" spans="1:5" x14ac:dyDescent="0.35">
      <c r="A4466" s="40">
        <v>43960</v>
      </c>
      <c r="B4466" s="38">
        <v>-100</v>
      </c>
      <c r="C4466" s="13" t="s">
        <v>946</v>
      </c>
      <c r="D4466" s="36">
        <v>2200.36</v>
      </c>
      <c r="E4466" s="43" t="s">
        <v>3596</v>
      </c>
    </row>
    <row r="4467" spans="1:5" x14ac:dyDescent="0.35">
      <c r="A4467" s="40">
        <v>43959</v>
      </c>
      <c r="B4467" s="38">
        <v>-199.41</v>
      </c>
      <c r="C4467" s="13" t="s">
        <v>1306</v>
      </c>
      <c r="D4467" s="36">
        <v>2233.96</v>
      </c>
      <c r="E4467" s="43" t="s">
        <v>3596</v>
      </c>
    </row>
    <row r="4468" spans="1:5" x14ac:dyDescent="0.35">
      <c r="A4468" s="40">
        <v>43959</v>
      </c>
      <c r="B4468" s="38">
        <v>66.400000000000006</v>
      </c>
      <c r="C4468" s="13" t="s">
        <v>1238</v>
      </c>
      <c r="D4468" s="36">
        <v>2300.36</v>
      </c>
      <c r="E4468" s="43" t="s">
        <v>3596</v>
      </c>
    </row>
    <row r="4469" spans="1:5" x14ac:dyDescent="0.35">
      <c r="A4469" s="40">
        <v>43958</v>
      </c>
      <c r="B4469" s="38">
        <v>-9.99</v>
      </c>
      <c r="C4469" s="13" t="s">
        <v>1307</v>
      </c>
      <c r="D4469" s="36">
        <v>2720.97</v>
      </c>
      <c r="E4469" s="43" t="s">
        <v>3596</v>
      </c>
    </row>
    <row r="4470" spans="1:5" x14ac:dyDescent="0.35">
      <c r="A4470" s="40">
        <v>43958</v>
      </c>
      <c r="B4470" s="38">
        <v>-139</v>
      </c>
      <c r="C4470" s="13" t="s">
        <v>1324</v>
      </c>
      <c r="D4470" s="36">
        <v>2457.12</v>
      </c>
      <c r="E4470" s="43" t="s">
        <v>3596</v>
      </c>
    </row>
    <row r="4471" spans="1:5" x14ac:dyDescent="0.35">
      <c r="A4471" s="40">
        <v>43958</v>
      </c>
      <c r="B4471" s="38">
        <v>-17.25</v>
      </c>
      <c r="C4471" s="13" t="s">
        <v>1</v>
      </c>
      <c r="D4471" s="36">
        <v>2433.37</v>
      </c>
      <c r="E4471" s="43" t="s">
        <v>3596</v>
      </c>
    </row>
    <row r="4472" spans="1:5" x14ac:dyDescent="0.35">
      <c r="A4472" s="40">
        <v>43958</v>
      </c>
      <c r="B4472" s="38">
        <v>-6.5</v>
      </c>
      <c r="C4472" s="13" t="s">
        <v>0</v>
      </c>
      <c r="D4472" s="36">
        <v>2450.62</v>
      </c>
      <c r="E4472" s="43" t="s">
        <v>3596</v>
      </c>
    </row>
    <row r="4473" spans="1:5" x14ac:dyDescent="0.35">
      <c r="A4473" s="40">
        <v>43958</v>
      </c>
      <c r="B4473" s="38">
        <v>-124.85</v>
      </c>
      <c r="C4473" s="13" t="s">
        <v>1325</v>
      </c>
      <c r="D4473" s="36">
        <v>2596.12</v>
      </c>
      <c r="E4473" s="43" t="s">
        <v>3596</v>
      </c>
    </row>
    <row r="4474" spans="1:5" x14ac:dyDescent="0.35">
      <c r="A4474" s="40">
        <v>43957</v>
      </c>
      <c r="B4474" s="38">
        <v>-45</v>
      </c>
      <c r="C4474" s="13" t="s">
        <v>1323</v>
      </c>
      <c r="D4474" s="36">
        <v>2730.96</v>
      </c>
      <c r="E4474" s="43" t="s">
        <v>3596</v>
      </c>
    </row>
    <row r="4475" spans="1:5" x14ac:dyDescent="0.35">
      <c r="A4475" s="40">
        <v>43957</v>
      </c>
      <c r="B4475" s="38">
        <v>-95.75</v>
      </c>
      <c r="C4475" s="13" t="s">
        <v>1322</v>
      </c>
      <c r="D4475" s="36">
        <v>2775.96</v>
      </c>
      <c r="E4475" s="43" t="s">
        <v>3596</v>
      </c>
    </row>
    <row r="4476" spans="1:5" x14ac:dyDescent="0.35">
      <c r="A4476" s="40">
        <v>43957</v>
      </c>
      <c r="B4476" s="38">
        <v>-228.34</v>
      </c>
      <c r="C4476" s="13" t="s">
        <v>1321</v>
      </c>
      <c r="D4476" s="36">
        <v>2871.71</v>
      </c>
      <c r="E4476" s="43" t="s">
        <v>3596</v>
      </c>
    </row>
    <row r="4477" spans="1:5" x14ac:dyDescent="0.35">
      <c r="A4477" s="40">
        <v>43956</v>
      </c>
      <c r="B4477" s="38">
        <v>-34.869999999999997</v>
      </c>
      <c r="C4477" s="13" t="s">
        <v>1308</v>
      </c>
      <c r="D4477" s="36">
        <v>3100.05</v>
      </c>
      <c r="E4477" s="43" t="s">
        <v>3596</v>
      </c>
    </row>
    <row r="4478" spans="1:5" x14ac:dyDescent="0.35">
      <c r="A4478" s="40">
        <v>43955</v>
      </c>
      <c r="B4478" s="38">
        <v>-16.399999999999999</v>
      </c>
      <c r="C4478" s="13" t="s">
        <v>1</v>
      </c>
      <c r="D4478" s="36">
        <v>3134.92</v>
      </c>
      <c r="E4478" s="43" t="s">
        <v>3596</v>
      </c>
    </row>
    <row r="4479" spans="1:5" x14ac:dyDescent="0.35">
      <c r="A4479" s="40">
        <v>43954</v>
      </c>
      <c r="B4479" s="38">
        <v>-16.25</v>
      </c>
      <c r="C4479" s="13" t="s">
        <v>1</v>
      </c>
      <c r="D4479" s="36">
        <v>3151.32</v>
      </c>
      <c r="E4479" s="43" t="s">
        <v>3596</v>
      </c>
    </row>
    <row r="4480" spans="1:5" x14ac:dyDescent="0.35">
      <c r="A4480" s="40">
        <v>43953</v>
      </c>
      <c r="B4480" s="38">
        <v>-100</v>
      </c>
      <c r="C4480" s="13" t="s">
        <v>946</v>
      </c>
      <c r="D4480" s="36">
        <v>3167.57</v>
      </c>
      <c r="E4480" s="43" t="s">
        <v>3596</v>
      </c>
    </row>
    <row r="4481" spans="1:5" x14ac:dyDescent="0.35">
      <c r="A4481" s="40">
        <v>43952</v>
      </c>
      <c r="B4481" s="38">
        <v>-20</v>
      </c>
      <c r="C4481" s="13" t="s">
        <v>3385</v>
      </c>
      <c r="D4481" s="36">
        <v>3458.87</v>
      </c>
      <c r="E4481" s="43" t="s">
        <v>3596</v>
      </c>
    </row>
    <row r="4482" spans="1:5" x14ac:dyDescent="0.35">
      <c r="A4482" s="40">
        <v>43952</v>
      </c>
      <c r="B4482" s="38">
        <v>-19</v>
      </c>
      <c r="C4482" s="13" t="s">
        <v>951</v>
      </c>
      <c r="D4482" s="36">
        <v>3439.87</v>
      </c>
      <c r="E4482" s="43" t="s">
        <v>3596</v>
      </c>
    </row>
    <row r="4483" spans="1:5" x14ac:dyDescent="0.35">
      <c r="A4483" s="40">
        <v>43952</v>
      </c>
      <c r="B4483" s="38">
        <v>-172.3</v>
      </c>
      <c r="C4483" s="13" t="s">
        <v>1309</v>
      </c>
      <c r="D4483" s="36">
        <v>3267.57</v>
      </c>
      <c r="E4483" s="43" t="s">
        <v>3596</v>
      </c>
    </row>
    <row r="4484" spans="1:5" x14ac:dyDescent="0.35">
      <c r="A4484" s="40">
        <v>43951</v>
      </c>
      <c r="B4484" s="38">
        <v>2053.4899999999998</v>
      </c>
      <c r="C4484" s="13" t="s">
        <v>1291</v>
      </c>
      <c r="D4484" s="36">
        <v>4045.87</v>
      </c>
      <c r="E4484" s="43" t="s">
        <v>3596</v>
      </c>
    </row>
    <row r="4485" spans="1:5" x14ac:dyDescent="0.35">
      <c r="A4485" s="40">
        <v>43951</v>
      </c>
      <c r="B4485" s="38">
        <v>-500</v>
      </c>
      <c r="C4485" s="13" t="s">
        <v>945</v>
      </c>
      <c r="D4485" s="36">
        <v>3478.87</v>
      </c>
      <c r="E4485" s="43" t="s">
        <v>3596</v>
      </c>
    </row>
    <row r="4486" spans="1:5" x14ac:dyDescent="0.35">
      <c r="A4486" s="40">
        <v>43951</v>
      </c>
      <c r="B4486" s="38">
        <v>-67</v>
      </c>
      <c r="C4486" s="13" t="s">
        <v>1310</v>
      </c>
      <c r="D4486" s="36">
        <v>3978.87</v>
      </c>
      <c r="E4486" s="43" t="s">
        <v>3596</v>
      </c>
    </row>
    <row r="4487" spans="1:5" x14ac:dyDescent="0.35">
      <c r="A4487" s="40">
        <v>43950</v>
      </c>
      <c r="B4487" s="38">
        <v>-1050.94</v>
      </c>
      <c r="C4487" s="13" t="s">
        <v>1294</v>
      </c>
      <c r="D4487" s="36">
        <v>2073.6</v>
      </c>
      <c r="E4487" s="43" t="s">
        <v>3596</v>
      </c>
    </row>
    <row r="4488" spans="1:5" x14ac:dyDescent="0.35">
      <c r="A4488" s="40">
        <v>43950</v>
      </c>
      <c r="B4488" s="38">
        <v>-31.53</v>
      </c>
      <c r="C4488" s="13" t="s">
        <v>1293</v>
      </c>
      <c r="D4488" s="36">
        <v>2042.07</v>
      </c>
      <c r="E4488" s="43" t="s">
        <v>3596</v>
      </c>
    </row>
    <row r="4489" spans="1:5" x14ac:dyDescent="0.35">
      <c r="A4489" s="40">
        <v>43950</v>
      </c>
      <c r="B4489" s="38">
        <v>-49.69</v>
      </c>
      <c r="C4489" s="13" t="s">
        <v>1292</v>
      </c>
      <c r="D4489" s="36">
        <v>1992.38</v>
      </c>
      <c r="E4489" s="43" t="s">
        <v>3596</v>
      </c>
    </row>
    <row r="4490" spans="1:5" x14ac:dyDescent="0.35">
      <c r="A4490" s="40">
        <v>43949</v>
      </c>
      <c r="B4490" s="38">
        <v>350</v>
      </c>
      <c r="C4490" s="13" t="s">
        <v>1302</v>
      </c>
      <c r="D4490" s="36">
        <v>3124.54</v>
      </c>
      <c r="E4490" s="43" t="s">
        <v>3596</v>
      </c>
    </row>
    <row r="4491" spans="1:5" x14ac:dyDescent="0.35">
      <c r="A4491" s="40">
        <v>43949</v>
      </c>
      <c r="B4491" s="38">
        <v>-1413.5</v>
      </c>
      <c r="C4491" s="13" t="s">
        <v>1301</v>
      </c>
      <c r="D4491" s="36">
        <v>2774.54</v>
      </c>
      <c r="E4491" s="43" t="s">
        <v>3596</v>
      </c>
    </row>
    <row r="4492" spans="1:5" x14ac:dyDescent="0.35">
      <c r="A4492" s="40">
        <v>43948</v>
      </c>
      <c r="B4492" s="38">
        <v>800</v>
      </c>
      <c r="C4492" s="13" t="s">
        <v>1680</v>
      </c>
      <c r="D4492" s="36">
        <v>4188.04</v>
      </c>
      <c r="E4492" s="43" t="s">
        <v>3596</v>
      </c>
    </row>
    <row r="4493" spans="1:5" x14ac:dyDescent="0.35">
      <c r="A4493" s="40">
        <v>43947</v>
      </c>
      <c r="B4493" s="38">
        <v>-8.4499999999999993</v>
      </c>
      <c r="C4493" s="13" t="s">
        <v>1</v>
      </c>
      <c r="D4493" s="36">
        <v>3397.26</v>
      </c>
      <c r="E4493" s="43" t="s">
        <v>3596</v>
      </c>
    </row>
    <row r="4494" spans="1:5" x14ac:dyDescent="0.35">
      <c r="A4494" s="40">
        <v>43947</v>
      </c>
      <c r="B4494" s="38">
        <v>-9.2200000000000006</v>
      </c>
      <c r="C4494" s="13" t="s">
        <v>773</v>
      </c>
      <c r="D4494" s="36">
        <v>3388.04</v>
      </c>
      <c r="E4494" s="43" t="s">
        <v>3596</v>
      </c>
    </row>
    <row r="4495" spans="1:5" x14ac:dyDescent="0.35">
      <c r="A4495" s="40">
        <v>43946</v>
      </c>
      <c r="B4495" s="38">
        <v>-8.2899999999999991</v>
      </c>
      <c r="C4495" s="13" t="s">
        <v>1</v>
      </c>
      <c r="D4495" s="36">
        <v>3405.71</v>
      </c>
      <c r="E4495" s="43" t="s">
        <v>3596</v>
      </c>
    </row>
    <row r="4496" spans="1:5" x14ac:dyDescent="0.35">
      <c r="A4496" s="40">
        <v>43946</v>
      </c>
      <c r="B4496" s="38">
        <v>-100</v>
      </c>
      <c r="C4496" s="13" t="s">
        <v>946</v>
      </c>
      <c r="D4496" s="36">
        <v>3414</v>
      </c>
      <c r="E4496" s="43" t="s">
        <v>3596</v>
      </c>
    </row>
    <row r="4497" spans="1:5" x14ac:dyDescent="0.35">
      <c r="A4497" s="40">
        <v>43943</v>
      </c>
      <c r="B4497" s="38">
        <v>-86.38</v>
      </c>
      <c r="C4497" s="13" t="s">
        <v>1296</v>
      </c>
      <c r="D4497" s="36">
        <v>3546.97</v>
      </c>
      <c r="E4497" s="43" t="s">
        <v>3596</v>
      </c>
    </row>
    <row r="4498" spans="1:5" x14ac:dyDescent="0.35">
      <c r="A4498" s="40">
        <v>43943</v>
      </c>
      <c r="B4498" s="39">
        <v>-32.97</v>
      </c>
      <c r="C4498" s="14" t="s">
        <v>1295</v>
      </c>
      <c r="D4498" s="37">
        <v>3514</v>
      </c>
      <c r="E4498" s="44" t="s">
        <v>3596</v>
      </c>
    </row>
    <row r="4499" spans="1:5" x14ac:dyDescent="0.35">
      <c r="A4499" s="40">
        <v>43942</v>
      </c>
      <c r="B4499" s="38">
        <v>-10.27</v>
      </c>
      <c r="C4499" s="13" t="s">
        <v>1298</v>
      </c>
      <c r="D4499" s="36">
        <v>3667.34</v>
      </c>
      <c r="E4499" s="43" t="s">
        <v>3596</v>
      </c>
    </row>
    <row r="4500" spans="1:5" x14ac:dyDescent="0.35">
      <c r="A4500" s="40">
        <v>43942</v>
      </c>
      <c r="B4500" s="38">
        <v>-33.99</v>
      </c>
      <c r="C4500" s="13" t="s">
        <v>1297</v>
      </c>
      <c r="D4500" s="36">
        <v>3633.35</v>
      </c>
      <c r="E4500" s="43" t="s">
        <v>3596</v>
      </c>
    </row>
    <row r="4501" spans="1:5" x14ac:dyDescent="0.35">
      <c r="A4501" s="40">
        <v>43940</v>
      </c>
      <c r="B4501" s="38">
        <v>-16.440000000000001</v>
      </c>
      <c r="C4501" s="13" t="s">
        <v>773</v>
      </c>
      <c r="D4501" s="36">
        <v>3677.61</v>
      </c>
      <c r="E4501" s="43" t="s">
        <v>3596</v>
      </c>
    </row>
    <row r="4502" spans="1:5" x14ac:dyDescent="0.35">
      <c r="A4502" s="40">
        <v>43939</v>
      </c>
      <c r="B4502" s="38">
        <v>-185.33</v>
      </c>
      <c r="C4502" s="13" t="s">
        <v>1300</v>
      </c>
      <c r="D4502" s="36">
        <v>4372.04</v>
      </c>
      <c r="E4502" s="43" t="s">
        <v>3596</v>
      </c>
    </row>
    <row r="4503" spans="1:5" x14ac:dyDescent="0.35">
      <c r="A4503" s="40">
        <v>43939</v>
      </c>
      <c r="B4503" s="38">
        <v>-577.99</v>
      </c>
      <c r="C4503" s="13" t="s">
        <v>1299</v>
      </c>
      <c r="D4503" s="36">
        <v>3794.05</v>
      </c>
      <c r="E4503" s="43" t="s">
        <v>3596</v>
      </c>
    </row>
    <row r="4504" spans="1:5" x14ac:dyDescent="0.35">
      <c r="A4504" s="40">
        <v>43939</v>
      </c>
      <c r="B4504" s="38">
        <v>-100</v>
      </c>
      <c r="C4504" s="13" t="s">
        <v>946</v>
      </c>
      <c r="D4504" s="36">
        <v>3694.05</v>
      </c>
      <c r="E4504" s="43" t="s">
        <v>3596</v>
      </c>
    </row>
    <row r="4505" spans="1:5" x14ac:dyDescent="0.35">
      <c r="A4505" s="40">
        <v>43938</v>
      </c>
      <c r="B4505" s="38">
        <v>-0.9</v>
      </c>
      <c r="C4505" s="13" t="s">
        <v>1</v>
      </c>
      <c r="D4505" s="36">
        <v>4571.87</v>
      </c>
      <c r="E4505" s="43" t="s">
        <v>3596</v>
      </c>
    </row>
    <row r="4506" spans="1:5" x14ac:dyDescent="0.35">
      <c r="A4506" s="40">
        <v>43938</v>
      </c>
      <c r="B4506" s="38">
        <v>-14.5</v>
      </c>
      <c r="C4506" s="13" t="s">
        <v>0</v>
      </c>
      <c r="D4506" s="36">
        <v>4557.37</v>
      </c>
      <c r="E4506" s="43" t="s">
        <v>3596</v>
      </c>
    </row>
    <row r="4507" spans="1:5" x14ac:dyDescent="0.35">
      <c r="A4507" s="40">
        <v>43937</v>
      </c>
      <c r="B4507" s="38">
        <v>2053.4899999999998</v>
      </c>
      <c r="C4507" s="13" t="s">
        <v>1290</v>
      </c>
      <c r="D4507" s="36">
        <v>5072.7700000000004</v>
      </c>
      <c r="E4507" s="43" t="s">
        <v>3596</v>
      </c>
    </row>
    <row r="4508" spans="1:5" x14ac:dyDescent="0.35">
      <c r="A4508" s="40">
        <v>43937</v>
      </c>
      <c r="B4508" s="38">
        <v>-500</v>
      </c>
      <c r="C4508" s="13" t="s">
        <v>945</v>
      </c>
      <c r="D4508" s="36">
        <v>4572.7700000000004</v>
      </c>
      <c r="E4508" s="43" t="s">
        <v>3596</v>
      </c>
    </row>
    <row r="4509" spans="1:5" x14ac:dyDescent="0.35">
      <c r="A4509" s="40">
        <v>43936</v>
      </c>
      <c r="B4509" s="38">
        <v>-16</v>
      </c>
      <c r="C4509" s="13" t="s">
        <v>1289</v>
      </c>
      <c r="D4509" s="36">
        <v>2895.73</v>
      </c>
      <c r="E4509" s="43" t="s">
        <v>3596</v>
      </c>
    </row>
    <row r="4510" spans="1:5" x14ac:dyDescent="0.35">
      <c r="A4510" s="40">
        <v>43936</v>
      </c>
      <c r="B4510" s="38">
        <v>61.77</v>
      </c>
      <c r="C4510" s="13" t="s">
        <v>1238</v>
      </c>
      <c r="D4510" s="36">
        <v>2957.5</v>
      </c>
      <c r="E4510" s="43" t="s">
        <v>3596</v>
      </c>
    </row>
    <row r="4511" spans="1:5" x14ac:dyDescent="0.35">
      <c r="A4511" s="40">
        <v>43936</v>
      </c>
      <c r="B4511" s="38">
        <v>61.78</v>
      </c>
      <c r="C4511" s="13" t="s">
        <v>1242</v>
      </c>
      <c r="D4511" s="36">
        <v>3019.28</v>
      </c>
      <c r="E4511" s="43" t="s">
        <v>3596</v>
      </c>
    </row>
    <row r="4512" spans="1:5" x14ac:dyDescent="0.35">
      <c r="A4512" s="40">
        <v>43934</v>
      </c>
      <c r="B4512" s="38">
        <v>-50.9</v>
      </c>
      <c r="C4512" s="13" t="s">
        <v>1</v>
      </c>
      <c r="D4512" s="36">
        <v>2911.73</v>
      </c>
      <c r="E4512" s="43" t="s">
        <v>3596</v>
      </c>
    </row>
    <row r="4513" spans="1:5" x14ac:dyDescent="0.35">
      <c r="A4513" s="40">
        <v>43932</v>
      </c>
      <c r="B4513" s="38">
        <v>-100</v>
      </c>
      <c r="C4513" s="13" t="s">
        <v>946</v>
      </c>
      <c r="D4513" s="36">
        <v>2962.63</v>
      </c>
      <c r="E4513" s="43" t="s">
        <v>3596</v>
      </c>
    </row>
    <row r="4514" spans="1:5" x14ac:dyDescent="0.35">
      <c r="A4514" s="40">
        <v>43931</v>
      </c>
      <c r="B4514" s="38">
        <v>-65</v>
      </c>
      <c r="C4514" s="13" t="s">
        <v>1284</v>
      </c>
      <c r="D4514" s="36">
        <v>3062.63</v>
      </c>
      <c r="E4514" s="43" t="s">
        <v>3596</v>
      </c>
    </row>
    <row r="4515" spans="1:5" x14ac:dyDescent="0.35">
      <c r="A4515" s="40">
        <v>43931</v>
      </c>
      <c r="B4515" s="38">
        <v>-39.479999999999997</v>
      </c>
      <c r="C4515" s="13" t="s">
        <v>1</v>
      </c>
      <c r="D4515" s="36">
        <v>3127.63</v>
      </c>
      <c r="E4515" s="43" t="s">
        <v>3596</v>
      </c>
    </row>
    <row r="4516" spans="1:5" x14ac:dyDescent="0.35">
      <c r="A4516" s="40">
        <v>43931</v>
      </c>
      <c r="B4516" s="38">
        <v>-29.95</v>
      </c>
      <c r="C4516" s="13" t="s">
        <v>773</v>
      </c>
      <c r="D4516" s="36">
        <v>3167.11</v>
      </c>
      <c r="E4516" s="43" t="s">
        <v>3596</v>
      </c>
    </row>
    <row r="4517" spans="1:5" x14ac:dyDescent="0.35">
      <c r="A4517" s="40">
        <v>43929</v>
      </c>
      <c r="B4517" s="38">
        <v>-73.5</v>
      </c>
      <c r="C4517" s="13" t="s">
        <v>1271</v>
      </c>
      <c r="D4517" s="36">
        <v>3272.56</v>
      </c>
      <c r="E4517" s="43" t="s">
        <v>3596</v>
      </c>
    </row>
    <row r="4518" spans="1:5" x14ac:dyDescent="0.35">
      <c r="A4518" s="40">
        <v>43929</v>
      </c>
      <c r="B4518" s="38">
        <v>-75.5</v>
      </c>
      <c r="C4518" s="13" t="s">
        <v>37</v>
      </c>
      <c r="D4518" s="36">
        <v>3197.06</v>
      </c>
      <c r="E4518" s="43" t="s">
        <v>3596</v>
      </c>
    </row>
    <row r="4519" spans="1:5" x14ac:dyDescent="0.35">
      <c r="A4519" s="40">
        <v>43928</v>
      </c>
      <c r="B4519" s="38">
        <v>13.5</v>
      </c>
      <c r="C4519" s="13" t="s">
        <v>1664</v>
      </c>
      <c r="D4519" s="36">
        <v>3346.06</v>
      </c>
      <c r="E4519" s="43" t="s">
        <v>3596</v>
      </c>
    </row>
    <row r="4520" spans="1:5" x14ac:dyDescent="0.35">
      <c r="A4520" s="40">
        <v>43928</v>
      </c>
      <c r="B4520" s="38">
        <v>-27.18</v>
      </c>
      <c r="C4520" s="13" t="s">
        <v>1273</v>
      </c>
      <c r="D4520" s="36">
        <v>3349.26</v>
      </c>
      <c r="E4520" s="43" t="s">
        <v>3596</v>
      </c>
    </row>
    <row r="4521" spans="1:5" x14ac:dyDescent="0.35">
      <c r="A4521" s="40">
        <v>43928</v>
      </c>
      <c r="B4521" s="38">
        <v>-16.7</v>
      </c>
      <c r="C4521" s="13" t="s">
        <v>1272</v>
      </c>
      <c r="D4521" s="36">
        <v>3332.56</v>
      </c>
      <c r="E4521" s="43" t="s">
        <v>3596</v>
      </c>
    </row>
    <row r="4522" spans="1:5" x14ac:dyDescent="0.35">
      <c r="A4522" s="40">
        <v>43925</v>
      </c>
      <c r="B4522" s="38">
        <v>-100</v>
      </c>
      <c r="C4522" s="13" t="s">
        <v>946</v>
      </c>
      <c r="D4522" s="36">
        <v>3421.35</v>
      </c>
      <c r="E4522" s="43" t="s">
        <v>3596</v>
      </c>
    </row>
    <row r="4523" spans="1:5" x14ac:dyDescent="0.35">
      <c r="A4523" s="40">
        <v>43925</v>
      </c>
      <c r="B4523" s="38">
        <v>-44.91</v>
      </c>
      <c r="C4523" s="13" t="s">
        <v>1274</v>
      </c>
      <c r="D4523" s="36">
        <v>3376.44</v>
      </c>
      <c r="E4523" s="43" t="s">
        <v>3596</v>
      </c>
    </row>
    <row r="4524" spans="1:5" x14ac:dyDescent="0.35">
      <c r="A4524" s="40">
        <v>43923</v>
      </c>
      <c r="B4524" s="38">
        <v>-16</v>
      </c>
      <c r="C4524" s="13" t="s">
        <v>1277</v>
      </c>
      <c r="D4524" s="36">
        <v>4243.3500000000004</v>
      </c>
      <c r="E4524" s="43" t="s">
        <v>3596</v>
      </c>
    </row>
    <row r="4525" spans="1:5" x14ac:dyDescent="0.35">
      <c r="A4525" s="40">
        <v>43923</v>
      </c>
      <c r="B4525" s="38">
        <v>2053.4899999999998</v>
      </c>
      <c r="C4525" s="13" t="s">
        <v>1279</v>
      </c>
      <c r="D4525" s="36">
        <v>4299.3500000000004</v>
      </c>
      <c r="E4525" s="43" t="s">
        <v>3596</v>
      </c>
    </row>
    <row r="4526" spans="1:5" x14ac:dyDescent="0.35">
      <c r="A4526" s="40">
        <v>43923</v>
      </c>
      <c r="B4526" s="38">
        <v>-500</v>
      </c>
      <c r="C4526" s="13" t="s">
        <v>945</v>
      </c>
      <c r="D4526" s="36">
        <v>3521.35</v>
      </c>
      <c r="E4526" s="43" t="s">
        <v>3596</v>
      </c>
    </row>
    <row r="4527" spans="1:5" x14ac:dyDescent="0.35">
      <c r="A4527" s="40">
        <v>43923</v>
      </c>
      <c r="B4527" s="38">
        <v>-40</v>
      </c>
      <c r="C4527" s="13" t="s">
        <v>1278</v>
      </c>
      <c r="D4527" s="36">
        <v>4259.3500000000004</v>
      </c>
      <c r="E4527" s="43" t="s">
        <v>3596</v>
      </c>
    </row>
    <row r="4528" spans="1:5" x14ac:dyDescent="0.35">
      <c r="A4528" s="40">
        <v>43923</v>
      </c>
      <c r="B4528" s="38">
        <v>-17</v>
      </c>
      <c r="C4528" s="13" t="s">
        <v>1276</v>
      </c>
      <c r="D4528" s="36">
        <v>4226.3500000000004</v>
      </c>
      <c r="E4528" s="43" t="s">
        <v>3596</v>
      </c>
    </row>
    <row r="4529" spans="1:5" x14ac:dyDescent="0.35">
      <c r="A4529" s="40">
        <v>43923</v>
      </c>
      <c r="B4529" s="38">
        <v>-205</v>
      </c>
      <c r="C4529" s="13" t="s">
        <v>1275</v>
      </c>
      <c r="D4529" s="36">
        <v>4021.35</v>
      </c>
      <c r="E4529" s="43" t="s">
        <v>3596</v>
      </c>
    </row>
    <row r="4530" spans="1:5" x14ac:dyDescent="0.35">
      <c r="A4530" s="40">
        <v>43922</v>
      </c>
      <c r="B4530" s="38">
        <v>-48.5</v>
      </c>
      <c r="C4530" s="13" t="s">
        <v>1282</v>
      </c>
      <c r="D4530" s="36">
        <v>2463.64</v>
      </c>
      <c r="E4530" s="43" t="s">
        <v>3596</v>
      </c>
    </row>
    <row r="4531" spans="1:5" x14ac:dyDescent="0.35">
      <c r="A4531" s="40">
        <v>43922</v>
      </c>
      <c r="B4531" s="38">
        <v>-61</v>
      </c>
      <c r="C4531" s="13" t="s">
        <v>1282</v>
      </c>
      <c r="D4531" s="36">
        <v>2512.14</v>
      </c>
      <c r="E4531" s="43" t="s">
        <v>3596</v>
      </c>
    </row>
    <row r="4532" spans="1:5" x14ac:dyDescent="0.35">
      <c r="A4532" s="40">
        <v>43922</v>
      </c>
      <c r="B4532" s="38">
        <v>-20</v>
      </c>
      <c r="C4532" s="13" t="s">
        <v>3385</v>
      </c>
      <c r="D4532" s="36">
        <v>2574.54</v>
      </c>
      <c r="E4532" s="43" t="s">
        <v>3596</v>
      </c>
    </row>
    <row r="4533" spans="1:5" x14ac:dyDescent="0.35">
      <c r="A4533" s="40">
        <v>43922</v>
      </c>
      <c r="B4533" s="38">
        <v>-1.4</v>
      </c>
      <c r="C4533" s="13" t="s">
        <v>1283</v>
      </c>
      <c r="D4533" s="36">
        <v>2573.14</v>
      </c>
      <c r="E4533" s="43" t="s">
        <v>3596</v>
      </c>
    </row>
    <row r="4534" spans="1:5" x14ac:dyDescent="0.35">
      <c r="A4534" s="40">
        <v>43922</v>
      </c>
      <c r="B4534" s="38">
        <v>-172.3</v>
      </c>
      <c r="C4534" s="13" t="s">
        <v>1280</v>
      </c>
      <c r="D4534" s="36">
        <v>2245.86</v>
      </c>
      <c r="E4534" s="43" t="s">
        <v>3596</v>
      </c>
    </row>
    <row r="4535" spans="1:5" x14ac:dyDescent="0.35">
      <c r="A4535" s="40">
        <v>43922</v>
      </c>
      <c r="B4535" s="38">
        <v>-45.48</v>
      </c>
      <c r="C4535" s="13" t="s">
        <v>1281</v>
      </c>
      <c r="D4535" s="36">
        <v>2418.16</v>
      </c>
      <c r="E4535" s="43" t="s">
        <v>3596</v>
      </c>
    </row>
    <row r="4536" spans="1:5" x14ac:dyDescent="0.35">
      <c r="A4536" s="40">
        <v>43921</v>
      </c>
      <c r="B4536" s="38">
        <v>-178</v>
      </c>
      <c r="C4536" s="13" t="s">
        <v>1251</v>
      </c>
      <c r="D4536" s="36">
        <v>2594.54</v>
      </c>
      <c r="E4536" s="43" t="s">
        <v>3596</v>
      </c>
    </row>
    <row r="4537" spans="1:5" x14ac:dyDescent="0.35">
      <c r="A4537" s="40">
        <v>43921</v>
      </c>
      <c r="B4537" s="38">
        <v>-1</v>
      </c>
      <c r="C4537" s="13" t="s">
        <v>2066</v>
      </c>
      <c r="D4537" s="36">
        <v>2772.54</v>
      </c>
      <c r="E4537" s="43" t="s">
        <v>3596</v>
      </c>
    </row>
    <row r="4538" spans="1:5" x14ac:dyDescent="0.35">
      <c r="A4538" s="40">
        <v>43920</v>
      </c>
      <c r="B4538" s="38">
        <v>-43.38</v>
      </c>
      <c r="C4538" s="13" t="s">
        <v>1011</v>
      </c>
      <c r="D4538" s="36">
        <v>2773.54</v>
      </c>
      <c r="E4538" s="43" t="s">
        <v>3596</v>
      </c>
    </row>
    <row r="4539" spans="1:5" x14ac:dyDescent="0.35">
      <c r="A4539" s="40">
        <v>43918</v>
      </c>
      <c r="B4539" s="38">
        <v>-15.5</v>
      </c>
      <c r="C4539" s="13" t="s">
        <v>1253</v>
      </c>
      <c r="D4539" s="36">
        <v>2868.92</v>
      </c>
      <c r="E4539" s="43" t="s">
        <v>3596</v>
      </c>
    </row>
    <row r="4540" spans="1:5" x14ac:dyDescent="0.35">
      <c r="A4540" s="40">
        <v>43918</v>
      </c>
      <c r="B4540" s="38">
        <v>-100</v>
      </c>
      <c r="C4540" s="13" t="s">
        <v>946</v>
      </c>
      <c r="D4540" s="36">
        <v>2884.42</v>
      </c>
      <c r="E4540" s="43" t="s">
        <v>3596</v>
      </c>
    </row>
    <row r="4541" spans="1:5" x14ac:dyDescent="0.35">
      <c r="A4541" s="40">
        <v>43918</v>
      </c>
      <c r="B4541" s="38">
        <v>-52</v>
      </c>
      <c r="C4541" s="13" t="s">
        <v>1252</v>
      </c>
      <c r="D4541" s="36">
        <v>2816.92</v>
      </c>
      <c r="E4541" s="43" t="s">
        <v>3596</v>
      </c>
    </row>
    <row r="4542" spans="1:5" x14ac:dyDescent="0.35">
      <c r="A4542" s="40">
        <v>43917</v>
      </c>
      <c r="B4542" s="38">
        <v>-11.17</v>
      </c>
      <c r="C4542" s="13" t="s">
        <v>1254</v>
      </c>
      <c r="D4542" s="36">
        <v>3253.42</v>
      </c>
      <c r="E4542" s="43" t="s">
        <v>3596</v>
      </c>
    </row>
    <row r="4543" spans="1:5" x14ac:dyDescent="0.35">
      <c r="A4543" s="40">
        <v>43917</v>
      </c>
      <c r="B4543" s="38">
        <v>-9.99</v>
      </c>
      <c r="C4543" s="13" t="s">
        <v>1255</v>
      </c>
      <c r="D4543" s="36">
        <v>3264.59</v>
      </c>
      <c r="E4543" s="43" t="s">
        <v>3596</v>
      </c>
    </row>
    <row r="4544" spans="1:5" x14ac:dyDescent="0.35">
      <c r="A4544" s="40">
        <v>43917</v>
      </c>
      <c r="B4544" s="38">
        <v>-269</v>
      </c>
      <c r="C4544" s="13" t="s">
        <v>2067</v>
      </c>
      <c r="D4544" s="36">
        <v>2984.42</v>
      </c>
      <c r="E4544" s="43" t="s">
        <v>3596</v>
      </c>
    </row>
    <row r="4545" spans="1:5" x14ac:dyDescent="0.35">
      <c r="A4545" s="40">
        <v>43916</v>
      </c>
      <c r="B4545" s="38">
        <v>157.65</v>
      </c>
      <c r="C4545" s="13" t="s">
        <v>1258</v>
      </c>
      <c r="D4545" s="36">
        <v>3436.96</v>
      </c>
      <c r="E4545" s="43" t="s">
        <v>3596</v>
      </c>
    </row>
    <row r="4546" spans="1:5" x14ac:dyDescent="0.35">
      <c r="A4546" s="40">
        <v>43916</v>
      </c>
      <c r="B4546" s="38">
        <v>-157.65</v>
      </c>
      <c r="C4546" s="13" t="s">
        <v>1257</v>
      </c>
      <c r="D4546" s="36">
        <v>3279.31</v>
      </c>
      <c r="E4546" s="43" t="s">
        <v>3596</v>
      </c>
    </row>
    <row r="4547" spans="1:5" x14ac:dyDescent="0.35">
      <c r="A4547" s="40">
        <v>43916</v>
      </c>
      <c r="B4547" s="38">
        <v>-4.7300000000000004</v>
      </c>
      <c r="C4547" s="13" t="s">
        <v>1256</v>
      </c>
      <c r="D4547" s="36">
        <v>3274.58</v>
      </c>
      <c r="E4547" s="43" t="s">
        <v>3596</v>
      </c>
    </row>
    <row r="4548" spans="1:5" x14ac:dyDescent="0.35">
      <c r="A4548" s="40">
        <v>43915</v>
      </c>
      <c r="B4548" s="38">
        <v>-21.89</v>
      </c>
      <c r="C4548" s="13" t="s">
        <v>1264</v>
      </c>
      <c r="D4548" s="36">
        <v>3482.7</v>
      </c>
      <c r="E4548" s="43" t="s">
        <v>3596</v>
      </c>
    </row>
    <row r="4549" spans="1:5" x14ac:dyDescent="0.35">
      <c r="A4549" s="40">
        <v>43915</v>
      </c>
      <c r="B4549" s="38">
        <v>-17.420000000000002</v>
      </c>
      <c r="C4549" s="13" t="s">
        <v>1261</v>
      </c>
      <c r="D4549" s="36">
        <v>3300.28</v>
      </c>
      <c r="E4549" s="43" t="s">
        <v>3596</v>
      </c>
    </row>
    <row r="4550" spans="1:5" x14ac:dyDescent="0.35">
      <c r="A4550" s="40">
        <v>43915</v>
      </c>
      <c r="B4550" s="38">
        <v>-150</v>
      </c>
      <c r="C4550" s="13" t="s">
        <v>1262</v>
      </c>
      <c r="D4550" s="36">
        <v>3317.7</v>
      </c>
      <c r="E4550" s="43" t="s">
        <v>3596</v>
      </c>
    </row>
    <row r="4551" spans="1:5" x14ac:dyDescent="0.35">
      <c r="A4551" s="40">
        <v>43915</v>
      </c>
      <c r="B4551" s="38">
        <v>-11.17</v>
      </c>
      <c r="C4551" s="13" t="s">
        <v>1260</v>
      </c>
      <c r="D4551" s="36">
        <v>3289.11</v>
      </c>
      <c r="E4551" s="43" t="s">
        <v>3596</v>
      </c>
    </row>
    <row r="4552" spans="1:5" x14ac:dyDescent="0.35">
      <c r="A4552" s="40">
        <v>43915</v>
      </c>
      <c r="B4552" s="38">
        <v>-15</v>
      </c>
      <c r="C4552" s="13" t="s">
        <v>1263</v>
      </c>
      <c r="D4552" s="36">
        <v>3467.7</v>
      </c>
      <c r="E4552" s="43" t="s">
        <v>3596</v>
      </c>
    </row>
    <row r="4553" spans="1:5" x14ac:dyDescent="0.35">
      <c r="A4553" s="40">
        <v>43915</v>
      </c>
      <c r="B4553" s="38">
        <v>-9.8000000000000007</v>
      </c>
      <c r="C4553" s="13" t="s">
        <v>1259</v>
      </c>
      <c r="D4553" s="36">
        <v>3279.31</v>
      </c>
      <c r="E4553" s="43" t="s">
        <v>3596</v>
      </c>
    </row>
    <row r="4554" spans="1:5" x14ac:dyDescent="0.35">
      <c r="A4554" s="40">
        <v>43914</v>
      </c>
      <c r="B4554" s="39">
        <v>-3.69</v>
      </c>
      <c r="C4554" s="14" t="s">
        <v>4</v>
      </c>
      <c r="D4554" s="37">
        <v>3519.59</v>
      </c>
      <c r="E4554" s="44" t="s">
        <v>3596</v>
      </c>
    </row>
    <row r="4555" spans="1:5" x14ac:dyDescent="0.35">
      <c r="A4555" s="40">
        <v>43914</v>
      </c>
      <c r="B4555" s="38">
        <v>-40</v>
      </c>
      <c r="C4555" s="13" t="s">
        <v>1267</v>
      </c>
      <c r="D4555" s="36">
        <v>3583.45</v>
      </c>
      <c r="E4555" s="43" t="s">
        <v>3596</v>
      </c>
    </row>
    <row r="4556" spans="1:5" x14ac:dyDescent="0.35">
      <c r="A4556" s="40">
        <v>43914</v>
      </c>
      <c r="B4556" s="38">
        <v>-11.17</v>
      </c>
      <c r="C4556" s="13" t="s">
        <v>1265</v>
      </c>
      <c r="D4556" s="36">
        <v>3523.28</v>
      </c>
      <c r="E4556" s="43" t="s">
        <v>3596</v>
      </c>
    </row>
    <row r="4557" spans="1:5" x14ac:dyDescent="0.35">
      <c r="A4557" s="40">
        <v>43914</v>
      </c>
      <c r="B4557" s="38">
        <v>-49</v>
      </c>
      <c r="C4557" s="13" t="s">
        <v>1266</v>
      </c>
      <c r="D4557" s="36">
        <v>3534.45</v>
      </c>
      <c r="E4557" s="43" t="s">
        <v>3596</v>
      </c>
    </row>
    <row r="4558" spans="1:5" x14ac:dyDescent="0.35">
      <c r="A4558" s="40">
        <v>43914</v>
      </c>
      <c r="B4558" s="38">
        <v>-15</v>
      </c>
      <c r="C4558" s="13" t="s">
        <v>11</v>
      </c>
      <c r="D4558" s="36">
        <v>3504.59</v>
      </c>
      <c r="E4558" s="43" t="s">
        <v>3596</v>
      </c>
    </row>
    <row r="4559" spans="1:5" x14ac:dyDescent="0.35">
      <c r="A4559" s="40">
        <v>43911</v>
      </c>
      <c r="B4559" s="38">
        <v>-27.94</v>
      </c>
      <c r="C4559" s="13" t="s">
        <v>1269</v>
      </c>
      <c r="D4559" s="36">
        <v>3735.45</v>
      </c>
      <c r="E4559" s="43" t="s">
        <v>3596</v>
      </c>
    </row>
    <row r="4560" spans="1:5" x14ac:dyDescent="0.35">
      <c r="A4560" s="40">
        <v>43911</v>
      </c>
      <c r="B4560" s="38">
        <v>-100</v>
      </c>
      <c r="C4560" s="13" t="s">
        <v>946</v>
      </c>
      <c r="D4560" s="36">
        <v>3623.45</v>
      </c>
      <c r="E4560" s="43" t="s">
        <v>3596</v>
      </c>
    </row>
    <row r="4561" spans="1:5" x14ac:dyDescent="0.35">
      <c r="A4561" s="40">
        <v>43911</v>
      </c>
      <c r="B4561" s="38">
        <v>-12</v>
      </c>
      <c r="C4561" s="13" t="s">
        <v>1268</v>
      </c>
      <c r="D4561" s="36">
        <v>3723.45</v>
      </c>
      <c r="E4561" s="43" t="s">
        <v>3596</v>
      </c>
    </row>
    <row r="4562" spans="1:5" x14ac:dyDescent="0.35">
      <c r="A4562" s="40">
        <v>43910</v>
      </c>
      <c r="B4562" s="38">
        <v>-0.94</v>
      </c>
      <c r="C4562" s="13" t="s">
        <v>4</v>
      </c>
      <c r="D4562" s="36">
        <v>3781.44</v>
      </c>
      <c r="E4562" s="43" t="s">
        <v>3596</v>
      </c>
    </row>
    <row r="4563" spans="1:5" x14ac:dyDescent="0.35">
      <c r="A4563" s="40">
        <v>43910</v>
      </c>
      <c r="B4563" s="38">
        <v>-18.05</v>
      </c>
      <c r="C4563" s="13" t="s">
        <v>779</v>
      </c>
      <c r="D4563" s="36">
        <v>3763.39</v>
      </c>
      <c r="E4563" s="43" t="s">
        <v>3596</v>
      </c>
    </row>
    <row r="4564" spans="1:5" x14ac:dyDescent="0.35">
      <c r="A4564" s="40">
        <v>43909</v>
      </c>
      <c r="B4564" s="38">
        <v>-3</v>
      </c>
      <c r="C4564" s="13" t="s">
        <v>4</v>
      </c>
      <c r="D4564" s="36">
        <v>3782.38</v>
      </c>
      <c r="E4564" s="43" t="s">
        <v>3596</v>
      </c>
    </row>
    <row r="4565" spans="1:5" x14ac:dyDescent="0.35">
      <c r="A4565" s="40">
        <v>43909</v>
      </c>
      <c r="B4565" s="38">
        <v>2053.4899999999998</v>
      </c>
      <c r="C4565" s="13" t="s">
        <v>1227</v>
      </c>
      <c r="D4565" s="36">
        <v>4296.55</v>
      </c>
      <c r="E4565" s="43" t="s">
        <v>3596</v>
      </c>
    </row>
    <row r="4566" spans="1:5" x14ac:dyDescent="0.35">
      <c r="A4566" s="40">
        <v>43909</v>
      </c>
      <c r="B4566" s="38">
        <v>-500</v>
      </c>
      <c r="C4566" s="13" t="s">
        <v>945</v>
      </c>
      <c r="D4566" s="36">
        <v>3796.55</v>
      </c>
      <c r="E4566" s="43" t="s">
        <v>3596</v>
      </c>
    </row>
    <row r="4567" spans="1:5" x14ac:dyDescent="0.35">
      <c r="A4567" s="40">
        <v>43909</v>
      </c>
      <c r="B4567" s="38">
        <v>-11.17</v>
      </c>
      <c r="C4567" s="13" t="s">
        <v>1226</v>
      </c>
      <c r="D4567" s="36">
        <v>3785.38</v>
      </c>
      <c r="E4567" s="43" t="s">
        <v>3596</v>
      </c>
    </row>
    <row r="4568" spans="1:5" x14ac:dyDescent="0.35">
      <c r="A4568" s="40">
        <v>43908</v>
      </c>
      <c r="B4568" s="38">
        <v>-3.32</v>
      </c>
      <c r="C4568" s="13" t="s">
        <v>4</v>
      </c>
      <c r="D4568" s="36">
        <v>2257.56</v>
      </c>
      <c r="E4568" s="43" t="s">
        <v>3596</v>
      </c>
    </row>
    <row r="4569" spans="1:5" x14ac:dyDescent="0.35">
      <c r="A4569" s="40">
        <v>43908</v>
      </c>
      <c r="B4569" s="38">
        <v>-47.49</v>
      </c>
      <c r="C4569" s="13" t="s">
        <v>1228</v>
      </c>
      <c r="D4569" s="36">
        <v>2260.88</v>
      </c>
      <c r="E4569" s="43" t="s">
        <v>3596</v>
      </c>
    </row>
    <row r="4570" spans="1:5" x14ac:dyDescent="0.35">
      <c r="A4570" s="40">
        <v>43908</v>
      </c>
      <c r="B4570" s="38">
        <v>-23.49</v>
      </c>
      <c r="C4570" s="13" t="s">
        <v>1230</v>
      </c>
      <c r="D4570" s="36">
        <v>2323.37</v>
      </c>
      <c r="E4570" s="43" t="s">
        <v>3596</v>
      </c>
    </row>
    <row r="4571" spans="1:5" x14ac:dyDescent="0.35">
      <c r="A4571" s="40">
        <v>43908</v>
      </c>
      <c r="B4571" s="38">
        <v>-84.59</v>
      </c>
      <c r="C4571" s="13" t="s">
        <v>1231</v>
      </c>
      <c r="D4571" s="36">
        <v>2346.86</v>
      </c>
      <c r="E4571" s="43" t="s">
        <v>3596</v>
      </c>
    </row>
    <row r="4572" spans="1:5" x14ac:dyDescent="0.35">
      <c r="A4572" s="40">
        <v>43908</v>
      </c>
      <c r="B4572" s="38">
        <v>-40</v>
      </c>
      <c r="C4572" s="13" t="s">
        <v>1232</v>
      </c>
      <c r="D4572" s="36">
        <v>2431.4499999999998</v>
      </c>
      <c r="E4572" s="43" t="s">
        <v>3596</v>
      </c>
    </row>
    <row r="4573" spans="1:5" x14ac:dyDescent="0.35">
      <c r="A4573" s="40">
        <v>43908</v>
      </c>
      <c r="B4573" s="38">
        <v>-15</v>
      </c>
      <c r="C4573" s="13" t="s">
        <v>1229</v>
      </c>
      <c r="D4573" s="36">
        <v>2308.37</v>
      </c>
      <c r="E4573" s="43" t="s">
        <v>3596</v>
      </c>
    </row>
    <row r="4574" spans="1:5" x14ac:dyDescent="0.35">
      <c r="A4574" s="40">
        <v>43908</v>
      </c>
      <c r="B4574" s="38">
        <v>-14.5</v>
      </c>
      <c r="C4574" s="13" t="s">
        <v>11</v>
      </c>
      <c r="D4574" s="36">
        <v>2243.06</v>
      </c>
      <c r="E4574" s="43" t="s">
        <v>3596</v>
      </c>
    </row>
    <row r="4575" spans="1:5" x14ac:dyDescent="0.35">
      <c r="A4575" s="40">
        <v>43907</v>
      </c>
      <c r="B4575" s="38">
        <v>-4</v>
      </c>
      <c r="C4575" s="13" t="s">
        <v>4</v>
      </c>
      <c r="D4575" s="36">
        <v>2500.11</v>
      </c>
      <c r="E4575" s="43" t="s">
        <v>3596</v>
      </c>
    </row>
    <row r="4576" spans="1:5" x14ac:dyDescent="0.35">
      <c r="A4576" s="40">
        <v>43907</v>
      </c>
      <c r="B4576" s="38">
        <v>-1.17</v>
      </c>
      <c r="C4576" s="13" t="s">
        <v>4</v>
      </c>
      <c r="D4576" s="36">
        <v>2504.11</v>
      </c>
      <c r="E4576" s="43" t="s">
        <v>3596</v>
      </c>
    </row>
    <row r="4577" spans="1:5" x14ac:dyDescent="0.35">
      <c r="A4577" s="40">
        <v>43907</v>
      </c>
      <c r="B4577" s="38">
        <v>-11.17</v>
      </c>
      <c r="C4577" s="13" t="s">
        <v>1233</v>
      </c>
      <c r="D4577" s="36">
        <v>2505.2800000000002</v>
      </c>
      <c r="E4577" s="43" t="s">
        <v>3596</v>
      </c>
    </row>
    <row r="4578" spans="1:5" x14ac:dyDescent="0.35">
      <c r="A4578" s="40">
        <v>43907</v>
      </c>
      <c r="B4578" s="38">
        <v>-15.61</v>
      </c>
      <c r="C4578" s="13" t="s">
        <v>837</v>
      </c>
      <c r="D4578" s="36">
        <v>2484.5</v>
      </c>
      <c r="E4578" s="43" t="s">
        <v>3596</v>
      </c>
    </row>
    <row r="4579" spans="1:5" x14ac:dyDescent="0.35">
      <c r="A4579" s="40">
        <v>43907</v>
      </c>
      <c r="B4579" s="38">
        <v>-13.05</v>
      </c>
      <c r="C4579" s="13" t="s">
        <v>773</v>
      </c>
      <c r="D4579" s="36">
        <v>2471.4499999999998</v>
      </c>
      <c r="E4579" s="43" t="s">
        <v>3596</v>
      </c>
    </row>
    <row r="4580" spans="1:5" x14ac:dyDescent="0.35">
      <c r="A4580" s="40">
        <v>43907</v>
      </c>
      <c r="B4580" s="38">
        <v>-12</v>
      </c>
      <c r="C4580" s="13" t="s">
        <v>1234</v>
      </c>
      <c r="D4580" s="36">
        <v>2516.4499999999998</v>
      </c>
      <c r="E4580" s="43" t="s">
        <v>3596</v>
      </c>
    </row>
    <row r="4581" spans="1:5" x14ac:dyDescent="0.35">
      <c r="A4581" s="40">
        <v>43906</v>
      </c>
      <c r="B4581" s="38">
        <v>-2.02</v>
      </c>
      <c r="C4581" s="13" t="s">
        <v>4</v>
      </c>
      <c r="D4581" s="36">
        <v>2553.36</v>
      </c>
      <c r="E4581" s="43" t="s">
        <v>3596</v>
      </c>
    </row>
    <row r="4582" spans="1:5" x14ac:dyDescent="0.35">
      <c r="A4582" s="40">
        <v>43906</v>
      </c>
      <c r="B4582" s="38">
        <v>-8.35</v>
      </c>
      <c r="C4582" s="13" t="s">
        <v>779</v>
      </c>
      <c r="D4582" s="36">
        <v>2541.02</v>
      </c>
      <c r="E4582" s="43" t="s">
        <v>3596</v>
      </c>
    </row>
    <row r="4583" spans="1:5" x14ac:dyDescent="0.35">
      <c r="A4583" s="40">
        <v>43906</v>
      </c>
      <c r="B4583" s="38">
        <v>-12.57</v>
      </c>
      <c r="C4583" s="13" t="s">
        <v>1</v>
      </c>
      <c r="D4583" s="36">
        <v>2528.4499999999998</v>
      </c>
      <c r="E4583" s="43" t="s">
        <v>3596</v>
      </c>
    </row>
    <row r="4584" spans="1:5" x14ac:dyDescent="0.35">
      <c r="A4584" s="40">
        <v>43906</v>
      </c>
      <c r="B4584" s="38">
        <v>-3.99</v>
      </c>
      <c r="C4584" s="13" t="s">
        <v>773</v>
      </c>
      <c r="D4584" s="36">
        <v>2549.37</v>
      </c>
      <c r="E4584" s="43" t="s">
        <v>3596</v>
      </c>
    </row>
    <row r="4585" spans="1:5" x14ac:dyDescent="0.35">
      <c r="A4585" s="40">
        <v>43905</v>
      </c>
      <c r="B4585" s="38">
        <v>13</v>
      </c>
      <c r="C4585" s="13" t="s">
        <v>1239</v>
      </c>
      <c r="D4585" s="36">
        <v>2555.38</v>
      </c>
      <c r="E4585" s="43" t="s">
        <v>3596</v>
      </c>
    </row>
    <row r="4586" spans="1:5" x14ac:dyDescent="0.35">
      <c r="A4586" s="40">
        <v>43904</v>
      </c>
      <c r="B4586" s="38">
        <v>-36</v>
      </c>
      <c r="C4586" s="13" t="s">
        <v>964</v>
      </c>
      <c r="D4586" s="36">
        <v>2576.5500000000002</v>
      </c>
      <c r="E4586" s="43" t="s">
        <v>3596</v>
      </c>
    </row>
    <row r="4587" spans="1:5" x14ac:dyDescent="0.35">
      <c r="A4587" s="40">
        <v>43904</v>
      </c>
      <c r="B4587" s="38">
        <v>-45</v>
      </c>
      <c r="C4587" s="13" t="s">
        <v>962</v>
      </c>
      <c r="D4587" s="36">
        <v>2520.38</v>
      </c>
      <c r="E4587" s="43" t="s">
        <v>3596</v>
      </c>
    </row>
    <row r="4588" spans="1:5" x14ac:dyDescent="0.35">
      <c r="A4588" s="40">
        <v>43904</v>
      </c>
      <c r="B4588" s="38">
        <v>-11.17</v>
      </c>
      <c r="C4588" s="13" t="s">
        <v>963</v>
      </c>
      <c r="D4588" s="36">
        <v>2565.38</v>
      </c>
      <c r="E4588" s="43" t="s">
        <v>3596</v>
      </c>
    </row>
    <row r="4589" spans="1:5" x14ac:dyDescent="0.35">
      <c r="A4589" s="40">
        <v>43904</v>
      </c>
      <c r="B4589" s="38">
        <v>-100</v>
      </c>
      <c r="C4589" s="13" t="s">
        <v>946</v>
      </c>
      <c r="D4589" s="36">
        <v>2612.5500000000002</v>
      </c>
      <c r="E4589" s="43" t="s">
        <v>3596</v>
      </c>
    </row>
    <row r="4590" spans="1:5" x14ac:dyDescent="0.35">
      <c r="A4590" s="40">
        <v>43904</v>
      </c>
      <c r="B4590" s="38">
        <v>48</v>
      </c>
      <c r="C4590" s="13" t="s">
        <v>951</v>
      </c>
      <c r="D4590" s="36">
        <v>2542.38</v>
      </c>
      <c r="E4590" s="43" t="s">
        <v>3596</v>
      </c>
    </row>
    <row r="4591" spans="1:5" x14ac:dyDescent="0.35">
      <c r="A4591" s="40">
        <v>43904</v>
      </c>
      <c r="B4591" s="38">
        <v>-26</v>
      </c>
      <c r="C4591" s="13" t="s">
        <v>961</v>
      </c>
      <c r="D4591" s="36">
        <v>2494.38</v>
      </c>
      <c r="E4591" s="43" t="s">
        <v>3596</v>
      </c>
    </row>
    <row r="4592" spans="1:5" x14ac:dyDescent="0.35">
      <c r="A4592" s="40">
        <v>43903</v>
      </c>
      <c r="B4592" s="38">
        <v>-39.99</v>
      </c>
      <c r="C4592" s="13" t="s">
        <v>966</v>
      </c>
      <c r="D4592" s="36">
        <v>2757.66</v>
      </c>
      <c r="E4592" s="43" t="s">
        <v>3596</v>
      </c>
    </row>
    <row r="4593" spans="1:5" x14ac:dyDescent="0.35">
      <c r="A4593" s="40">
        <v>43903</v>
      </c>
      <c r="B4593" s="38">
        <v>-35.9</v>
      </c>
      <c r="C4593" s="13" t="s">
        <v>965</v>
      </c>
      <c r="D4593" s="36">
        <v>2721.76</v>
      </c>
      <c r="E4593" s="43" t="s">
        <v>3596</v>
      </c>
    </row>
    <row r="4594" spans="1:5" x14ac:dyDescent="0.35">
      <c r="A4594" s="40">
        <v>43903</v>
      </c>
      <c r="B4594" s="38">
        <v>-9.2100000000000009</v>
      </c>
      <c r="C4594" s="13" t="s">
        <v>1</v>
      </c>
      <c r="D4594" s="36">
        <v>2712.55</v>
      </c>
      <c r="E4594" s="43" t="s">
        <v>3596</v>
      </c>
    </row>
    <row r="4595" spans="1:5" x14ac:dyDescent="0.35">
      <c r="A4595" s="40">
        <v>43902</v>
      </c>
      <c r="B4595" s="38">
        <v>-31.5</v>
      </c>
      <c r="C4595" s="13" t="s">
        <v>968</v>
      </c>
      <c r="D4595" s="36">
        <v>2815.71</v>
      </c>
      <c r="E4595" s="43" t="s">
        <v>3596</v>
      </c>
    </row>
    <row r="4596" spans="1:5" x14ac:dyDescent="0.35">
      <c r="A4596" s="40">
        <v>43902</v>
      </c>
      <c r="B4596" s="38">
        <v>-28.35</v>
      </c>
      <c r="C4596" s="13" t="s">
        <v>969</v>
      </c>
      <c r="D4596" s="36">
        <v>2847.21</v>
      </c>
      <c r="E4596" s="43" t="s">
        <v>3596</v>
      </c>
    </row>
    <row r="4597" spans="1:5" x14ac:dyDescent="0.35">
      <c r="A4597" s="40">
        <v>43902</v>
      </c>
      <c r="B4597" s="38">
        <v>-18.059999999999999</v>
      </c>
      <c r="C4597" s="13" t="s">
        <v>967</v>
      </c>
      <c r="D4597" s="36">
        <v>2797.65</v>
      </c>
      <c r="E4597" s="43" t="s">
        <v>3596</v>
      </c>
    </row>
    <row r="4598" spans="1:5" x14ac:dyDescent="0.35">
      <c r="A4598" s="40">
        <v>43901</v>
      </c>
      <c r="B4598" s="39">
        <v>-26.39</v>
      </c>
      <c r="C4598" s="14" t="s">
        <v>973</v>
      </c>
      <c r="D4598" s="37">
        <v>3098.66</v>
      </c>
      <c r="E4598" s="44" t="s">
        <v>3596</v>
      </c>
    </row>
    <row r="4599" spans="1:5" x14ac:dyDescent="0.35">
      <c r="A4599" s="40">
        <v>43901</v>
      </c>
      <c r="B4599" s="38">
        <v>-11.25</v>
      </c>
      <c r="C4599" s="13" t="s">
        <v>975</v>
      </c>
      <c r="D4599" s="36">
        <v>3223.43</v>
      </c>
      <c r="E4599" s="43" t="s">
        <v>3596</v>
      </c>
    </row>
    <row r="4600" spans="1:5" x14ac:dyDescent="0.35">
      <c r="A4600" s="40">
        <v>43901</v>
      </c>
      <c r="B4600" s="38">
        <v>-58.89</v>
      </c>
      <c r="C4600" s="13" t="s">
        <v>974</v>
      </c>
      <c r="D4600" s="36">
        <v>3125.05</v>
      </c>
      <c r="E4600" s="43" t="s">
        <v>3596</v>
      </c>
    </row>
    <row r="4601" spans="1:5" x14ac:dyDescent="0.35">
      <c r="A4601" s="40">
        <v>43901</v>
      </c>
      <c r="B4601" s="38">
        <v>-39.49</v>
      </c>
      <c r="C4601" s="13" t="s">
        <v>974</v>
      </c>
      <c r="D4601" s="36">
        <v>3183.94</v>
      </c>
      <c r="E4601" s="43" t="s">
        <v>3596</v>
      </c>
    </row>
    <row r="4602" spans="1:5" x14ac:dyDescent="0.35">
      <c r="A4602" s="40">
        <v>43901</v>
      </c>
      <c r="B4602" s="38">
        <v>-10.68</v>
      </c>
      <c r="C4602" s="13" t="s">
        <v>976</v>
      </c>
      <c r="D4602" s="36">
        <v>3234.68</v>
      </c>
      <c r="E4602" s="43" t="s">
        <v>3596</v>
      </c>
    </row>
    <row r="4603" spans="1:5" x14ac:dyDescent="0.35">
      <c r="A4603" s="40">
        <v>43901</v>
      </c>
      <c r="B4603" s="38">
        <v>-40</v>
      </c>
      <c r="C4603" s="13" t="s">
        <v>977</v>
      </c>
      <c r="D4603" s="36">
        <v>3245.36</v>
      </c>
      <c r="E4603" s="43" t="s">
        <v>3596</v>
      </c>
    </row>
    <row r="4604" spans="1:5" x14ac:dyDescent="0.35">
      <c r="A4604" s="40">
        <v>43901</v>
      </c>
      <c r="B4604" s="38">
        <v>-7</v>
      </c>
      <c r="C4604" s="13" t="s">
        <v>971</v>
      </c>
      <c r="D4604" s="36">
        <v>3025.66</v>
      </c>
      <c r="E4604" s="43" t="s">
        <v>3596</v>
      </c>
    </row>
    <row r="4605" spans="1:5" x14ac:dyDescent="0.35">
      <c r="A4605" s="40">
        <v>43901</v>
      </c>
      <c r="B4605" s="38">
        <v>-40</v>
      </c>
      <c r="C4605" s="13" t="s">
        <v>970</v>
      </c>
      <c r="D4605" s="36">
        <v>2985.66</v>
      </c>
      <c r="E4605" s="43" t="s">
        <v>3596</v>
      </c>
    </row>
    <row r="4606" spans="1:5" x14ac:dyDescent="0.35">
      <c r="A4606" s="40">
        <v>43901</v>
      </c>
      <c r="B4606" s="38">
        <v>-110.1</v>
      </c>
      <c r="C4606" s="13" t="s">
        <v>37</v>
      </c>
      <c r="D4606" s="36">
        <v>2875.56</v>
      </c>
      <c r="E4606" s="43" t="s">
        <v>3596</v>
      </c>
    </row>
    <row r="4607" spans="1:5" x14ac:dyDescent="0.35">
      <c r="A4607" s="40">
        <v>43901</v>
      </c>
      <c r="B4607" s="38">
        <v>-33.5</v>
      </c>
      <c r="C4607" s="13" t="s">
        <v>972</v>
      </c>
      <c r="D4607" s="36">
        <v>3032.66</v>
      </c>
      <c r="E4607" s="43" t="s">
        <v>3596</v>
      </c>
    </row>
    <row r="4608" spans="1:5" x14ac:dyDescent="0.35">
      <c r="A4608" s="40">
        <v>43901</v>
      </c>
      <c r="B4608" s="38">
        <v>-21</v>
      </c>
      <c r="C4608" s="13" t="s">
        <v>972</v>
      </c>
      <c r="D4608" s="36">
        <v>3066.16</v>
      </c>
      <c r="E4608" s="43" t="s">
        <v>3596</v>
      </c>
    </row>
    <row r="4609" spans="1:5" x14ac:dyDescent="0.35">
      <c r="A4609" s="40">
        <v>43901</v>
      </c>
      <c r="B4609" s="38">
        <v>-11.5</v>
      </c>
      <c r="C4609" s="13" t="s">
        <v>972</v>
      </c>
      <c r="D4609" s="36">
        <v>3087.16</v>
      </c>
      <c r="E4609" s="43" t="s">
        <v>3596</v>
      </c>
    </row>
    <row r="4610" spans="1:5" x14ac:dyDescent="0.35">
      <c r="A4610" s="40">
        <v>43900</v>
      </c>
      <c r="B4610" s="38">
        <v>-21.89</v>
      </c>
      <c r="C4610" s="13" t="s">
        <v>983</v>
      </c>
      <c r="D4610" s="36">
        <v>3429.76</v>
      </c>
      <c r="E4610" s="43" t="s">
        <v>3596</v>
      </c>
    </row>
    <row r="4611" spans="1:5" x14ac:dyDescent="0.35">
      <c r="A4611" s="40">
        <v>43900</v>
      </c>
      <c r="B4611" s="38">
        <v>-26.94</v>
      </c>
      <c r="C4611" s="13" t="s">
        <v>984</v>
      </c>
      <c r="D4611" s="36">
        <v>3451.65</v>
      </c>
      <c r="E4611" s="43" t="s">
        <v>3596</v>
      </c>
    </row>
    <row r="4612" spans="1:5" x14ac:dyDescent="0.35">
      <c r="A4612" s="40">
        <v>43900</v>
      </c>
      <c r="B4612" s="38">
        <v>-9.07</v>
      </c>
      <c r="C4612" s="13" t="s">
        <v>985</v>
      </c>
      <c r="D4612" s="36">
        <v>3478.59</v>
      </c>
      <c r="E4612" s="43" t="s">
        <v>3596</v>
      </c>
    </row>
    <row r="4613" spans="1:5" x14ac:dyDescent="0.35">
      <c r="A4613" s="40">
        <v>43900</v>
      </c>
      <c r="B4613" s="38">
        <v>-31.5</v>
      </c>
      <c r="C4613" s="13" t="s">
        <v>850</v>
      </c>
      <c r="D4613" s="36">
        <v>3285.36</v>
      </c>
      <c r="E4613" s="43" t="s">
        <v>3596</v>
      </c>
    </row>
    <row r="4614" spans="1:5" x14ac:dyDescent="0.35">
      <c r="A4614" s="40">
        <v>43900</v>
      </c>
      <c r="B4614" s="38">
        <v>-15</v>
      </c>
      <c r="C4614" s="13" t="s">
        <v>979</v>
      </c>
      <c r="D4614" s="36">
        <v>3345.85</v>
      </c>
      <c r="E4614" s="43" t="s">
        <v>3596</v>
      </c>
    </row>
    <row r="4615" spans="1:5" x14ac:dyDescent="0.35">
      <c r="A4615" s="40">
        <v>43900</v>
      </c>
      <c r="B4615" s="38">
        <v>-11.17</v>
      </c>
      <c r="C4615" s="13" t="s">
        <v>980</v>
      </c>
      <c r="D4615" s="36">
        <v>3360.85</v>
      </c>
      <c r="E4615" s="43" t="s">
        <v>3596</v>
      </c>
    </row>
    <row r="4616" spans="1:5" x14ac:dyDescent="0.35">
      <c r="A4616" s="40">
        <v>43900</v>
      </c>
      <c r="B4616" s="38">
        <v>-22.75</v>
      </c>
      <c r="C4616" s="13" t="s">
        <v>982</v>
      </c>
      <c r="D4616" s="36">
        <v>3407.01</v>
      </c>
      <c r="E4616" s="43" t="s">
        <v>3596</v>
      </c>
    </row>
    <row r="4617" spans="1:5" x14ac:dyDescent="0.35">
      <c r="A4617" s="40">
        <v>43900</v>
      </c>
      <c r="B4617" s="38">
        <v>-34.99</v>
      </c>
      <c r="C4617" s="13" t="s">
        <v>981</v>
      </c>
      <c r="D4617" s="36">
        <v>3372.02</v>
      </c>
      <c r="E4617" s="43" t="s">
        <v>3596</v>
      </c>
    </row>
    <row r="4618" spans="1:5" x14ac:dyDescent="0.35">
      <c r="A4618" s="40">
        <v>43900</v>
      </c>
      <c r="B4618" s="38">
        <v>-28.99</v>
      </c>
      <c r="C4618" s="13" t="s">
        <v>978</v>
      </c>
      <c r="D4618" s="36">
        <v>3316.86</v>
      </c>
      <c r="E4618" s="43" t="s">
        <v>3596</v>
      </c>
    </row>
    <row r="4619" spans="1:5" x14ac:dyDescent="0.35">
      <c r="A4619" s="40">
        <v>43899</v>
      </c>
      <c r="B4619" s="38">
        <v>-16.600000000000001</v>
      </c>
      <c r="C4619" s="13" t="s">
        <v>986</v>
      </c>
      <c r="D4619" s="36">
        <v>3487.66</v>
      </c>
      <c r="E4619" s="43" t="s">
        <v>3596</v>
      </c>
    </row>
    <row r="4620" spans="1:5" x14ac:dyDescent="0.35">
      <c r="A4620" s="40">
        <v>43899</v>
      </c>
      <c r="B4620" s="38">
        <v>-16.600000000000001</v>
      </c>
      <c r="C4620" s="13" t="s">
        <v>986</v>
      </c>
      <c r="D4620" s="36">
        <v>3504.26</v>
      </c>
      <c r="E4620" s="43" t="s">
        <v>3596</v>
      </c>
    </row>
    <row r="4621" spans="1:5" x14ac:dyDescent="0.35">
      <c r="A4621" s="40">
        <v>43897</v>
      </c>
      <c r="B4621" s="39">
        <v>30</v>
      </c>
      <c r="C4621" s="14" t="s">
        <v>1270</v>
      </c>
      <c r="D4621" s="37">
        <v>3520.86</v>
      </c>
      <c r="E4621" s="44" t="s">
        <v>3596</v>
      </c>
    </row>
    <row r="4622" spans="1:5" x14ac:dyDescent="0.35">
      <c r="A4622" s="40">
        <v>43897</v>
      </c>
      <c r="B4622" s="38">
        <v>-100</v>
      </c>
      <c r="C4622" s="13" t="s">
        <v>946</v>
      </c>
      <c r="D4622" s="36">
        <v>3498.46</v>
      </c>
      <c r="E4622" s="43" t="s">
        <v>3596</v>
      </c>
    </row>
    <row r="4623" spans="1:5" x14ac:dyDescent="0.35">
      <c r="A4623" s="40">
        <v>43897</v>
      </c>
      <c r="B4623" s="38">
        <v>-7.6</v>
      </c>
      <c r="C4623" s="13" t="s">
        <v>987</v>
      </c>
      <c r="D4623" s="36">
        <v>3490.86</v>
      </c>
      <c r="E4623" s="43" t="s">
        <v>3596</v>
      </c>
    </row>
    <row r="4624" spans="1:5" x14ac:dyDescent="0.35">
      <c r="A4624" s="40">
        <v>43896</v>
      </c>
      <c r="B4624" s="38">
        <v>57.51</v>
      </c>
      <c r="C4624" s="13" t="s">
        <v>1238</v>
      </c>
      <c r="D4624" s="36">
        <v>3713.51</v>
      </c>
      <c r="E4624" s="43" t="s">
        <v>3596</v>
      </c>
    </row>
    <row r="4625" spans="1:5" x14ac:dyDescent="0.35">
      <c r="A4625" s="40">
        <v>43896</v>
      </c>
      <c r="B4625" s="38">
        <v>57.5</v>
      </c>
      <c r="C4625" s="13" t="s">
        <v>1242</v>
      </c>
      <c r="D4625" s="36">
        <v>3771.01</v>
      </c>
      <c r="E4625" s="43" t="s">
        <v>3596</v>
      </c>
    </row>
    <row r="4626" spans="1:5" x14ac:dyDescent="0.35">
      <c r="A4626" s="40">
        <v>43896</v>
      </c>
      <c r="B4626" s="38">
        <v>-172.55</v>
      </c>
      <c r="C4626" s="13" t="s">
        <v>988</v>
      </c>
      <c r="D4626" s="36">
        <v>3598.46</v>
      </c>
      <c r="E4626" s="43" t="s">
        <v>3596</v>
      </c>
    </row>
    <row r="4627" spans="1:5" x14ac:dyDescent="0.35">
      <c r="A4627" s="40">
        <v>43896</v>
      </c>
      <c r="B4627" s="38">
        <v>-14</v>
      </c>
      <c r="C4627" s="13" t="s">
        <v>989</v>
      </c>
      <c r="D4627" s="36">
        <v>3656</v>
      </c>
      <c r="E4627" s="43" t="s">
        <v>3596</v>
      </c>
    </row>
    <row r="4628" spans="1:5" x14ac:dyDescent="0.35">
      <c r="A4628" s="40">
        <v>43895</v>
      </c>
      <c r="B4628" s="38">
        <v>2053.4899999999998</v>
      </c>
      <c r="C4628" s="13" t="s">
        <v>991</v>
      </c>
      <c r="D4628" s="36">
        <v>5106</v>
      </c>
      <c r="E4628" s="43" t="s">
        <v>3596</v>
      </c>
    </row>
    <row r="4629" spans="1:5" x14ac:dyDescent="0.35">
      <c r="A4629" s="40">
        <v>43895</v>
      </c>
      <c r="B4629" s="38">
        <v>-500</v>
      </c>
      <c r="C4629" s="13" t="s">
        <v>945</v>
      </c>
      <c r="D4629" s="36">
        <v>4581</v>
      </c>
      <c r="E4629" s="43" t="s">
        <v>3596</v>
      </c>
    </row>
    <row r="4630" spans="1:5" x14ac:dyDescent="0.35">
      <c r="A4630" s="40">
        <v>43895</v>
      </c>
      <c r="B4630" s="38">
        <v>-911</v>
      </c>
      <c r="C4630" s="13" t="s">
        <v>1743</v>
      </c>
      <c r="D4630" s="36">
        <v>3670</v>
      </c>
      <c r="E4630" s="43" t="s">
        <v>3596</v>
      </c>
    </row>
    <row r="4631" spans="1:5" x14ac:dyDescent="0.35">
      <c r="A4631" s="40">
        <v>43895</v>
      </c>
      <c r="B4631" s="38">
        <v>-25</v>
      </c>
      <c r="C4631" s="13" t="s">
        <v>990</v>
      </c>
      <c r="D4631" s="36">
        <v>5081</v>
      </c>
      <c r="E4631" s="43" t="s">
        <v>3596</v>
      </c>
    </row>
    <row r="4632" spans="1:5" x14ac:dyDescent="0.35">
      <c r="A4632" s="40">
        <v>43894</v>
      </c>
      <c r="B4632" s="38">
        <v>-4.24</v>
      </c>
      <c r="C4632" s="13" t="s">
        <v>4</v>
      </c>
      <c r="D4632" s="36">
        <v>3057.52</v>
      </c>
      <c r="E4632" s="43" t="s">
        <v>3596</v>
      </c>
    </row>
    <row r="4633" spans="1:5" x14ac:dyDescent="0.35">
      <c r="A4633" s="40">
        <v>43894</v>
      </c>
      <c r="B4633" s="38">
        <v>-51.76</v>
      </c>
      <c r="C4633" s="13" t="s">
        <v>992</v>
      </c>
      <c r="D4633" s="36">
        <v>3061.76</v>
      </c>
      <c r="E4633" s="43" t="s">
        <v>3596</v>
      </c>
    </row>
    <row r="4634" spans="1:5" x14ac:dyDescent="0.35">
      <c r="A4634" s="40">
        <v>43894</v>
      </c>
      <c r="B4634" s="38">
        <v>-18.68</v>
      </c>
      <c r="C4634" s="13" t="s">
        <v>994</v>
      </c>
      <c r="D4634" s="36">
        <v>3158.41</v>
      </c>
      <c r="E4634" s="43" t="s">
        <v>3596</v>
      </c>
    </row>
    <row r="4635" spans="1:5" x14ac:dyDescent="0.35">
      <c r="A4635" s="40">
        <v>43894</v>
      </c>
      <c r="B4635" s="38">
        <v>-44.89</v>
      </c>
      <c r="C4635" s="13" t="s">
        <v>993</v>
      </c>
      <c r="D4635" s="36">
        <v>3113.52</v>
      </c>
      <c r="E4635" s="43" t="s">
        <v>3596</v>
      </c>
    </row>
    <row r="4636" spans="1:5" x14ac:dyDescent="0.35">
      <c r="A4636" s="40">
        <v>43894</v>
      </c>
      <c r="B4636" s="38">
        <v>-11.17</v>
      </c>
      <c r="C4636" s="13" t="s">
        <v>995</v>
      </c>
      <c r="D4636" s="36">
        <v>3177.09</v>
      </c>
      <c r="E4636" s="43" t="s">
        <v>3596</v>
      </c>
    </row>
    <row r="4637" spans="1:5" x14ac:dyDescent="0.35">
      <c r="A4637" s="40">
        <v>43894</v>
      </c>
      <c r="B4637" s="38">
        <v>-5.01</v>
      </c>
      <c r="C4637" s="13" t="s">
        <v>1</v>
      </c>
      <c r="D4637" s="36">
        <v>3052.51</v>
      </c>
      <c r="E4637" s="43" t="s">
        <v>3596</v>
      </c>
    </row>
    <row r="4638" spans="1:5" x14ac:dyDescent="0.35">
      <c r="A4638" s="40">
        <v>43893</v>
      </c>
      <c r="B4638" s="38">
        <v>-1.72</v>
      </c>
      <c r="C4638" s="13" t="s">
        <v>4</v>
      </c>
      <c r="D4638" s="36">
        <v>3225.31</v>
      </c>
      <c r="E4638" s="43" t="s">
        <v>3596</v>
      </c>
    </row>
    <row r="4639" spans="1:5" x14ac:dyDescent="0.35">
      <c r="A4639" s="40">
        <v>43893</v>
      </c>
      <c r="B4639" s="38">
        <v>-21.65</v>
      </c>
      <c r="C4639" s="13" t="s">
        <v>779</v>
      </c>
      <c r="D4639" s="36">
        <v>3188.26</v>
      </c>
      <c r="E4639" s="43" t="s">
        <v>3596</v>
      </c>
    </row>
    <row r="4640" spans="1:5" x14ac:dyDescent="0.35">
      <c r="A4640" s="40">
        <v>43893</v>
      </c>
      <c r="B4640" s="38">
        <v>-15.4</v>
      </c>
      <c r="C4640" s="13" t="s">
        <v>11</v>
      </c>
      <c r="D4640" s="36">
        <v>3209.91</v>
      </c>
      <c r="E4640" s="43" t="s">
        <v>3596</v>
      </c>
    </row>
    <row r="4641" spans="1:5" x14ac:dyDescent="0.35">
      <c r="A4641" s="40">
        <v>43893</v>
      </c>
      <c r="B4641" s="38">
        <v>-29.99</v>
      </c>
      <c r="C4641" s="13" t="s">
        <v>996</v>
      </c>
      <c r="D4641" s="36">
        <v>3227.03</v>
      </c>
      <c r="E4641" s="43" t="s">
        <v>3596</v>
      </c>
    </row>
    <row r="4642" spans="1:5" x14ac:dyDescent="0.35">
      <c r="A4642" s="40">
        <v>43892</v>
      </c>
      <c r="B4642" s="38">
        <v>-10.62</v>
      </c>
      <c r="C4642" s="13" t="s">
        <v>13</v>
      </c>
      <c r="D4642" s="36">
        <v>3429.32</v>
      </c>
      <c r="E4642" s="43" t="s">
        <v>3596</v>
      </c>
    </row>
    <row r="4643" spans="1:5" x14ac:dyDescent="0.35">
      <c r="A4643" s="40">
        <v>43892</v>
      </c>
      <c r="B4643" s="38">
        <v>-6.31</v>
      </c>
      <c r="C4643" s="13" t="s">
        <v>4</v>
      </c>
      <c r="D4643" s="36">
        <v>3447.94</v>
      </c>
      <c r="E4643" s="43" t="s">
        <v>3596</v>
      </c>
    </row>
    <row r="4644" spans="1:5" x14ac:dyDescent="0.35">
      <c r="A4644" s="40">
        <v>43892</v>
      </c>
      <c r="B4644" s="38">
        <v>-8</v>
      </c>
      <c r="C4644" s="13" t="s">
        <v>845</v>
      </c>
      <c r="D4644" s="36">
        <v>3439.94</v>
      </c>
      <c r="E4644" s="43" t="s">
        <v>3596</v>
      </c>
    </row>
    <row r="4645" spans="1:5" x14ac:dyDescent="0.35">
      <c r="A4645" s="40">
        <v>43892</v>
      </c>
      <c r="B4645" s="38">
        <v>-172.3</v>
      </c>
      <c r="C4645" s="13" t="s">
        <v>997</v>
      </c>
      <c r="D4645" s="36">
        <v>3257.02</v>
      </c>
      <c r="E4645" s="43" t="s">
        <v>3596</v>
      </c>
    </row>
    <row r="4646" spans="1:5" x14ac:dyDescent="0.35">
      <c r="A4646" s="40">
        <v>43891</v>
      </c>
      <c r="B4646" s="38">
        <v>-40</v>
      </c>
      <c r="C4646" s="13" t="s">
        <v>1701</v>
      </c>
      <c r="D4646" s="36">
        <v>3454.25</v>
      </c>
      <c r="E4646" s="43" t="s">
        <v>3596</v>
      </c>
    </row>
    <row r="4647" spans="1:5" x14ac:dyDescent="0.35">
      <c r="A4647" s="40">
        <v>43891</v>
      </c>
      <c r="B4647" s="38">
        <v>-22</v>
      </c>
      <c r="C4647" s="13" t="s">
        <v>998</v>
      </c>
      <c r="D4647" s="36">
        <v>3494.25</v>
      </c>
      <c r="E4647" s="43" t="s">
        <v>3596</v>
      </c>
    </row>
    <row r="4648" spans="1:5" x14ac:dyDescent="0.35">
      <c r="A4648" s="40">
        <v>43891</v>
      </c>
      <c r="B4648" s="38">
        <v>-20</v>
      </c>
      <c r="C4648" s="13" t="s">
        <v>3385</v>
      </c>
      <c r="D4648" s="36">
        <v>3516.25</v>
      </c>
      <c r="E4648" s="43" t="s">
        <v>3596</v>
      </c>
    </row>
    <row r="4649" spans="1:5" x14ac:dyDescent="0.35">
      <c r="A4649" s="40">
        <v>43890</v>
      </c>
      <c r="B4649" s="38">
        <v>-40</v>
      </c>
      <c r="C4649" s="13" t="s">
        <v>1001</v>
      </c>
      <c r="D4649" s="36">
        <v>3649.95</v>
      </c>
      <c r="E4649" s="43" t="s">
        <v>3596</v>
      </c>
    </row>
    <row r="4650" spans="1:5" x14ac:dyDescent="0.35">
      <c r="A4650" s="40">
        <v>43890</v>
      </c>
      <c r="B4650" s="38">
        <v>-4.5599999999999996</v>
      </c>
      <c r="C4650" s="13" t="s">
        <v>999</v>
      </c>
      <c r="D4650" s="36">
        <v>3536.25</v>
      </c>
      <c r="E4650" s="43" t="s">
        <v>3596</v>
      </c>
    </row>
    <row r="4651" spans="1:5" x14ac:dyDescent="0.35">
      <c r="A4651" s="40">
        <v>43890</v>
      </c>
      <c r="B4651" s="38">
        <v>-9.14</v>
      </c>
      <c r="C4651" s="13" t="s">
        <v>1000</v>
      </c>
      <c r="D4651" s="36">
        <v>3640.81</v>
      </c>
      <c r="E4651" s="43" t="s">
        <v>3596</v>
      </c>
    </row>
    <row r="4652" spans="1:5" x14ac:dyDescent="0.35">
      <c r="A4652" s="40">
        <v>43890</v>
      </c>
      <c r="B4652" s="38">
        <v>-100</v>
      </c>
      <c r="C4652" s="13" t="s">
        <v>946</v>
      </c>
      <c r="D4652" s="36">
        <v>3540.81</v>
      </c>
      <c r="E4652" s="43" t="s">
        <v>3596</v>
      </c>
    </row>
    <row r="4653" spans="1:5" x14ac:dyDescent="0.35">
      <c r="A4653" s="40">
        <v>43889</v>
      </c>
      <c r="B4653" s="38">
        <v>-5.96</v>
      </c>
      <c r="C4653" s="13" t="s">
        <v>4</v>
      </c>
      <c r="D4653" s="36">
        <v>3705.74</v>
      </c>
      <c r="E4653" s="43" t="s">
        <v>3596</v>
      </c>
    </row>
    <row r="4654" spans="1:5" x14ac:dyDescent="0.35">
      <c r="A4654" s="40">
        <v>43889</v>
      </c>
      <c r="B4654" s="38">
        <v>-23.49</v>
      </c>
      <c r="C4654" s="13" t="s">
        <v>1002</v>
      </c>
      <c r="D4654" s="36">
        <v>3821.7</v>
      </c>
      <c r="E4654" s="43" t="s">
        <v>3596</v>
      </c>
    </row>
    <row r="4655" spans="1:5" x14ac:dyDescent="0.35">
      <c r="A4655" s="40">
        <v>43889</v>
      </c>
      <c r="B4655" s="38">
        <v>-110</v>
      </c>
      <c r="C4655" s="13" t="s">
        <v>1744</v>
      </c>
      <c r="D4655" s="36">
        <v>3711.7</v>
      </c>
      <c r="E4655" s="43" t="s">
        <v>3596</v>
      </c>
    </row>
    <row r="4656" spans="1:5" x14ac:dyDescent="0.35">
      <c r="A4656" s="40">
        <v>43889</v>
      </c>
      <c r="B4656" s="38">
        <v>-7.79</v>
      </c>
      <c r="C4656" s="13" t="s">
        <v>1</v>
      </c>
      <c r="D4656" s="36">
        <v>3689.95</v>
      </c>
      <c r="E4656" s="43" t="s">
        <v>3596</v>
      </c>
    </row>
    <row r="4657" spans="1:5" x14ac:dyDescent="0.35">
      <c r="A4657" s="40">
        <v>43889</v>
      </c>
      <c r="B4657" s="38">
        <v>-8</v>
      </c>
      <c r="C4657" s="13" t="s">
        <v>881</v>
      </c>
      <c r="D4657" s="36">
        <v>3697.74</v>
      </c>
      <c r="E4657" s="43" t="s">
        <v>3596</v>
      </c>
    </row>
    <row r="4658" spans="1:5" x14ac:dyDescent="0.35">
      <c r="A4658" s="40">
        <v>43888</v>
      </c>
      <c r="B4658" s="38">
        <v>-11.17</v>
      </c>
      <c r="C4658" s="13" t="s">
        <v>1003</v>
      </c>
      <c r="D4658" s="36">
        <v>4145.1899999999996</v>
      </c>
      <c r="E4658" s="43" t="s">
        <v>3596</v>
      </c>
    </row>
    <row r="4659" spans="1:5" x14ac:dyDescent="0.35">
      <c r="A4659" s="40">
        <v>43888</v>
      </c>
      <c r="B4659" s="38">
        <v>-9.99</v>
      </c>
      <c r="C4659" s="13" t="s">
        <v>1005</v>
      </c>
      <c r="D4659" s="36">
        <v>4190.07</v>
      </c>
      <c r="E4659" s="43" t="s">
        <v>3596</v>
      </c>
    </row>
    <row r="4660" spans="1:5" x14ac:dyDescent="0.35">
      <c r="A4660" s="40">
        <v>43888</v>
      </c>
      <c r="B4660" s="38">
        <v>300</v>
      </c>
      <c r="C4660" s="13" t="s">
        <v>1665</v>
      </c>
      <c r="D4660" s="36">
        <v>4145.1899999999996</v>
      </c>
      <c r="E4660" s="43" t="s">
        <v>3596</v>
      </c>
    </row>
    <row r="4661" spans="1:5" x14ac:dyDescent="0.35">
      <c r="A4661" s="40">
        <v>43888</v>
      </c>
      <c r="B4661" s="38">
        <v>-300</v>
      </c>
      <c r="C4661" s="13" t="s">
        <v>947</v>
      </c>
      <c r="D4661" s="36">
        <v>3845.19</v>
      </c>
      <c r="E4661" s="43" t="s">
        <v>3596</v>
      </c>
    </row>
    <row r="4662" spans="1:5" x14ac:dyDescent="0.35">
      <c r="A4662" s="40">
        <v>43888</v>
      </c>
      <c r="B4662" s="38">
        <v>-33.71</v>
      </c>
      <c r="C4662" s="13" t="s">
        <v>1004</v>
      </c>
      <c r="D4662" s="36">
        <v>4156.3599999999997</v>
      </c>
      <c r="E4662" s="43" t="s">
        <v>3596</v>
      </c>
    </row>
    <row r="4663" spans="1:5" x14ac:dyDescent="0.35">
      <c r="A4663" s="40">
        <v>43888</v>
      </c>
      <c r="B4663" s="38">
        <v>-300</v>
      </c>
      <c r="C4663" s="13" t="s">
        <v>1217</v>
      </c>
      <c r="D4663" s="36">
        <v>3845.19</v>
      </c>
      <c r="E4663" s="43" t="s">
        <v>3596</v>
      </c>
    </row>
    <row r="4664" spans="1:5" x14ac:dyDescent="0.35">
      <c r="A4664" s="40">
        <v>43887</v>
      </c>
      <c r="B4664" s="38">
        <v>-75.989999999999995</v>
      </c>
      <c r="C4664" s="13" t="s">
        <v>1007</v>
      </c>
      <c r="D4664" s="36">
        <v>4261.3100000000004</v>
      </c>
      <c r="E4664" s="43" t="s">
        <v>3596</v>
      </c>
    </row>
    <row r="4665" spans="1:5" x14ac:dyDescent="0.35">
      <c r="A4665" s="40">
        <v>43887</v>
      </c>
      <c r="B4665" s="38">
        <v>-17.5</v>
      </c>
      <c r="C4665" s="13" t="s">
        <v>1008</v>
      </c>
      <c r="D4665" s="36">
        <v>4337.3</v>
      </c>
      <c r="E4665" s="43" t="s">
        <v>3596</v>
      </c>
    </row>
    <row r="4666" spans="1:5" x14ac:dyDescent="0.35">
      <c r="A4666" s="40">
        <v>43887</v>
      </c>
      <c r="B4666" s="38">
        <v>-17.13</v>
      </c>
      <c r="C4666" s="13" t="s">
        <v>773</v>
      </c>
      <c r="D4666" s="36">
        <v>4200.0600000000004</v>
      </c>
      <c r="E4666" s="43" t="s">
        <v>3596</v>
      </c>
    </row>
    <row r="4667" spans="1:5" x14ac:dyDescent="0.35">
      <c r="A4667" s="40">
        <v>43887</v>
      </c>
      <c r="B4667" s="38">
        <v>-9.9</v>
      </c>
      <c r="C4667" s="13" t="s">
        <v>11</v>
      </c>
      <c r="D4667" s="36">
        <v>4217.1899999999996</v>
      </c>
      <c r="E4667" s="43" t="s">
        <v>3596</v>
      </c>
    </row>
    <row r="4668" spans="1:5" x14ac:dyDescent="0.35">
      <c r="A4668" s="40">
        <v>43887</v>
      </c>
      <c r="B4668" s="38">
        <v>-34.22</v>
      </c>
      <c r="C4668" s="13" t="s">
        <v>1006</v>
      </c>
      <c r="D4668" s="36">
        <v>4227.09</v>
      </c>
      <c r="E4668" s="43" t="s">
        <v>3596</v>
      </c>
    </row>
    <row r="4669" spans="1:5" x14ac:dyDescent="0.35">
      <c r="A4669" s="40">
        <v>43886</v>
      </c>
      <c r="B4669" s="38">
        <v>-40</v>
      </c>
      <c r="C4669" s="13" t="s">
        <v>1009</v>
      </c>
      <c r="D4669" s="36">
        <v>4354.8</v>
      </c>
      <c r="E4669" s="43" t="s">
        <v>3596</v>
      </c>
    </row>
    <row r="4670" spans="1:5" x14ac:dyDescent="0.35">
      <c r="A4670" s="40">
        <v>43885</v>
      </c>
      <c r="B4670" s="39">
        <v>-2.5</v>
      </c>
      <c r="C4670" s="14" t="s">
        <v>4</v>
      </c>
      <c r="D4670" s="37">
        <v>4435.29</v>
      </c>
      <c r="E4670" s="44" t="s">
        <v>3596</v>
      </c>
    </row>
    <row r="4671" spans="1:5" x14ac:dyDescent="0.35">
      <c r="A4671" s="40">
        <v>43885</v>
      </c>
      <c r="B4671" s="38">
        <v>-1.75</v>
      </c>
      <c r="C4671" s="13" t="s">
        <v>4</v>
      </c>
      <c r="D4671" s="36">
        <v>4437.79</v>
      </c>
      <c r="E4671" s="43" t="s">
        <v>3596</v>
      </c>
    </row>
    <row r="4672" spans="1:5" x14ac:dyDescent="0.35">
      <c r="A4672" s="40">
        <v>43885</v>
      </c>
      <c r="B4672" s="38">
        <v>-20.49</v>
      </c>
      <c r="C4672" s="13" t="s">
        <v>1</v>
      </c>
      <c r="D4672" s="36">
        <v>4394.8</v>
      </c>
      <c r="E4672" s="43" t="s">
        <v>3596</v>
      </c>
    </row>
    <row r="4673" spans="1:5" x14ac:dyDescent="0.35">
      <c r="A4673" s="40">
        <v>43885</v>
      </c>
      <c r="B4673" s="38">
        <v>-20</v>
      </c>
      <c r="C4673" s="13" t="s">
        <v>1010</v>
      </c>
      <c r="D4673" s="36">
        <v>4415.29</v>
      </c>
      <c r="E4673" s="43" t="s">
        <v>3596</v>
      </c>
    </row>
    <row r="4674" spans="1:5" x14ac:dyDescent="0.35">
      <c r="A4674" s="40">
        <v>43884</v>
      </c>
      <c r="B4674" s="38">
        <v>55</v>
      </c>
      <c r="C4674" s="13" t="s">
        <v>1240</v>
      </c>
      <c r="D4674" s="36">
        <v>4439.54</v>
      </c>
      <c r="E4674" s="43" t="s">
        <v>3596</v>
      </c>
    </row>
    <row r="4675" spans="1:5" x14ac:dyDescent="0.35">
      <c r="A4675" s="40">
        <v>43883</v>
      </c>
      <c r="B4675" s="38">
        <v>-6.09</v>
      </c>
      <c r="C4675" s="13" t="s">
        <v>1013</v>
      </c>
      <c r="D4675" s="36">
        <v>4692.75</v>
      </c>
      <c r="E4675" s="43" t="s">
        <v>3596</v>
      </c>
    </row>
    <row r="4676" spans="1:5" x14ac:dyDescent="0.35">
      <c r="A4676" s="40">
        <v>43883</v>
      </c>
      <c r="B4676" s="38">
        <v>-6.65</v>
      </c>
      <c r="C4676" s="13" t="s">
        <v>1</v>
      </c>
      <c r="D4676" s="36">
        <v>4384.54</v>
      </c>
      <c r="E4676" s="43" t="s">
        <v>3596</v>
      </c>
    </row>
    <row r="4677" spans="1:5" x14ac:dyDescent="0.35">
      <c r="A4677" s="40">
        <v>43883</v>
      </c>
      <c r="B4677" s="38">
        <v>-19.489999999999998</v>
      </c>
      <c r="C4677" s="13" t="s">
        <v>837</v>
      </c>
      <c r="D4677" s="36">
        <v>4434.2700000000004</v>
      </c>
      <c r="E4677" s="43" t="s">
        <v>3596</v>
      </c>
    </row>
    <row r="4678" spans="1:5" x14ac:dyDescent="0.35">
      <c r="A4678" s="40">
        <v>43883</v>
      </c>
      <c r="B4678" s="38">
        <v>-100</v>
      </c>
      <c r="C4678" s="13" t="s">
        <v>946</v>
      </c>
      <c r="D4678" s="36">
        <v>4536.76</v>
      </c>
      <c r="E4678" s="43" t="s">
        <v>3596</v>
      </c>
    </row>
    <row r="4679" spans="1:5" x14ac:dyDescent="0.35">
      <c r="A4679" s="40">
        <v>43883</v>
      </c>
      <c r="B4679" s="38">
        <v>-43.08</v>
      </c>
      <c r="C4679" s="13" t="s">
        <v>1011</v>
      </c>
      <c r="D4679" s="36">
        <v>4391.1899999999996</v>
      </c>
      <c r="E4679" s="43" t="s">
        <v>3596</v>
      </c>
    </row>
    <row r="4680" spans="1:5" x14ac:dyDescent="0.35">
      <c r="A4680" s="40">
        <v>43883</v>
      </c>
      <c r="B4680" s="38">
        <v>-55.99</v>
      </c>
      <c r="C4680" s="13" t="s">
        <v>1012</v>
      </c>
      <c r="D4680" s="36">
        <v>4636.76</v>
      </c>
      <c r="E4680" s="43" t="s">
        <v>3596</v>
      </c>
    </row>
    <row r="4681" spans="1:5" x14ac:dyDescent="0.35">
      <c r="A4681" s="40">
        <v>43883</v>
      </c>
      <c r="B4681" s="38">
        <v>-83</v>
      </c>
      <c r="C4681" s="13" t="s">
        <v>0</v>
      </c>
      <c r="D4681" s="36">
        <v>4453.76</v>
      </c>
      <c r="E4681" s="43" t="s">
        <v>3596</v>
      </c>
    </row>
    <row r="4682" spans="1:5" x14ac:dyDescent="0.35">
      <c r="A4682" s="40">
        <v>43882</v>
      </c>
      <c r="B4682" s="38">
        <v>-4</v>
      </c>
      <c r="C4682" s="13" t="s">
        <v>4</v>
      </c>
      <c r="D4682" s="36">
        <v>4667.0200000000004</v>
      </c>
      <c r="E4682" s="43" t="s">
        <v>3596</v>
      </c>
    </row>
    <row r="4683" spans="1:5" x14ac:dyDescent="0.35">
      <c r="A4683" s="40">
        <v>43882</v>
      </c>
      <c r="B4683" s="38">
        <v>50</v>
      </c>
      <c r="C4683" s="13" t="s">
        <v>1241</v>
      </c>
      <c r="D4683" s="36">
        <v>4717.0200000000004</v>
      </c>
      <c r="E4683" s="43" t="s">
        <v>3596</v>
      </c>
    </row>
    <row r="4684" spans="1:5" x14ac:dyDescent="0.35">
      <c r="A4684" s="40">
        <v>43882</v>
      </c>
      <c r="B4684" s="38">
        <v>1.35</v>
      </c>
      <c r="C4684" s="13" t="s">
        <v>1014</v>
      </c>
      <c r="D4684" s="36">
        <v>4691.3</v>
      </c>
      <c r="E4684" s="43" t="s">
        <v>3596</v>
      </c>
    </row>
    <row r="4685" spans="1:5" x14ac:dyDescent="0.35">
      <c r="A4685" s="40">
        <v>43882</v>
      </c>
      <c r="B4685" s="38">
        <v>7.54</v>
      </c>
      <c r="C4685" s="13" t="s">
        <v>247</v>
      </c>
      <c r="D4685" s="36">
        <v>4698.84</v>
      </c>
      <c r="E4685" s="43" t="s">
        <v>3596</v>
      </c>
    </row>
    <row r="4686" spans="1:5" x14ac:dyDescent="0.35">
      <c r="A4686" s="40">
        <v>43882</v>
      </c>
      <c r="B4686" s="38">
        <v>-18.18</v>
      </c>
      <c r="C4686" s="13" t="s">
        <v>125</v>
      </c>
      <c r="D4686" s="36">
        <v>4689.95</v>
      </c>
      <c r="E4686" s="43" t="s">
        <v>3596</v>
      </c>
    </row>
    <row r="4687" spans="1:5" x14ac:dyDescent="0.35">
      <c r="A4687" s="40">
        <v>43882</v>
      </c>
      <c r="B4687" s="38">
        <v>-8.89</v>
      </c>
      <c r="C4687" s="13" t="s">
        <v>125</v>
      </c>
      <c r="D4687" s="36">
        <v>4708.13</v>
      </c>
      <c r="E4687" s="43" t="s">
        <v>3596</v>
      </c>
    </row>
    <row r="4688" spans="1:5" x14ac:dyDescent="0.35">
      <c r="A4688" s="40">
        <v>43881</v>
      </c>
      <c r="B4688" s="38">
        <v>2053.4899999999998</v>
      </c>
      <c r="C4688" s="13" t="s">
        <v>1017</v>
      </c>
      <c r="D4688" s="36">
        <v>5210.04</v>
      </c>
      <c r="E4688" s="43" t="s">
        <v>3596</v>
      </c>
    </row>
    <row r="4689" spans="1:5" x14ac:dyDescent="0.35">
      <c r="A4689" s="40">
        <v>43881</v>
      </c>
      <c r="B4689" s="38">
        <v>-500</v>
      </c>
      <c r="C4689" s="13" t="s">
        <v>945</v>
      </c>
      <c r="D4689" s="36">
        <v>4676.0200000000004</v>
      </c>
      <c r="E4689" s="43" t="s">
        <v>3596</v>
      </c>
    </row>
    <row r="4690" spans="1:5" x14ac:dyDescent="0.35">
      <c r="A4690" s="40">
        <v>43881</v>
      </c>
      <c r="B4690" s="38">
        <v>-6.09</v>
      </c>
      <c r="C4690" s="13" t="s">
        <v>1015</v>
      </c>
      <c r="D4690" s="36">
        <v>5176.0200000000004</v>
      </c>
      <c r="E4690" s="43" t="s">
        <v>3596</v>
      </c>
    </row>
    <row r="4691" spans="1:5" x14ac:dyDescent="0.35">
      <c r="A4691" s="40">
        <v>43881</v>
      </c>
      <c r="B4691" s="38">
        <v>-27.93</v>
      </c>
      <c r="C4691" s="13" t="s">
        <v>1016</v>
      </c>
      <c r="D4691" s="36">
        <v>5182.1099999999997</v>
      </c>
      <c r="E4691" s="43" t="s">
        <v>3596</v>
      </c>
    </row>
    <row r="4692" spans="1:5" x14ac:dyDescent="0.35">
      <c r="A4692" s="40">
        <v>43881</v>
      </c>
      <c r="B4692" s="38">
        <v>-5</v>
      </c>
      <c r="C4692" s="13" t="s">
        <v>1</v>
      </c>
      <c r="D4692" s="36">
        <v>4671.0200000000004</v>
      </c>
      <c r="E4692" s="43" t="s">
        <v>3596</v>
      </c>
    </row>
    <row r="4693" spans="1:5" x14ac:dyDescent="0.35">
      <c r="A4693" s="40">
        <v>43880</v>
      </c>
      <c r="B4693" s="38">
        <v>-0.93</v>
      </c>
      <c r="C4693" s="13" t="s">
        <v>4</v>
      </c>
      <c r="D4693" s="36">
        <v>3171.55</v>
      </c>
      <c r="E4693" s="43" t="s">
        <v>3596</v>
      </c>
    </row>
    <row r="4694" spans="1:5" x14ac:dyDescent="0.35">
      <c r="A4694" s="40">
        <v>43880</v>
      </c>
      <c r="B4694" s="38">
        <v>-25.15</v>
      </c>
      <c r="C4694" s="13" t="s">
        <v>1021</v>
      </c>
      <c r="D4694" s="36">
        <v>3220.55</v>
      </c>
      <c r="E4694" s="43" t="s">
        <v>3596</v>
      </c>
    </row>
    <row r="4695" spans="1:5" x14ac:dyDescent="0.35">
      <c r="A4695" s="40">
        <v>43880</v>
      </c>
      <c r="B4695" s="38">
        <v>-20.99</v>
      </c>
      <c r="C4695" s="13" t="s">
        <v>1020</v>
      </c>
      <c r="D4695" s="36">
        <v>3178.57</v>
      </c>
      <c r="E4695" s="43" t="s">
        <v>3596</v>
      </c>
    </row>
    <row r="4696" spans="1:5" x14ac:dyDescent="0.35">
      <c r="A4696" s="40">
        <v>43880</v>
      </c>
      <c r="B4696" s="38">
        <v>-20.99</v>
      </c>
      <c r="C4696" s="13" t="s">
        <v>1020</v>
      </c>
      <c r="D4696" s="36">
        <v>3199.56</v>
      </c>
      <c r="E4696" s="43" t="s">
        <v>3596</v>
      </c>
    </row>
    <row r="4697" spans="1:5" x14ac:dyDescent="0.35">
      <c r="A4697" s="40">
        <v>43880</v>
      </c>
      <c r="B4697" s="38">
        <v>-15</v>
      </c>
      <c r="C4697" s="13" t="s">
        <v>1018</v>
      </c>
      <c r="D4697" s="36">
        <v>3156.55</v>
      </c>
      <c r="E4697" s="43" t="s">
        <v>3596</v>
      </c>
    </row>
    <row r="4698" spans="1:5" x14ac:dyDescent="0.35">
      <c r="A4698" s="40">
        <v>43880</v>
      </c>
      <c r="B4698" s="38">
        <v>-6.09</v>
      </c>
      <c r="C4698" s="13" t="s">
        <v>1019</v>
      </c>
      <c r="D4698" s="36">
        <v>3172.48</v>
      </c>
      <c r="E4698" s="43" t="s">
        <v>3596</v>
      </c>
    </row>
    <row r="4699" spans="1:5" x14ac:dyDescent="0.35">
      <c r="A4699" s="40">
        <v>43879</v>
      </c>
      <c r="B4699" s="38">
        <v>-40</v>
      </c>
      <c r="C4699" s="13" t="s">
        <v>1023</v>
      </c>
      <c r="D4699" s="36">
        <v>3537.26</v>
      </c>
      <c r="E4699" s="43" t="s">
        <v>3596</v>
      </c>
    </row>
    <row r="4700" spans="1:5" x14ac:dyDescent="0.35">
      <c r="A4700" s="40">
        <v>43879</v>
      </c>
      <c r="B4700" s="38">
        <v>-11.17</v>
      </c>
      <c r="C4700" s="13" t="s">
        <v>1022</v>
      </c>
      <c r="D4700" s="36">
        <v>3526.09</v>
      </c>
      <c r="E4700" s="43" t="s">
        <v>3596</v>
      </c>
    </row>
    <row r="4701" spans="1:5" x14ac:dyDescent="0.35">
      <c r="A4701" s="40">
        <v>43879</v>
      </c>
      <c r="B4701" s="38">
        <v>-30.39</v>
      </c>
      <c r="C4701" s="13" t="s">
        <v>773</v>
      </c>
      <c r="D4701" s="36">
        <v>3245.7</v>
      </c>
      <c r="E4701" s="43" t="s">
        <v>3596</v>
      </c>
    </row>
    <row r="4702" spans="1:5" x14ac:dyDescent="0.35">
      <c r="A4702" s="40">
        <v>43879</v>
      </c>
      <c r="B4702" s="38">
        <v>-250</v>
      </c>
      <c r="C4702" s="13" t="s">
        <v>1218</v>
      </c>
      <c r="D4702" s="36">
        <v>3276.09</v>
      </c>
      <c r="E4702" s="43" t="s">
        <v>3596</v>
      </c>
    </row>
    <row r="4703" spans="1:5" x14ac:dyDescent="0.35">
      <c r="A4703" s="40">
        <v>43878</v>
      </c>
      <c r="B4703" s="38">
        <v>-250</v>
      </c>
      <c r="C4703" s="13" t="s">
        <v>3650</v>
      </c>
      <c r="D4703" s="36">
        <v>3577.26</v>
      </c>
      <c r="E4703" s="43" t="s">
        <v>3596</v>
      </c>
    </row>
    <row r="4704" spans="1:5" x14ac:dyDescent="0.35">
      <c r="A4704" s="40">
        <v>43878</v>
      </c>
      <c r="B4704" s="38">
        <v>-5.87</v>
      </c>
      <c r="C4704" s="13" t="s">
        <v>4</v>
      </c>
      <c r="D4704" s="36">
        <v>4830.96</v>
      </c>
      <c r="E4704" s="43" t="s">
        <v>3596</v>
      </c>
    </row>
    <row r="4705" spans="1:5" x14ac:dyDescent="0.35">
      <c r="A4705" s="40">
        <v>43878</v>
      </c>
      <c r="B4705" s="38">
        <v>-3.7</v>
      </c>
      <c r="C4705" s="13" t="s">
        <v>845</v>
      </c>
      <c r="D4705" s="36">
        <v>3827.26</v>
      </c>
      <c r="E4705" s="43" t="s">
        <v>3596</v>
      </c>
    </row>
    <row r="4706" spans="1:5" x14ac:dyDescent="0.35">
      <c r="A4706" s="40">
        <v>43878</v>
      </c>
      <c r="B4706" s="38">
        <v>-1000</v>
      </c>
      <c r="C4706" s="13" t="s">
        <v>1222</v>
      </c>
      <c r="D4706" s="36">
        <v>3830.96</v>
      </c>
      <c r="E4706" s="43" t="s">
        <v>3596</v>
      </c>
    </row>
    <row r="4707" spans="1:5" x14ac:dyDescent="0.35">
      <c r="A4707" s="40">
        <v>43877</v>
      </c>
      <c r="B4707" s="38">
        <v>300</v>
      </c>
      <c r="C4707" s="13" t="s">
        <v>3644</v>
      </c>
      <c r="D4707" s="36">
        <v>4836.83</v>
      </c>
      <c r="E4707" s="43" t="s">
        <v>3596</v>
      </c>
    </row>
    <row r="4708" spans="1:5" x14ac:dyDescent="0.35">
      <c r="A4708" s="40">
        <v>43876</v>
      </c>
      <c r="B4708" s="38">
        <v>-250</v>
      </c>
      <c r="C4708" s="13" t="s">
        <v>1702</v>
      </c>
      <c r="D4708" s="36">
        <v>4588.83</v>
      </c>
      <c r="E4708" s="43" t="s">
        <v>3596</v>
      </c>
    </row>
    <row r="4709" spans="1:5" x14ac:dyDescent="0.35">
      <c r="A4709" s="40">
        <v>43876</v>
      </c>
      <c r="B4709" s="38">
        <v>-10.5</v>
      </c>
      <c r="C4709" s="13" t="s">
        <v>1025</v>
      </c>
      <c r="D4709" s="36">
        <v>4970.83</v>
      </c>
      <c r="E4709" s="43" t="s">
        <v>3596</v>
      </c>
    </row>
    <row r="4710" spans="1:5" x14ac:dyDescent="0.35">
      <c r="A4710" s="40">
        <v>43876</v>
      </c>
      <c r="B4710" s="38">
        <v>-26.5</v>
      </c>
      <c r="C4710" s="13" t="s">
        <v>1024</v>
      </c>
      <c r="D4710" s="36">
        <v>4536.83</v>
      </c>
      <c r="E4710" s="43" t="s">
        <v>3596</v>
      </c>
    </row>
    <row r="4711" spans="1:5" x14ac:dyDescent="0.35">
      <c r="A4711" s="40">
        <v>43876</v>
      </c>
      <c r="B4711" s="38">
        <v>-25.5</v>
      </c>
      <c r="C4711" s="13" t="s">
        <v>1024</v>
      </c>
      <c r="D4711" s="36">
        <v>4563.33</v>
      </c>
      <c r="E4711" s="43" t="s">
        <v>3596</v>
      </c>
    </row>
    <row r="4712" spans="1:5" x14ac:dyDescent="0.35">
      <c r="A4712" s="40">
        <v>43876</v>
      </c>
      <c r="B4712" s="38">
        <v>-100</v>
      </c>
      <c r="C4712" s="13" t="s">
        <v>946</v>
      </c>
      <c r="D4712" s="36">
        <v>4870.83</v>
      </c>
      <c r="E4712" s="43" t="s">
        <v>3596</v>
      </c>
    </row>
    <row r="4713" spans="1:5" x14ac:dyDescent="0.35">
      <c r="A4713" s="40">
        <v>43876</v>
      </c>
      <c r="B4713" s="38">
        <v>-32</v>
      </c>
      <c r="C4713" s="13" t="s">
        <v>0</v>
      </c>
      <c r="D4713" s="36">
        <v>4838.83</v>
      </c>
      <c r="E4713" s="43" t="s">
        <v>3596</v>
      </c>
    </row>
    <row r="4714" spans="1:5" x14ac:dyDescent="0.35">
      <c r="A4714" s="40">
        <v>43875</v>
      </c>
      <c r="B4714" s="38">
        <v>-29</v>
      </c>
      <c r="C4714" s="13" t="s">
        <v>1027</v>
      </c>
      <c r="D4714" s="36">
        <v>6018.43</v>
      </c>
      <c r="E4714" s="43" t="s">
        <v>3596</v>
      </c>
    </row>
    <row r="4715" spans="1:5" x14ac:dyDescent="0.35">
      <c r="A4715" s="40">
        <v>43875</v>
      </c>
      <c r="B4715" s="38">
        <v>-1000</v>
      </c>
      <c r="C4715" s="13" t="s">
        <v>1222</v>
      </c>
      <c r="D4715" s="36">
        <v>4981.33</v>
      </c>
      <c r="E4715" s="43" t="s">
        <v>3596</v>
      </c>
    </row>
    <row r="4716" spans="1:5" x14ac:dyDescent="0.35">
      <c r="A4716" s="40">
        <v>43875</v>
      </c>
      <c r="B4716" s="38">
        <v>-37.1</v>
      </c>
      <c r="C4716" s="13" t="s">
        <v>1026</v>
      </c>
      <c r="D4716" s="36">
        <v>5981.33</v>
      </c>
      <c r="E4716" s="43" t="s">
        <v>3596</v>
      </c>
    </row>
    <row r="4717" spans="1:5" x14ac:dyDescent="0.35">
      <c r="A4717" s="40">
        <v>43874</v>
      </c>
      <c r="B4717" s="38">
        <v>-3</v>
      </c>
      <c r="C4717" s="13" t="s">
        <v>1029</v>
      </c>
      <c r="D4717" s="36">
        <v>6058.43</v>
      </c>
      <c r="E4717" s="43" t="s">
        <v>3596</v>
      </c>
    </row>
    <row r="4718" spans="1:5" x14ac:dyDescent="0.35">
      <c r="A4718" s="40">
        <v>43874</v>
      </c>
      <c r="B4718" s="38">
        <v>7.9</v>
      </c>
      <c r="C4718" s="13" t="s">
        <v>1031</v>
      </c>
      <c r="D4718" s="36">
        <v>6084.42</v>
      </c>
      <c r="E4718" s="43" t="s">
        <v>3596</v>
      </c>
    </row>
    <row r="4719" spans="1:5" x14ac:dyDescent="0.35">
      <c r="A4719" s="40">
        <v>43874</v>
      </c>
      <c r="B4719" s="38">
        <v>-22.99</v>
      </c>
      <c r="C4719" s="13" t="s">
        <v>1030</v>
      </c>
      <c r="D4719" s="36">
        <v>6061.43</v>
      </c>
      <c r="E4719" s="43" t="s">
        <v>3596</v>
      </c>
    </row>
    <row r="4720" spans="1:5" x14ac:dyDescent="0.35">
      <c r="A4720" s="40">
        <v>43874</v>
      </c>
      <c r="B4720" s="38">
        <v>-11</v>
      </c>
      <c r="C4720" s="13" t="s">
        <v>1028</v>
      </c>
      <c r="D4720" s="36">
        <v>6047.43</v>
      </c>
      <c r="E4720" s="43" t="s">
        <v>3596</v>
      </c>
    </row>
    <row r="4721" spans="1:5" x14ac:dyDescent="0.35">
      <c r="A4721" s="40">
        <v>43873</v>
      </c>
      <c r="B4721" s="38">
        <v>-1.89</v>
      </c>
      <c r="C4721" s="13" t="s">
        <v>4</v>
      </c>
      <c r="D4721" s="36">
        <v>6143.51</v>
      </c>
      <c r="E4721" s="43" t="s">
        <v>3596</v>
      </c>
    </row>
    <row r="4722" spans="1:5" x14ac:dyDescent="0.35">
      <c r="A4722" s="40">
        <v>43873</v>
      </c>
      <c r="B4722" s="38">
        <v>-29</v>
      </c>
      <c r="C4722" s="13" t="s">
        <v>1029</v>
      </c>
      <c r="D4722" s="36">
        <v>6154.3</v>
      </c>
      <c r="E4722" s="43" t="s">
        <v>3596</v>
      </c>
    </row>
    <row r="4723" spans="1:5" x14ac:dyDescent="0.35">
      <c r="A4723" s="40">
        <v>43873</v>
      </c>
      <c r="B4723" s="38">
        <v>-45.74</v>
      </c>
      <c r="C4723" s="13" t="s">
        <v>1029</v>
      </c>
      <c r="D4723" s="36">
        <v>6183.3</v>
      </c>
      <c r="E4723" s="43" t="s">
        <v>3596</v>
      </c>
    </row>
    <row r="4724" spans="1:5" x14ac:dyDescent="0.35">
      <c r="A4724" s="40">
        <v>43873</v>
      </c>
      <c r="B4724" s="38">
        <v>-40</v>
      </c>
      <c r="C4724" s="13" t="s">
        <v>1033</v>
      </c>
      <c r="D4724" s="36">
        <v>6229.04</v>
      </c>
      <c r="E4724" s="43" t="s">
        <v>3596</v>
      </c>
    </row>
    <row r="4725" spans="1:5" x14ac:dyDescent="0.35">
      <c r="A4725" s="40">
        <v>43873</v>
      </c>
      <c r="B4725" s="38">
        <v>-66.989999999999995</v>
      </c>
      <c r="C4725" s="13" t="s">
        <v>1011</v>
      </c>
      <c r="D4725" s="36">
        <v>6076.52</v>
      </c>
      <c r="E4725" s="43" t="s">
        <v>3596</v>
      </c>
    </row>
    <row r="4726" spans="1:5" x14ac:dyDescent="0.35">
      <c r="A4726" s="40">
        <v>43873</v>
      </c>
      <c r="B4726" s="38">
        <v>-8.9</v>
      </c>
      <c r="C4726" s="13" t="s">
        <v>1032</v>
      </c>
      <c r="D4726" s="36">
        <v>6145.4</v>
      </c>
      <c r="E4726" s="43" t="s">
        <v>3596</v>
      </c>
    </row>
    <row r="4727" spans="1:5" x14ac:dyDescent="0.35">
      <c r="A4727" s="40">
        <v>43872</v>
      </c>
      <c r="B4727" s="38">
        <v>-30.89</v>
      </c>
      <c r="C4727" s="13" t="s">
        <v>1036</v>
      </c>
      <c r="D4727" s="36">
        <v>6512.75</v>
      </c>
      <c r="E4727" s="43" t="s">
        <v>3596</v>
      </c>
    </row>
    <row r="4728" spans="1:5" x14ac:dyDescent="0.35">
      <c r="A4728" s="40">
        <v>43872</v>
      </c>
      <c r="B4728" s="38">
        <v>-21</v>
      </c>
      <c r="C4728" s="13" t="s">
        <v>1036</v>
      </c>
      <c r="D4728" s="36">
        <v>6543.64</v>
      </c>
      <c r="E4728" s="43" t="s">
        <v>3596</v>
      </c>
    </row>
    <row r="4729" spans="1:5" x14ac:dyDescent="0.35">
      <c r="A4729" s="40">
        <v>43872</v>
      </c>
      <c r="B4729" s="38">
        <v>-8.3000000000000007</v>
      </c>
      <c r="C4729" s="13" t="s">
        <v>1034</v>
      </c>
      <c r="D4729" s="36">
        <v>6318.4</v>
      </c>
      <c r="E4729" s="43" t="s">
        <v>3596</v>
      </c>
    </row>
    <row r="4730" spans="1:5" x14ac:dyDescent="0.35">
      <c r="A4730" s="40">
        <v>43872</v>
      </c>
      <c r="B4730" s="38">
        <v>-186.05</v>
      </c>
      <c r="C4730" s="13" t="s">
        <v>1035</v>
      </c>
      <c r="D4730" s="36">
        <v>6326.7</v>
      </c>
      <c r="E4730" s="43" t="s">
        <v>3596</v>
      </c>
    </row>
    <row r="4731" spans="1:5" x14ac:dyDescent="0.35">
      <c r="A4731" s="40">
        <v>43872</v>
      </c>
      <c r="B4731" s="38">
        <v>-29.93</v>
      </c>
      <c r="C4731" s="13" t="s">
        <v>1</v>
      </c>
      <c r="D4731" s="36">
        <v>6288.47</v>
      </c>
      <c r="E4731" s="43" t="s">
        <v>3596</v>
      </c>
    </row>
    <row r="4732" spans="1:5" x14ac:dyDescent="0.35">
      <c r="A4732" s="40">
        <v>43872</v>
      </c>
      <c r="B4732" s="38">
        <v>62</v>
      </c>
      <c r="C4732" s="13" t="s">
        <v>1238</v>
      </c>
      <c r="D4732" s="36">
        <v>6269.04</v>
      </c>
      <c r="E4732" s="43" t="s">
        <v>3596</v>
      </c>
    </row>
    <row r="4733" spans="1:5" x14ac:dyDescent="0.35">
      <c r="A4733" s="40">
        <v>43872</v>
      </c>
      <c r="B4733" s="38">
        <v>-81.430000000000007</v>
      </c>
      <c r="C4733" s="13" t="s">
        <v>37</v>
      </c>
      <c r="D4733" s="36">
        <v>6207.04</v>
      </c>
      <c r="E4733" s="43" t="s">
        <v>3596</v>
      </c>
    </row>
    <row r="4734" spans="1:5" x14ac:dyDescent="0.35">
      <c r="A4734" s="40">
        <v>43871</v>
      </c>
      <c r="B4734" s="38">
        <v>-4.75</v>
      </c>
      <c r="C4734" s="13" t="s">
        <v>4</v>
      </c>
      <c r="D4734" s="36">
        <v>6580.73</v>
      </c>
      <c r="E4734" s="43" t="s">
        <v>3596</v>
      </c>
    </row>
    <row r="4735" spans="1:5" x14ac:dyDescent="0.35">
      <c r="A4735" s="40">
        <v>43871</v>
      </c>
      <c r="B4735" s="38">
        <v>-16.09</v>
      </c>
      <c r="C4735" s="13" t="s">
        <v>1</v>
      </c>
      <c r="D4735" s="36">
        <v>6564.64</v>
      </c>
      <c r="E4735" s="43" t="s">
        <v>3596</v>
      </c>
    </row>
    <row r="4736" spans="1:5" x14ac:dyDescent="0.35">
      <c r="A4736" s="40">
        <v>43869</v>
      </c>
      <c r="B4736" s="38">
        <v>-100</v>
      </c>
      <c r="C4736" s="13" t="s">
        <v>946</v>
      </c>
      <c r="D4736" s="36">
        <v>6585.48</v>
      </c>
      <c r="E4736" s="43" t="s">
        <v>3596</v>
      </c>
    </row>
    <row r="4737" spans="1:5" x14ac:dyDescent="0.35">
      <c r="A4737" s="40">
        <v>43868</v>
      </c>
      <c r="B4737" s="38">
        <v>-20</v>
      </c>
      <c r="C4737" s="13" t="s">
        <v>1703</v>
      </c>
      <c r="D4737" s="36">
        <v>6712.48</v>
      </c>
      <c r="E4737" s="43" t="s">
        <v>3596</v>
      </c>
    </row>
    <row r="4738" spans="1:5" x14ac:dyDescent="0.35">
      <c r="A4738" s="40">
        <v>43868</v>
      </c>
      <c r="B4738" s="38">
        <v>-27</v>
      </c>
      <c r="C4738" s="13" t="s">
        <v>1219</v>
      </c>
      <c r="D4738" s="36">
        <v>6685.48</v>
      </c>
      <c r="E4738" s="43" t="s">
        <v>3596</v>
      </c>
    </row>
    <row r="4739" spans="1:5" x14ac:dyDescent="0.35">
      <c r="A4739" s="40">
        <v>43867</v>
      </c>
      <c r="B4739" s="38">
        <v>-40</v>
      </c>
      <c r="C4739" s="13" t="s">
        <v>1038</v>
      </c>
      <c r="D4739" s="36">
        <v>8239.4699999999993</v>
      </c>
      <c r="E4739" s="43" t="s">
        <v>3596</v>
      </c>
    </row>
    <row r="4740" spans="1:5" x14ac:dyDescent="0.35">
      <c r="A4740" s="40">
        <v>43867</v>
      </c>
      <c r="B4740" s="38">
        <v>2053.4899999999998</v>
      </c>
      <c r="C4740" s="13" t="s">
        <v>1039</v>
      </c>
      <c r="D4740" s="36">
        <v>8779.4699999999993</v>
      </c>
      <c r="E4740" s="43" t="s">
        <v>3596</v>
      </c>
    </row>
    <row r="4741" spans="1:5" x14ac:dyDescent="0.35">
      <c r="A4741" s="40">
        <v>43867</v>
      </c>
      <c r="B4741" s="38">
        <v>-500</v>
      </c>
      <c r="C4741" s="13" t="s">
        <v>945</v>
      </c>
      <c r="D4741" s="36">
        <v>8279.4699999999993</v>
      </c>
      <c r="E4741" s="43" t="s">
        <v>3596</v>
      </c>
    </row>
    <row r="4742" spans="1:5" x14ac:dyDescent="0.35">
      <c r="A4742" s="40">
        <v>43867</v>
      </c>
      <c r="B4742" s="38">
        <v>-1500</v>
      </c>
      <c r="C4742" s="13" t="s">
        <v>1222</v>
      </c>
      <c r="D4742" s="36">
        <v>6732.48</v>
      </c>
      <c r="E4742" s="43" t="s">
        <v>3596</v>
      </c>
    </row>
    <row r="4743" spans="1:5" x14ac:dyDescent="0.35">
      <c r="A4743" s="40">
        <v>43867</v>
      </c>
      <c r="B4743" s="38">
        <v>-6.99</v>
      </c>
      <c r="C4743" s="13" t="s">
        <v>1037</v>
      </c>
      <c r="D4743" s="36">
        <v>8232.48</v>
      </c>
      <c r="E4743" s="43" t="s">
        <v>3596</v>
      </c>
    </row>
    <row r="4744" spans="1:5" x14ac:dyDescent="0.35">
      <c r="A4744" s="40">
        <v>43866</v>
      </c>
      <c r="B4744" s="38">
        <v>-1.22</v>
      </c>
      <c r="C4744" s="13" t="s">
        <v>4</v>
      </c>
      <c r="D4744" s="36">
        <v>6742.14</v>
      </c>
      <c r="E4744" s="43" t="s">
        <v>3596</v>
      </c>
    </row>
    <row r="4745" spans="1:5" x14ac:dyDescent="0.35">
      <c r="A4745" s="40">
        <v>43866</v>
      </c>
      <c r="B4745" s="38">
        <v>-21.49</v>
      </c>
      <c r="C4745" s="13" t="s">
        <v>1042</v>
      </c>
      <c r="D4745" s="36">
        <v>6804.35</v>
      </c>
      <c r="E4745" s="43" t="s">
        <v>3596</v>
      </c>
    </row>
    <row r="4746" spans="1:5" x14ac:dyDescent="0.35">
      <c r="A4746" s="40">
        <v>43866</v>
      </c>
      <c r="B4746" s="38">
        <v>-23.99</v>
      </c>
      <c r="C4746" s="13" t="s">
        <v>1040</v>
      </c>
      <c r="D4746" s="36">
        <v>6743.36</v>
      </c>
      <c r="E4746" s="43" t="s">
        <v>3596</v>
      </c>
    </row>
    <row r="4747" spans="1:5" x14ac:dyDescent="0.35">
      <c r="A4747" s="40">
        <v>43866</v>
      </c>
      <c r="B4747" s="38">
        <v>-37</v>
      </c>
      <c r="C4747" s="13" t="s">
        <v>1041</v>
      </c>
      <c r="D4747" s="36">
        <v>6767.35</v>
      </c>
      <c r="E4747" s="43" t="s">
        <v>3596</v>
      </c>
    </row>
    <row r="4748" spans="1:5" x14ac:dyDescent="0.35">
      <c r="A4748" s="40">
        <v>43866</v>
      </c>
      <c r="B4748" s="38">
        <v>-16.16</v>
      </c>
      <c r="C4748" s="13" t="s">
        <v>1</v>
      </c>
      <c r="D4748" s="36">
        <v>6725.98</v>
      </c>
      <c r="E4748" s="43" t="s">
        <v>3596</v>
      </c>
    </row>
    <row r="4749" spans="1:5" x14ac:dyDescent="0.35">
      <c r="A4749" s="40">
        <v>43865</v>
      </c>
      <c r="B4749" s="38">
        <v>-4.63</v>
      </c>
      <c r="C4749" s="13" t="s">
        <v>4</v>
      </c>
      <c r="D4749" s="36">
        <v>6595.04</v>
      </c>
      <c r="E4749" s="43" t="s">
        <v>3596</v>
      </c>
    </row>
    <row r="4750" spans="1:5" x14ac:dyDescent="0.35">
      <c r="A4750" s="40">
        <v>43865</v>
      </c>
      <c r="B4750" s="38">
        <v>250</v>
      </c>
      <c r="C4750" s="13" t="s">
        <v>1043</v>
      </c>
      <c r="D4750" s="36">
        <v>6828.34</v>
      </c>
      <c r="E4750" s="43" t="s">
        <v>3596</v>
      </c>
    </row>
    <row r="4751" spans="1:5" x14ac:dyDescent="0.35">
      <c r="A4751" s="40">
        <v>43865</v>
      </c>
      <c r="B4751" s="38">
        <v>-8.5</v>
      </c>
      <c r="C4751" s="13" t="s">
        <v>11</v>
      </c>
      <c r="D4751" s="36">
        <v>6578.34</v>
      </c>
      <c r="E4751" s="43" t="s">
        <v>3596</v>
      </c>
    </row>
    <row r="4752" spans="1:5" x14ac:dyDescent="0.35">
      <c r="A4752" s="40">
        <v>43865</v>
      </c>
      <c r="B4752" s="38">
        <v>-8.1999999999999993</v>
      </c>
      <c r="C4752" s="13" t="s">
        <v>1044</v>
      </c>
      <c r="D4752" s="36">
        <v>6586.84</v>
      </c>
      <c r="E4752" s="43" t="s">
        <v>3596</v>
      </c>
    </row>
    <row r="4753" spans="1:5" x14ac:dyDescent="0.35">
      <c r="A4753" s="40">
        <v>43865</v>
      </c>
      <c r="B4753" s="38">
        <v>-2.5</v>
      </c>
      <c r="C4753" s="13" t="s">
        <v>201</v>
      </c>
      <c r="D4753" s="36">
        <v>6825.84</v>
      </c>
      <c r="E4753" s="43" t="s">
        <v>3596</v>
      </c>
    </row>
    <row r="4754" spans="1:5" x14ac:dyDescent="0.35">
      <c r="A4754" s="40">
        <v>43864</v>
      </c>
      <c r="B4754" s="38">
        <v>-20</v>
      </c>
      <c r="C4754" s="13" t="s">
        <v>1703</v>
      </c>
      <c r="D4754" s="36">
        <v>7786.2</v>
      </c>
      <c r="E4754" s="43" t="s">
        <v>3596</v>
      </c>
    </row>
    <row r="4755" spans="1:5" x14ac:dyDescent="0.35">
      <c r="A4755" s="40">
        <v>43864</v>
      </c>
      <c r="B4755" s="38">
        <v>-14.23</v>
      </c>
      <c r="C4755" s="13" t="s">
        <v>1</v>
      </c>
      <c r="D4755" s="36">
        <v>6771.97</v>
      </c>
      <c r="E4755" s="43" t="s">
        <v>3596</v>
      </c>
    </row>
    <row r="4756" spans="1:5" x14ac:dyDescent="0.35">
      <c r="A4756" s="40">
        <v>43864</v>
      </c>
      <c r="B4756" s="38">
        <v>-172.3</v>
      </c>
      <c r="C4756" s="13" t="s">
        <v>1045</v>
      </c>
      <c r="D4756" s="36">
        <v>6599.67</v>
      </c>
      <c r="E4756" s="43" t="s">
        <v>3596</v>
      </c>
    </row>
    <row r="4757" spans="1:5" x14ac:dyDescent="0.35">
      <c r="A4757" s="40">
        <v>43864</v>
      </c>
      <c r="B4757" s="38">
        <v>-1000</v>
      </c>
      <c r="C4757" s="13" t="s">
        <v>1222</v>
      </c>
      <c r="D4757" s="36">
        <v>6786.2</v>
      </c>
      <c r="E4757" s="43" t="s">
        <v>3596</v>
      </c>
    </row>
    <row r="4758" spans="1:5" x14ac:dyDescent="0.35">
      <c r="A4758" s="40">
        <v>43862</v>
      </c>
      <c r="B4758" s="38">
        <v>-12.5</v>
      </c>
      <c r="C4758" s="13" t="s">
        <v>1048</v>
      </c>
      <c r="D4758" s="36">
        <v>7845.69</v>
      </c>
      <c r="E4758" s="43" t="s">
        <v>3596</v>
      </c>
    </row>
    <row r="4759" spans="1:5" x14ac:dyDescent="0.35">
      <c r="A4759" s="40">
        <v>43862</v>
      </c>
      <c r="B4759" s="38">
        <v>-9.5</v>
      </c>
      <c r="C4759" s="13" t="s">
        <v>1047</v>
      </c>
      <c r="D4759" s="36">
        <v>7836.19</v>
      </c>
      <c r="E4759" s="43" t="s">
        <v>3596</v>
      </c>
    </row>
    <row r="4760" spans="1:5" x14ac:dyDescent="0.35">
      <c r="A4760" s="40">
        <v>43862</v>
      </c>
      <c r="B4760" s="38">
        <v>-20</v>
      </c>
      <c r="C4760" s="13" t="s">
        <v>3385</v>
      </c>
      <c r="D4760" s="36">
        <v>7858.19</v>
      </c>
      <c r="E4760" s="43" t="s">
        <v>3596</v>
      </c>
    </row>
    <row r="4761" spans="1:5" x14ac:dyDescent="0.35">
      <c r="A4761" s="40">
        <v>43862</v>
      </c>
      <c r="B4761" s="38">
        <v>-100</v>
      </c>
      <c r="C4761" s="13" t="s">
        <v>946</v>
      </c>
      <c r="D4761" s="36">
        <v>7878.19</v>
      </c>
      <c r="E4761" s="43" t="s">
        <v>3596</v>
      </c>
    </row>
    <row r="4762" spans="1:5" x14ac:dyDescent="0.35">
      <c r="A4762" s="40">
        <v>43862</v>
      </c>
      <c r="B4762" s="38">
        <v>-29.99</v>
      </c>
      <c r="C4762" s="13" t="s">
        <v>1046</v>
      </c>
      <c r="D4762" s="36">
        <v>7806.2</v>
      </c>
      <c r="E4762" s="43" t="s">
        <v>3596</v>
      </c>
    </row>
    <row r="4763" spans="1:5" x14ac:dyDescent="0.35">
      <c r="A4763" s="40">
        <v>43861</v>
      </c>
      <c r="B4763" s="38">
        <v>-40</v>
      </c>
      <c r="C4763" s="13" t="s">
        <v>1050</v>
      </c>
      <c r="D4763" s="36">
        <v>8307.06</v>
      </c>
      <c r="E4763" s="43" t="s">
        <v>3596</v>
      </c>
    </row>
    <row r="4764" spans="1:5" x14ac:dyDescent="0.35">
      <c r="A4764" s="40">
        <v>43861</v>
      </c>
      <c r="B4764" s="38">
        <v>-250</v>
      </c>
      <c r="C4764" s="13" t="s">
        <v>947</v>
      </c>
      <c r="D4764" s="36">
        <v>7978.19</v>
      </c>
      <c r="E4764" s="43" t="s">
        <v>3596</v>
      </c>
    </row>
    <row r="4765" spans="1:5" x14ac:dyDescent="0.35">
      <c r="A4765" s="40">
        <v>43861</v>
      </c>
      <c r="B4765" s="38">
        <v>-49.99</v>
      </c>
      <c r="C4765" s="13" t="s">
        <v>1</v>
      </c>
      <c r="D4765" s="36">
        <v>8228.19</v>
      </c>
      <c r="E4765" s="43" t="s">
        <v>3596</v>
      </c>
    </row>
    <row r="4766" spans="1:5" x14ac:dyDescent="0.35">
      <c r="A4766" s="40">
        <v>43861</v>
      </c>
      <c r="B4766" s="38">
        <v>-28.88</v>
      </c>
      <c r="C4766" s="13" t="s">
        <v>1049</v>
      </c>
      <c r="D4766" s="36">
        <v>8278.18</v>
      </c>
      <c r="E4766" s="43" t="s">
        <v>3596</v>
      </c>
    </row>
    <row r="4767" spans="1:5" x14ac:dyDescent="0.35">
      <c r="A4767" s="40">
        <v>43860</v>
      </c>
      <c r="B4767" s="38">
        <v>-1.36</v>
      </c>
      <c r="C4767" s="13" t="s">
        <v>4</v>
      </c>
      <c r="D4767" s="36">
        <v>8385.41</v>
      </c>
      <c r="E4767" s="43" t="s">
        <v>3596</v>
      </c>
    </row>
    <row r="4768" spans="1:5" x14ac:dyDescent="0.35">
      <c r="A4768" s="40">
        <v>43860</v>
      </c>
      <c r="B4768" s="39">
        <v>-24.49</v>
      </c>
      <c r="C4768" s="14" t="s">
        <v>1051</v>
      </c>
      <c r="D4768" s="37">
        <v>8386.77</v>
      </c>
      <c r="E4768" s="44" t="s">
        <v>3596</v>
      </c>
    </row>
    <row r="4769" spans="1:5" x14ac:dyDescent="0.35">
      <c r="A4769" s="40">
        <v>43860</v>
      </c>
      <c r="B4769" s="38">
        <v>-38.35</v>
      </c>
      <c r="C4769" s="13" t="s">
        <v>1</v>
      </c>
      <c r="D4769" s="36">
        <v>8347.06</v>
      </c>
      <c r="E4769" s="43" t="s">
        <v>3596</v>
      </c>
    </row>
    <row r="4770" spans="1:5" x14ac:dyDescent="0.35">
      <c r="A4770" s="40">
        <v>43859</v>
      </c>
      <c r="B4770" s="38">
        <v>-20</v>
      </c>
      <c r="C4770" s="13" t="s">
        <v>1703</v>
      </c>
      <c r="D4770" s="36">
        <v>8418.01</v>
      </c>
      <c r="E4770" s="43" t="s">
        <v>3596</v>
      </c>
    </row>
    <row r="4771" spans="1:5" x14ac:dyDescent="0.35">
      <c r="A4771" s="40">
        <v>43859</v>
      </c>
      <c r="B4771" s="38">
        <v>-34.89</v>
      </c>
      <c r="C4771" s="13" t="s">
        <v>1056</v>
      </c>
      <c r="D4771" s="36">
        <v>8516.75</v>
      </c>
      <c r="E4771" s="43" t="s">
        <v>3596</v>
      </c>
    </row>
    <row r="4772" spans="1:5" x14ac:dyDescent="0.35">
      <c r="A4772" s="40">
        <v>43859</v>
      </c>
      <c r="B4772" s="38">
        <v>-25.16</v>
      </c>
      <c r="C4772" s="13" t="s">
        <v>1055</v>
      </c>
      <c r="D4772" s="36">
        <v>8491.59</v>
      </c>
      <c r="E4772" s="43" t="s">
        <v>3596</v>
      </c>
    </row>
    <row r="4773" spans="1:5" x14ac:dyDescent="0.35">
      <c r="A4773" s="40">
        <v>43859</v>
      </c>
      <c r="B4773" s="38">
        <v>-21.51</v>
      </c>
      <c r="C4773" s="13" t="s">
        <v>1057</v>
      </c>
      <c r="D4773" s="36">
        <v>8551.64</v>
      </c>
      <c r="E4773" s="43" t="s">
        <v>3596</v>
      </c>
    </row>
    <row r="4774" spans="1:5" x14ac:dyDescent="0.35">
      <c r="A4774" s="40">
        <v>43859</v>
      </c>
      <c r="B4774" s="38">
        <v>-22.99</v>
      </c>
      <c r="C4774" s="13" t="s">
        <v>1054</v>
      </c>
      <c r="D4774" s="36">
        <v>8468.6</v>
      </c>
      <c r="E4774" s="43" t="s">
        <v>3596</v>
      </c>
    </row>
    <row r="4775" spans="1:5" x14ac:dyDescent="0.35">
      <c r="A4775" s="40">
        <v>43859</v>
      </c>
      <c r="B4775" s="38">
        <v>-9.99</v>
      </c>
      <c r="C4775" s="13" t="s">
        <v>1053</v>
      </c>
      <c r="D4775" s="36">
        <v>8458.61</v>
      </c>
      <c r="E4775" s="43" t="s">
        <v>3596</v>
      </c>
    </row>
    <row r="4776" spans="1:5" x14ac:dyDescent="0.35">
      <c r="A4776" s="40">
        <v>43859</v>
      </c>
      <c r="B4776" s="38">
        <v>-6.75</v>
      </c>
      <c r="C4776" s="13" t="s">
        <v>1</v>
      </c>
      <c r="D4776" s="36">
        <v>8411.26</v>
      </c>
      <c r="E4776" s="43" t="s">
        <v>3596</v>
      </c>
    </row>
    <row r="4777" spans="1:5" x14ac:dyDescent="0.35">
      <c r="A4777" s="40">
        <v>43859</v>
      </c>
      <c r="B4777" s="38">
        <v>-20.6</v>
      </c>
      <c r="C4777" s="13" t="s">
        <v>1052</v>
      </c>
      <c r="D4777" s="36">
        <v>8438.01</v>
      </c>
      <c r="E4777" s="43" t="s">
        <v>3596</v>
      </c>
    </row>
    <row r="4778" spans="1:5" x14ac:dyDescent="0.35">
      <c r="A4778" s="40">
        <v>43858</v>
      </c>
      <c r="B4778" s="38">
        <v>-17.8</v>
      </c>
      <c r="C4778" s="13" t="s">
        <v>773</v>
      </c>
      <c r="D4778" s="36">
        <v>8573.15</v>
      </c>
      <c r="E4778" s="43" t="s">
        <v>3596</v>
      </c>
    </row>
    <row r="4779" spans="1:5" x14ac:dyDescent="0.35">
      <c r="A4779" s="40">
        <v>43856</v>
      </c>
      <c r="B4779" s="38">
        <v>-30</v>
      </c>
      <c r="C4779" s="13" t="s">
        <v>1219</v>
      </c>
      <c r="D4779" s="36">
        <v>8618.9500000000007</v>
      </c>
      <c r="E4779" s="43" t="s">
        <v>3596</v>
      </c>
    </row>
    <row r="4780" spans="1:5" x14ac:dyDescent="0.35">
      <c r="A4780" s="40">
        <v>43856</v>
      </c>
      <c r="B4780" s="38">
        <v>-10</v>
      </c>
      <c r="C4780" s="13" t="s">
        <v>1219</v>
      </c>
      <c r="D4780" s="36">
        <v>8648.9500000000007</v>
      </c>
      <c r="E4780" s="43" t="s">
        <v>3596</v>
      </c>
    </row>
    <row r="4781" spans="1:5" x14ac:dyDescent="0.35">
      <c r="A4781" s="40">
        <v>43856</v>
      </c>
      <c r="B4781" s="38">
        <v>-12</v>
      </c>
      <c r="C4781" s="13" t="s">
        <v>1219</v>
      </c>
      <c r="D4781" s="36">
        <v>8658.9500000000007</v>
      </c>
      <c r="E4781" s="43" t="s">
        <v>3596</v>
      </c>
    </row>
    <row r="4782" spans="1:5" x14ac:dyDescent="0.35">
      <c r="A4782" s="40">
        <v>43856</v>
      </c>
      <c r="B4782" s="38">
        <v>-28</v>
      </c>
      <c r="C4782" s="13" t="s">
        <v>1058</v>
      </c>
      <c r="D4782" s="36">
        <v>8590.9500000000007</v>
      </c>
      <c r="E4782" s="43" t="s">
        <v>3596</v>
      </c>
    </row>
    <row r="4783" spans="1:5" x14ac:dyDescent="0.35">
      <c r="A4783" s="40">
        <v>43856</v>
      </c>
      <c r="B4783" s="38">
        <v>-22.5</v>
      </c>
      <c r="C4783" s="13" t="s">
        <v>1059</v>
      </c>
      <c r="D4783" s="36">
        <v>8670.9500000000007</v>
      </c>
      <c r="E4783" s="43" t="s">
        <v>3596</v>
      </c>
    </row>
    <row r="4784" spans="1:5" x14ac:dyDescent="0.35">
      <c r="A4784" s="40">
        <v>43855</v>
      </c>
      <c r="B4784" s="38">
        <v>-7.95</v>
      </c>
      <c r="C4784" s="13" t="s">
        <v>1060</v>
      </c>
      <c r="D4784" s="36">
        <v>8793.4500000000007</v>
      </c>
      <c r="E4784" s="43" t="s">
        <v>3596</v>
      </c>
    </row>
    <row r="4785" spans="1:5" x14ac:dyDescent="0.35">
      <c r="A4785" s="40">
        <v>43855</v>
      </c>
      <c r="B4785" s="38">
        <v>-11.69</v>
      </c>
      <c r="C4785" s="13" t="s">
        <v>1061</v>
      </c>
      <c r="D4785" s="36">
        <v>8801.4</v>
      </c>
      <c r="E4785" s="43" t="s">
        <v>3596</v>
      </c>
    </row>
    <row r="4786" spans="1:5" x14ac:dyDescent="0.35">
      <c r="A4786" s="40">
        <v>43855</v>
      </c>
      <c r="B4786" s="38">
        <v>-100</v>
      </c>
      <c r="C4786" s="13" t="s">
        <v>946</v>
      </c>
      <c r="D4786" s="36">
        <v>8693.4500000000007</v>
      </c>
      <c r="E4786" s="43" t="s">
        <v>3596</v>
      </c>
    </row>
    <row r="4787" spans="1:5" x14ac:dyDescent="0.35">
      <c r="A4787" s="40">
        <v>43854</v>
      </c>
      <c r="B4787" s="38">
        <v>-11.01</v>
      </c>
      <c r="C4787" s="13" t="s">
        <v>4</v>
      </c>
      <c r="D4787" s="36">
        <v>8995.59</v>
      </c>
      <c r="E4787" s="43" t="s">
        <v>3596</v>
      </c>
    </row>
    <row r="4788" spans="1:5" x14ac:dyDescent="0.35">
      <c r="A4788" s="40">
        <v>43854</v>
      </c>
      <c r="B4788" s="38">
        <v>-40</v>
      </c>
      <c r="C4788" s="13" t="s">
        <v>1063</v>
      </c>
      <c r="D4788" s="36">
        <v>9020.6</v>
      </c>
      <c r="E4788" s="43" t="s">
        <v>3596</v>
      </c>
    </row>
    <row r="4789" spans="1:5" x14ac:dyDescent="0.35">
      <c r="A4789" s="40">
        <v>43854</v>
      </c>
      <c r="B4789" s="38">
        <v>-14</v>
      </c>
      <c r="C4789" s="13" t="s">
        <v>1062</v>
      </c>
      <c r="D4789" s="36">
        <v>9006.6</v>
      </c>
      <c r="E4789" s="43" t="s">
        <v>3596</v>
      </c>
    </row>
    <row r="4790" spans="1:5" x14ac:dyDescent="0.35">
      <c r="A4790" s="40">
        <v>43854</v>
      </c>
      <c r="B4790" s="38">
        <v>-175</v>
      </c>
      <c r="C4790" s="13" t="s">
        <v>1216</v>
      </c>
      <c r="D4790" s="36">
        <v>8813.09</v>
      </c>
      <c r="E4790" s="43" t="s">
        <v>3596</v>
      </c>
    </row>
    <row r="4791" spans="1:5" x14ac:dyDescent="0.35">
      <c r="A4791" s="40">
        <v>43854</v>
      </c>
      <c r="B4791" s="38">
        <v>-7.5</v>
      </c>
      <c r="C4791" s="13" t="s">
        <v>171</v>
      </c>
      <c r="D4791" s="36">
        <v>8988.09</v>
      </c>
      <c r="E4791" s="43" t="s">
        <v>3596</v>
      </c>
    </row>
    <row r="4792" spans="1:5" x14ac:dyDescent="0.35">
      <c r="A4792" s="40">
        <v>43853</v>
      </c>
      <c r="B4792" s="38">
        <v>-180.11</v>
      </c>
      <c r="C4792" s="13" t="s">
        <v>1065</v>
      </c>
      <c r="D4792" s="36">
        <v>9661.1</v>
      </c>
      <c r="E4792" s="43" t="s">
        <v>3596</v>
      </c>
    </row>
    <row r="4793" spans="1:5" x14ac:dyDescent="0.35">
      <c r="A4793" s="40">
        <v>43853</v>
      </c>
      <c r="B4793" s="38">
        <v>1752.39</v>
      </c>
      <c r="C4793" s="13" t="s">
        <v>1066</v>
      </c>
      <c r="D4793" s="36">
        <v>9841.2099999999991</v>
      </c>
      <c r="E4793" s="43" t="s">
        <v>3596</v>
      </c>
    </row>
    <row r="4794" spans="1:5" x14ac:dyDescent="0.35">
      <c r="A4794" s="40">
        <v>43853</v>
      </c>
      <c r="B4794" s="38">
        <v>-500</v>
      </c>
      <c r="C4794" s="13" t="s">
        <v>945</v>
      </c>
      <c r="D4794" s="36">
        <v>9161.1</v>
      </c>
      <c r="E4794" s="43" t="s">
        <v>3596</v>
      </c>
    </row>
    <row r="4795" spans="1:5" x14ac:dyDescent="0.35">
      <c r="A4795" s="40">
        <v>43853</v>
      </c>
      <c r="B4795" s="38">
        <v>-100.5</v>
      </c>
      <c r="C4795" s="13" t="s">
        <v>1064</v>
      </c>
      <c r="D4795" s="36">
        <v>9060.6</v>
      </c>
      <c r="E4795" s="43" t="s">
        <v>3596</v>
      </c>
    </row>
    <row r="4796" spans="1:5" x14ac:dyDescent="0.35">
      <c r="A4796" s="40">
        <v>43852</v>
      </c>
      <c r="B4796" s="38">
        <v>-11.13</v>
      </c>
      <c r="C4796" s="13" t="s">
        <v>4</v>
      </c>
      <c r="D4796" s="36">
        <v>8093.57</v>
      </c>
      <c r="E4796" s="43" t="s">
        <v>3596</v>
      </c>
    </row>
    <row r="4797" spans="1:5" x14ac:dyDescent="0.35">
      <c r="A4797" s="40">
        <v>43852</v>
      </c>
      <c r="B4797" s="38">
        <v>-88.99</v>
      </c>
      <c r="C4797" s="13" t="s">
        <v>1068</v>
      </c>
      <c r="D4797" s="36">
        <v>8113.28</v>
      </c>
      <c r="E4797" s="43" t="s">
        <v>3596</v>
      </c>
    </row>
    <row r="4798" spans="1:5" x14ac:dyDescent="0.35">
      <c r="A4798" s="40">
        <v>43852</v>
      </c>
      <c r="B4798" s="38">
        <v>-35.49</v>
      </c>
      <c r="C4798" s="13" t="s">
        <v>1069</v>
      </c>
      <c r="D4798" s="36">
        <v>8202.27</v>
      </c>
      <c r="E4798" s="43" t="s">
        <v>3596</v>
      </c>
    </row>
    <row r="4799" spans="1:5" x14ac:dyDescent="0.35">
      <c r="A4799" s="40">
        <v>43852</v>
      </c>
      <c r="B4799" s="38">
        <v>-4.75</v>
      </c>
      <c r="C4799" s="13" t="s">
        <v>1</v>
      </c>
      <c r="D4799" s="36">
        <v>8088.82</v>
      </c>
      <c r="E4799" s="43" t="s">
        <v>3596</v>
      </c>
    </row>
    <row r="4800" spans="1:5" x14ac:dyDescent="0.35">
      <c r="A4800" s="40">
        <v>43852</v>
      </c>
      <c r="B4800" s="38">
        <v>-4.29</v>
      </c>
      <c r="C4800" s="13" t="s">
        <v>1067</v>
      </c>
      <c r="D4800" s="36">
        <v>8104.7</v>
      </c>
      <c r="E4800" s="43" t="s">
        <v>3596</v>
      </c>
    </row>
    <row r="4801" spans="1:5" x14ac:dyDescent="0.35">
      <c r="A4801" s="40">
        <v>43852</v>
      </c>
      <c r="B4801" s="38">
        <v>-4.29</v>
      </c>
      <c r="C4801" s="13" t="s">
        <v>1067</v>
      </c>
      <c r="D4801" s="36">
        <v>8108.99</v>
      </c>
      <c r="E4801" s="43" t="s">
        <v>3596</v>
      </c>
    </row>
    <row r="4802" spans="1:5" x14ac:dyDescent="0.35">
      <c r="A4802" s="40">
        <v>43851</v>
      </c>
      <c r="B4802" s="38">
        <v>-8</v>
      </c>
      <c r="C4802" s="13" t="s">
        <v>4</v>
      </c>
      <c r="D4802" s="36">
        <v>8487.76</v>
      </c>
      <c r="E4802" s="43" t="s">
        <v>3596</v>
      </c>
    </row>
    <row r="4803" spans="1:5" x14ac:dyDescent="0.35">
      <c r="A4803" s="40">
        <v>43851</v>
      </c>
      <c r="B4803" s="38">
        <v>-2.5</v>
      </c>
      <c r="C4803" s="13" t="s">
        <v>4</v>
      </c>
      <c r="D4803" s="36">
        <v>8495.76</v>
      </c>
      <c r="E4803" s="43" t="s">
        <v>3596</v>
      </c>
    </row>
    <row r="4804" spans="1:5" x14ac:dyDescent="0.35">
      <c r="A4804" s="40">
        <v>43851</v>
      </c>
      <c r="B4804" s="38">
        <v>-9.8000000000000007</v>
      </c>
      <c r="C4804" s="13" t="s">
        <v>1072</v>
      </c>
      <c r="D4804" s="36">
        <v>8516.26</v>
      </c>
      <c r="E4804" s="43" t="s">
        <v>3596</v>
      </c>
    </row>
    <row r="4805" spans="1:5" x14ac:dyDescent="0.35">
      <c r="A4805" s="40">
        <v>43851</v>
      </c>
      <c r="B4805" s="38">
        <v>-9</v>
      </c>
      <c r="C4805" s="13" t="s">
        <v>1071</v>
      </c>
      <c r="D4805" s="36">
        <v>8507.26</v>
      </c>
      <c r="E4805" s="43" t="s">
        <v>3596</v>
      </c>
    </row>
    <row r="4806" spans="1:5" x14ac:dyDescent="0.35">
      <c r="A4806" s="40">
        <v>43851</v>
      </c>
      <c r="B4806" s="38">
        <v>-250</v>
      </c>
      <c r="C4806" s="13" t="s">
        <v>1666</v>
      </c>
      <c r="D4806" s="36">
        <v>8237.76</v>
      </c>
      <c r="E4806" s="43" t="s">
        <v>3596</v>
      </c>
    </row>
    <row r="4807" spans="1:5" x14ac:dyDescent="0.35">
      <c r="A4807" s="40">
        <v>43851</v>
      </c>
      <c r="B4807" s="38">
        <v>-9</v>
      </c>
      <c r="C4807" s="13" t="s">
        <v>1070</v>
      </c>
      <c r="D4807" s="36">
        <v>8498.26</v>
      </c>
      <c r="E4807" s="43" t="s">
        <v>3596</v>
      </c>
    </row>
    <row r="4808" spans="1:5" x14ac:dyDescent="0.35">
      <c r="A4808" s="40">
        <v>43850</v>
      </c>
      <c r="B4808" s="38">
        <v>-10</v>
      </c>
      <c r="C4808" s="13" t="s">
        <v>4</v>
      </c>
      <c r="D4808" s="36">
        <v>8499.9699999999993</v>
      </c>
      <c r="E4808" s="43" t="s">
        <v>3596</v>
      </c>
    </row>
    <row r="4809" spans="1:5" x14ac:dyDescent="0.35">
      <c r="A4809" s="40">
        <v>43850</v>
      </c>
      <c r="B4809" s="38">
        <v>-19.739999999999998</v>
      </c>
      <c r="C4809" s="13" t="s">
        <v>1</v>
      </c>
      <c r="D4809" s="36">
        <v>8466.06</v>
      </c>
      <c r="E4809" s="43" t="s">
        <v>3596</v>
      </c>
    </row>
    <row r="4810" spans="1:5" x14ac:dyDescent="0.35">
      <c r="A4810" s="40">
        <v>43850</v>
      </c>
      <c r="B4810" s="38">
        <v>-14.17</v>
      </c>
      <c r="C4810" s="13" t="s">
        <v>773</v>
      </c>
      <c r="D4810" s="36">
        <v>8485.7999999999993</v>
      </c>
      <c r="E4810" s="43" t="s">
        <v>3596</v>
      </c>
    </row>
    <row r="4811" spans="1:5" x14ac:dyDescent="0.35">
      <c r="A4811" s="40">
        <v>43850</v>
      </c>
      <c r="B4811" s="38">
        <v>60</v>
      </c>
      <c r="C4811" s="13" t="s">
        <v>1242</v>
      </c>
      <c r="D4811" s="36">
        <v>8526.06</v>
      </c>
      <c r="E4811" s="43" t="s">
        <v>3596</v>
      </c>
    </row>
    <row r="4812" spans="1:5" x14ac:dyDescent="0.35">
      <c r="A4812" s="40">
        <v>43849</v>
      </c>
      <c r="B4812" s="38">
        <v>-18.600000000000001</v>
      </c>
      <c r="C4812" s="13" t="s">
        <v>1073</v>
      </c>
      <c r="D4812" s="36">
        <v>8509.9699999999993</v>
      </c>
      <c r="E4812" s="43" t="s">
        <v>3596</v>
      </c>
    </row>
    <row r="4813" spans="1:5" x14ac:dyDescent="0.35">
      <c r="A4813" s="40">
        <v>43849</v>
      </c>
      <c r="B4813" s="38">
        <v>-26</v>
      </c>
      <c r="C4813" s="13" t="s">
        <v>1073</v>
      </c>
      <c r="D4813" s="36">
        <v>8528.57</v>
      </c>
      <c r="E4813" s="43" t="s">
        <v>3596</v>
      </c>
    </row>
    <row r="4814" spans="1:5" x14ac:dyDescent="0.35">
      <c r="A4814" s="40">
        <v>43849</v>
      </c>
      <c r="B4814" s="39">
        <v>-12.4</v>
      </c>
      <c r="C4814" s="14" t="s">
        <v>1073</v>
      </c>
      <c r="D4814" s="37">
        <v>8494.57</v>
      </c>
      <c r="E4814" s="44" t="s">
        <v>3596</v>
      </c>
    </row>
    <row r="4815" spans="1:5" x14ac:dyDescent="0.35">
      <c r="A4815" s="40">
        <v>43849</v>
      </c>
      <c r="B4815" s="38">
        <v>60</v>
      </c>
      <c r="C4815" s="13" t="s">
        <v>1238</v>
      </c>
      <c r="D4815" s="36">
        <v>8554.57</v>
      </c>
      <c r="E4815" s="43" t="s">
        <v>3596</v>
      </c>
    </row>
    <row r="4816" spans="1:5" x14ac:dyDescent="0.35">
      <c r="A4816" s="40">
        <v>43848</v>
      </c>
      <c r="B4816" s="38">
        <v>-40</v>
      </c>
      <c r="C4816" s="13" t="s">
        <v>1074</v>
      </c>
      <c r="D4816" s="36">
        <v>8506.9699999999993</v>
      </c>
      <c r="E4816" s="43" t="s">
        <v>3596</v>
      </c>
    </row>
    <row r="4817" spans="1:5" x14ac:dyDescent="0.35">
      <c r="A4817" s="40">
        <v>43848</v>
      </c>
      <c r="B4817" s="38">
        <v>-100</v>
      </c>
      <c r="C4817" s="13" t="s">
        <v>946</v>
      </c>
      <c r="D4817" s="36">
        <v>8546.9699999999993</v>
      </c>
      <c r="E4817" s="43" t="s">
        <v>3596</v>
      </c>
    </row>
    <row r="4818" spans="1:5" x14ac:dyDescent="0.35">
      <c r="A4818" s="40">
        <v>43847</v>
      </c>
      <c r="B4818" s="38">
        <v>-26.26</v>
      </c>
      <c r="C4818" s="13" t="s">
        <v>1</v>
      </c>
      <c r="D4818" s="36">
        <v>8671.9699999999993</v>
      </c>
      <c r="E4818" s="43" t="s">
        <v>3596</v>
      </c>
    </row>
    <row r="4819" spans="1:5" x14ac:dyDescent="0.35">
      <c r="A4819" s="40">
        <v>43847</v>
      </c>
      <c r="B4819" s="38">
        <v>-25</v>
      </c>
      <c r="C4819" s="13" t="s">
        <v>951</v>
      </c>
      <c r="D4819" s="36">
        <v>8646.9699999999993</v>
      </c>
      <c r="E4819" s="43" t="s">
        <v>3596</v>
      </c>
    </row>
    <row r="4820" spans="1:5" x14ac:dyDescent="0.35">
      <c r="A4820" s="40">
        <v>43846</v>
      </c>
      <c r="B4820" s="39">
        <v>-5.61</v>
      </c>
      <c r="C4820" s="14" t="s">
        <v>4</v>
      </c>
      <c r="D4820" s="37">
        <v>8698.23</v>
      </c>
      <c r="E4820" s="44" t="s">
        <v>3596</v>
      </c>
    </row>
    <row r="4821" spans="1:5" x14ac:dyDescent="0.35">
      <c r="A4821" s="40">
        <v>43845</v>
      </c>
      <c r="B4821" s="38">
        <v>-4.93</v>
      </c>
      <c r="C4821" s="13" t="s">
        <v>4</v>
      </c>
      <c r="D4821" s="36">
        <v>8716.58</v>
      </c>
      <c r="E4821" s="43" t="s">
        <v>3596</v>
      </c>
    </row>
    <row r="4822" spans="1:5" x14ac:dyDescent="0.35">
      <c r="A4822" s="40">
        <v>43845</v>
      </c>
      <c r="B4822" s="38">
        <v>-25.5</v>
      </c>
      <c r="C4822" s="13" t="s">
        <v>1076</v>
      </c>
      <c r="D4822" s="36">
        <v>8754.31</v>
      </c>
      <c r="E4822" s="43" t="s">
        <v>3596</v>
      </c>
    </row>
    <row r="4823" spans="1:5" x14ac:dyDescent="0.35">
      <c r="A4823" s="40">
        <v>43845</v>
      </c>
      <c r="B4823" s="38">
        <v>-32.799999999999997</v>
      </c>
      <c r="C4823" s="13" t="s">
        <v>1075</v>
      </c>
      <c r="D4823" s="36">
        <v>8721.51</v>
      </c>
      <c r="E4823" s="43" t="s">
        <v>3596</v>
      </c>
    </row>
    <row r="4824" spans="1:5" x14ac:dyDescent="0.35">
      <c r="A4824" s="40">
        <v>43845</v>
      </c>
      <c r="B4824" s="38">
        <v>-40</v>
      </c>
      <c r="C4824" s="13" t="s">
        <v>1077</v>
      </c>
      <c r="D4824" s="36">
        <v>8779.81</v>
      </c>
      <c r="E4824" s="43" t="s">
        <v>3596</v>
      </c>
    </row>
    <row r="4825" spans="1:5" x14ac:dyDescent="0.35">
      <c r="A4825" s="40">
        <v>43845</v>
      </c>
      <c r="B4825" s="38">
        <v>-12.74</v>
      </c>
      <c r="C4825" s="13" t="s">
        <v>773</v>
      </c>
      <c r="D4825" s="36">
        <v>8703.84</v>
      </c>
      <c r="E4825" s="43" t="s">
        <v>3596</v>
      </c>
    </row>
    <row r="4826" spans="1:5" x14ac:dyDescent="0.35">
      <c r="A4826" s="40">
        <v>43844</v>
      </c>
      <c r="B4826" s="38">
        <v>-1.91</v>
      </c>
      <c r="C4826" s="13" t="s">
        <v>4</v>
      </c>
      <c r="D4826" s="36">
        <v>8833.81</v>
      </c>
      <c r="E4826" s="43" t="s">
        <v>3596</v>
      </c>
    </row>
    <row r="4827" spans="1:5" x14ac:dyDescent="0.35">
      <c r="A4827" s="40">
        <v>43844</v>
      </c>
      <c r="B4827" s="38">
        <v>-73.59</v>
      </c>
      <c r="C4827" s="13" t="s">
        <v>1078</v>
      </c>
      <c r="D4827" s="36">
        <v>8835.7199999999993</v>
      </c>
      <c r="E4827" s="43" t="s">
        <v>3596</v>
      </c>
    </row>
    <row r="4828" spans="1:5" x14ac:dyDescent="0.35">
      <c r="A4828" s="40">
        <v>43844</v>
      </c>
      <c r="B4828" s="38">
        <v>-80.25</v>
      </c>
      <c r="C4828" s="13" t="s">
        <v>1083</v>
      </c>
      <c r="D4828" s="36">
        <v>9183.17</v>
      </c>
      <c r="E4828" s="43" t="s">
        <v>3596</v>
      </c>
    </row>
    <row r="4829" spans="1:5" x14ac:dyDescent="0.35">
      <c r="A4829" s="40">
        <v>43844</v>
      </c>
      <c r="B4829" s="38">
        <v>-37</v>
      </c>
      <c r="C4829" s="13" t="s">
        <v>1082</v>
      </c>
      <c r="D4829" s="36">
        <v>9146.17</v>
      </c>
      <c r="E4829" s="43" t="s">
        <v>3596</v>
      </c>
    </row>
    <row r="4830" spans="1:5" x14ac:dyDescent="0.35">
      <c r="A4830" s="40">
        <v>43844</v>
      </c>
      <c r="B4830" s="38">
        <v>-52.93</v>
      </c>
      <c r="C4830" s="13" t="s">
        <v>1084</v>
      </c>
      <c r="D4830" s="36">
        <v>9265.01</v>
      </c>
      <c r="E4830" s="43" t="s">
        <v>3596</v>
      </c>
    </row>
    <row r="4831" spans="1:5" x14ac:dyDescent="0.35">
      <c r="A4831" s="40">
        <v>43844</v>
      </c>
      <c r="B4831" s="38">
        <v>-50.63</v>
      </c>
      <c r="C4831" s="13" t="s">
        <v>1085</v>
      </c>
      <c r="D4831" s="36">
        <v>9319.4599999999991</v>
      </c>
      <c r="E4831" s="43" t="s">
        <v>3596</v>
      </c>
    </row>
    <row r="4832" spans="1:5" x14ac:dyDescent="0.35">
      <c r="A4832" s="40">
        <v>43844</v>
      </c>
      <c r="B4832" s="38">
        <v>-46.38</v>
      </c>
      <c r="C4832" s="13" t="s">
        <v>1080</v>
      </c>
      <c r="D4832" s="36">
        <v>8910.7000000000007</v>
      </c>
      <c r="E4832" s="43" t="s">
        <v>3596</v>
      </c>
    </row>
    <row r="4833" spans="1:5" x14ac:dyDescent="0.35">
      <c r="A4833" s="40">
        <v>43844</v>
      </c>
      <c r="B4833" s="38">
        <v>-183.58</v>
      </c>
      <c r="C4833" s="13" t="s">
        <v>1081</v>
      </c>
      <c r="D4833" s="36">
        <v>8962.59</v>
      </c>
      <c r="E4833" s="43" t="s">
        <v>3596</v>
      </c>
    </row>
    <row r="4834" spans="1:5" x14ac:dyDescent="0.35">
      <c r="A4834" s="40">
        <v>43844</v>
      </c>
      <c r="B4834" s="38">
        <v>-1.39</v>
      </c>
      <c r="C4834" s="13" t="s">
        <v>1079</v>
      </c>
      <c r="D4834" s="36">
        <v>8909.31</v>
      </c>
      <c r="E4834" s="43" t="s">
        <v>3596</v>
      </c>
    </row>
    <row r="4835" spans="1:5" x14ac:dyDescent="0.35">
      <c r="A4835" s="40">
        <v>43844</v>
      </c>
      <c r="B4835" s="38">
        <v>-5.51</v>
      </c>
      <c r="C4835" s="13" t="s">
        <v>1079</v>
      </c>
      <c r="D4835" s="36">
        <v>8957.08</v>
      </c>
      <c r="E4835" s="43" t="s">
        <v>3596</v>
      </c>
    </row>
    <row r="4836" spans="1:5" x14ac:dyDescent="0.35">
      <c r="A4836" s="40">
        <v>43844</v>
      </c>
      <c r="B4836" s="38">
        <v>-1.59</v>
      </c>
      <c r="C4836" s="13" t="s">
        <v>1079</v>
      </c>
      <c r="D4836" s="36">
        <v>9263.42</v>
      </c>
      <c r="E4836" s="43" t="s">
        <v>3596</v>
      </c>
    </row>
    <row r="4837" spans="1:5" x14ac:dyDescent="0.35">
      <c r="A4837" s="40">
        <v>43844</v>
      </c>
      <c r="B4837" s="38">
        <v>-1.52</v>
      </c>
      <c r="C4837" s="13" t="s">
        <v>1079</v>
      </c>
      <c r="D4837" s="36">
        <v>9317.94</v>
      </c>
      <c r="E4837" s="43" t="s">
        <v>3596</v>
      </c>
    </row>
    <row r="4838" spans="1:5" x14ac:dyDescent="0.35">
      <c r="A4838" s="40">
        <v>43844</v>
      </c>
      <c r="B4838" s="38">
        <v>-14</v>
      </c>
      <c r="C4838" s="13" t="s">
        <v>11</v>
      </c>
      <c r="D4838" s="36">
        <v>8819.81</v>
      </c>
      <c r="E4838" s="43" t="s">
        <v>3596</v>
      </c>
    </row>
    <row r="4839" spans="1:5" x14ac:dyDescent="0.35">
      <c r="A4839" s="40">
        <v>43843</v>
      </c>
      <c r="B4839" s="38">
        <v>-17.739999999999998</v>
      </c>
      <c r="C4839" s="13" t="s">
        <v>1</v>
      </c>
      <c r="D4839" s="36">
        <v>9443.09</v>
      </c>
      <c r="E4839" s="43" t="s">
        <v>3596</v>
      </c>
    </row>
    <row r="4840" spans="1:5" x14ac:dyDescent="0.35">
      <c r="A4840" s="40">
        <v>43843</v>
      </c>
      <c r="B4840" s="38">
        <v>-73</v>
      </c>
      <c r="C4840" s="13" t="s">
        <v>37</v>
      </c>
      <c r="D4840" s="36">
        <v>9370.09</v>
      </c>
      <c r="E4840" s="43" t="s">
        <v>3596</v>
      </c>
    </row>
    <row r="4841" spans="1:5" x14ac:dyDescent="0.35">
      <c r="A4841" s="40">
        <v>43843</v>
      </c>
      <c r="B4841" s="38">
        <v>-14</v>
      </c>
      <c r="C4841" s="13" t="s">
        <v>171</v>
      </c>
      <c r="D4841" s="36">
        <v>9460.83</v>
      </c>
      <c r="E4841" s="43" t="s">
        <v>3596</v>
      </c>
    </row>
    <row r="4842" spans="1:5" x14ac:dyDescent="0.35">
      <c r="A4842" s="40">
        <v>43842</v>
      </c>
      <c r="B4842" s="39">
        <v>-20</v>
      </c>
      <c r="C4842" s="14" t="s">
        <v>951</v>
      </c>
      <c r="D4842" s="37">
        <v>9474.83</v>
      </c>
      <c r="E4842" s="44" t="s">
        <v>3596</v>
      </c>
    </row>
    <row r="4843" spans="1:5" x14ac:dyDescent="0.35">
      <c r="A4843" s="40">
        <v>43841</v>
      </c>
      <c r="B4843" s="38">
        <v>-100</v>
      </c>
      <c r="C4843" s="13" t="s">
        <v>946</v>
      </c>
      <c r="D4843" s="36">
        <v>9468.83</v>
      </c>
      <c r="E4843" s="43" t="s">
        <v>3596</v>
      </c>
    </row>
    <row r="4844" spans="1:5" x14ac:dyDescent="0.35">
      <c r="A4844" s="40">
        <v>43841</v>
      </c>
      <c r="B4844" s="38">
        <v>26</v>
      </c>
      <c r="C4844" s="13" t="s">
        <v>1243</v>
      </c>
      <c r="D4844" s="36">
        <v>9494.83</v>
      </c>
      <c r="E4844" s="43" t="s">
        <v>3596</v>
      </c>
    </row>
    <row r="4845" spans="1:5" x14ac:dyDescent="0.35">
      <c r="A4845" s="40">
        <v>43840</v>
      </c>
      <c r="B4845" s="38">
        <v>40</v>
      </c>
      <c r="C4845" s="13" t="s">
        <v>1240</v>
      </c>
      <c r="D4845" s="36">
        <v>9597.83</v>
      </c>
      <c r="E4845" s="43" t="s">
        <v>3596</v>
      </c>
    </row>
    <row r="4846" spans="1:5" x14ac:dyDescent="0.35">
      <c r="A4846" s="40">
        <v>43840</v>
      </c>
      <c r="B4846" s="38">
        <v>-29</v>
      </c>
      <c r="C4846" s="13" t="s">
        <v>951</v>
      </c>
      <c r="D4846" s="36">
        <v>9568.83</v>
      </c>
      <c r="E4846" s="43" t="s">
        <v>3596</v>
      </c>
    </row>
    <row r="4847" spans="1:5" x14ac:dyDescent="0.35">
      <c r="A4847" s="40">
        <v>43839</v>
      </c>
      <c r="B4847" s="38">
        <v>2053.5</v>
      </c>
      <c r="C4847" s="13" t="s">
        <v>1086</v>
      </c>
      <c r="D4847" s="36">
        <v>9857.83</v>
      </c>
      <c r="E4847" s="43" t="s">
        <v>3596</v>
      </c>
    </row>
    <row r="4848" spans="1:5" x14ac:dyDescent="0.35">
      <c r="A4848" s="40">
        <v>43839</v>
      </c>
      <c r="B4848" s="38">
        <v>-500</v>
      </c>
      <c r="C4848" s="13" t="s">
        <v>945</v>
      </c>
      <c r="D4848" s="36">
        <v>9357.83</v>
      </c>
      <c r="E4848" s="43" t="s">
        <v>3596</v>
      </c>
    </row>
    <row r="4849" spans="1:5" x14ac:dyDescent="0.35">
      <c r="A4849" s="40">
        <v>43839</v>
      </c>
      <c r="B4849" s="38">
        <v>200</v>
      </c>
      <c r="C4849" s="13" t="s">
        <v>1244</v>
      </c>
      <c r="D4849" s="36">
        <v>9557.83</v>
      </c>
      <c r="E4849" s="43" t="s">
        <v>3596</v>
      </c>
    </row>
    <row r="4850" spans="1:5" x14ac:dyDescent="0.35">
      <c r="A4850" s="40">
        <v>43838</v>
      </c>
      <c r="B4850" s="38">
        <v>-162.91999999999999</v>
      </c>
      <c r="C4850" s="13" t="s">
        <v>1705</v>
      </c>
      <c r="D4850" s="36">
        <v>7814.22</v>
      </c>
      <c r="E4850" s="43" t="s">
        <v>3596</v>
      </c>
    </row>
    <row r="4851" spans="1:5" x14ac:dyDescent="0.35">
      <c r="A4851" s="40">
        <v>43838</v>
      </c>
      <c r="B4851" s="38">
        <v>-9.89</v>
      </c>
      <c r="C4851" s="13" t="s">
        <v>1087</v>
      </c>
      <c r="D4851" s="36">
        <v>7804.33</v>
      </c>
      <c r="E4851" s="43" t="s">
        <v>3596</v>
      </c>
    </row>
    <row r="4852" spans="1:5" x14ac:dyDescent="0.35">
      <c r="A4852" s="40">
        <v>43837</v>
      </c>
      <c r="B4852" s="38">
        <v>-20.18</v>
      </c>
      <c r="C4852" s="13" t="s">
        <v>1088</v>
      </c>
      <c r="D4852" s="36">
        <v>7977.14</v>
      </c>
      <c r="E4852" s="43" t="s">
        <v>3596</v>
      </c>
    </row>
    <row r="4853" spans="1:5" x14ac:dyDescent="0.35">
      <c r="A4853" s="40">
        <v>43834</v>
      </c>
      <c r="B4853" s="38">
        <v>-15.23</v>
      </c>
      <c r="C4853" s="13" t="s">
        <v>1089</v>
      </c>
      <c r="D4853" s="36">
        <v>7997.32</v>
      </c>
      <c r="E4853" s="43" t="s">
        <v>3596</v>
      </c>
    </row>
    <row r="4854" spans="1:5" x14ac:dyDescent="0.35">
      <c r="A4854" s="40">
        <v>43834</v>
      </c>
      <c r="B4854" s="38">
        <v>-100</v>
      </c>
      <c r="C4854" s="13" t="s">
        <v>946</v>
      </c>
      <c r="D4854" s="36">
        <v>8012.55</v>
      </c>
      <c r="E4854" s="43" t="s">
        <v>3596</v>
      </c>
    </row>
    <row r="4855" spans="1:5" x14ac:dyDescent="0.35">
      <c r="A4855" s="40">
        <v>43833</v>
      </c>
      <c r="B4855" s="38">
        <v>-26.53</v>
      </c>
      <c r="C4855" s="13" t="s">
        <v>1089</v>
      </c>
      <c r="D4855" s="36">
        <v>8214.35</v>
      </c>
      <c r="E4855" s="43" t="s">
        <v>3596</v>
      </c>
    </row>
    <row r="4856" spans="1:5" x14ac:dyDescent="0.35">
      <c r="A4856" s="40">
        <v>43833</v>
      </c>
      <c r="B4856" s="38">
        <v>-24.95</v>
      </c>
      <c r="C4856" s="13" t="s">
        <v>1093</v>
      </c>
      <c r="D4856" s="36">
        <v>8240.8799999999992</v>
      </c>
      <c r="E4856" s="43" t="s">
        <v>3596</v>
      </c>
    </row>
    <row r="4857" spans="1:5" x14ac:dyDescent="0.35">
      <c r="A4857" s="40">
        <v>43833</v>
      </c>
      <c r="B4857" s="38">
        <v>-18.3</v>
      </c>
      <c r="C4857" s="13" t="s">
        <v>1092</v>
      </c>
      <c r="D4857" s="36">
        <v>8196.0499999999993</v>
      </c>
      <c r="E4857" s="43" t="s">
        <v>3596</v>
      </c>
    </row>
    <row r="4858" spans="1:5" x14ac:dyDescent="0.35">
      <c r="A4858" s="40">
        <v>43833</v>
      </c>
      <c r="B4858" s="38">
        <v>-65</v>
      </c>
      <c r="C4858" s="13" t="s">
        <v>1216</v>
      </c>
      <c r="D4858" s="36">
        <v>8121.55</v>
      </c>
      <c r="E4858" s="43" t="s">
        <v>3596</v>
      </c>
    </row>
    <row r="4859" spans="1:5" x14ac:dyDescent="0.35">
      <c r="A4859" s="40">
        <v>43833</v>
      </c>
      <c r="B4859" s="39">
        <v>-9</v>
      </c>
      <c r="C4859" s="14" t="s">
        <v>1090</v>
      </c>
      <c r="D4859" s="37">
        <v>8112.55</v>
      </c>
      <c r="E4859" s="43" t="s">
        <v>3596</v>
      </c>
    </row>
    <row r="4860" spans="1:5" x14ac:dyDescent="0.35">
      <c r="A4860" s="40">
        <v>43833</v>
      </c>
      <c r="B4860" s="38">
        <v>-9.5</v>
      </c>
      <c r="C4860" s="13" t="s">
        <v>1091</v>
      </c>
      <c r="D4860" s="36">
        <v>8186.55</v>
      </c>
      <c r="E4860" s="43" t="s">
        <v>3596</v>
      </c>
    </row>
    <row r="4861" spans="1:5" x14ac:dyDescent="0.35">
      <c r="A4861" s="40">
        <v>43832</v>
      </c>
      <c r="B4861" s="39">
        <v>-19</v>
      </c>
      <c r="C4861" s="14" t="s">
        <v>947</v>
      </c>
      <c r="D4861" s="37">
        <v>8438.1299999999992</v>
      </c>
      <c r="E4861" s="44" t="s">
        <v>3596</v>
      </c>
    </row>
    <row r="4862" spans="1:5" x14ac:dyDescent="0.35">
      <c r="A4862" s="40">
        <v>43832</v>
      </c>
      <c r="B4862" s="38">
        <v>-50</v>
      </c>
      <c r="C4862" s="13" t="s">
        <v>947</v>
      </c>
      <c r="D4862" s="36">
        <v>8457.1299999999992</v>
      </c>
      <c r="E4862" s="43" t="s">
        <v>3596</v>
      </c>
    </row>
    <row r="4863" spans="1:5" x14ac:dyDescent="0.35">
      <c r="A4863" s="40">
        <v>43832</v>
      </c>
      <c r="B4863" s="38">
        <v>-172.3</v>
      </c>
      <c r="C4863" s="13" t="s">
        <v>1094</v>
      </c>
      <c r="D4863" s="36">
        <v>8265.83</v>
      </c>
      <c r="E4863" s="43" t="s">
        <v>3596</v>
      </c>
    </row>
    <row r="4864" spans="1:5" x14ac:dyDescent="0.35">
      <c r="A4864" s="40">
        <v>43832</v>
      </c>
      <c r="B4864" s="38">
        <v>-21</v>
      </c>
      <c r="C4864" s="13" t="s">
        <v>1216</v>
      </c>
      <c r="D4864" s="36">
        <v>8507.1299999999992</v>
      </c>
      <c r="E4864" s="43" t="s">
        <v>3596</v>
      </c>
    </row>
    <row r="4865" spans="1:5" x14ac:dyDescent="0.35">
      <c r="A4865" s="40">
        <v>43831</v>
      </c>
      <c r="B4865" s="39">
        <v>-67.489999999999995</v>
      </c>
      <c r="C4865" s="14" t="s">
        <v>1098</v>
      </c>
      <c r="D4865" s="37">
        <v>8592.1</v>
      </c>
      <c r="E4865" s="44" t="s">
        <v>3596</v>
      </c>
    </row>
    <row r="4866" spans="1:5" x14ac:dyDescent="0.35">
      <c r="A4866" s="40">
        <v>43831</v>
      </c>
      <c r="B4866" s="38">
        <v>-20</v>
      </c>
      <c r="C4866" s="13" t="s">
        <v>3385</v>
      </c>
      <c r="D4866" s="36">
        <v>8659.59</v>
      </c>
      <c r="E4866" s="43" t="s">
        <v>3596</v>
      </c>
    </row>
    <row r="4867" spans="1:5" x14ac:dyDescent="0.35">
      <c r="A4867" s="40">
        <v>43831</v>
      </c>
      <c r="B4867" s="38">
        <v>-34.6</v>
      </c>
      <c r="C4867" s="13" t="s">
        <v>1095</v>
      </c>
      <c r="D4867" s="36">
        <v>8528.1299999999992</v>
      </c>
      <c r="E4867" s="43" t="s">
        <v>3596</v>
      </c>
    </row>
    <row r="4868" spans="1:5" x14ac:dyDescent="0.35">
      <c r="A4868" s="40">
        <v>43831</v>
      </c>
      <c r="B4868" s="38">
        <v>-8.6</v>
      </c>
      <c r="C4868" s="13" t="s">
        <v>1095</v>
      </c>
      <c r="D4868" s="36">
        <v>8562.73</v>
      </c>
      <c r="E4868" s="43" t="s">
        <v>3596</v>
      </c>
    </row>
    <row r="4869" spans="1:5" x14ac:dyDescent="0.35">
      <c r="A4869" s="40">
        <v>43831</v>
      </c>
      <c r="B4869" s="38">
        <v>-7.9</v>
      </c>
      <c r="C4869" s="13" t="s">
        <v>1095</v>
      </c>
      <c r="D4869" s="36">
        <v>8571.33</v>
      </c>
      <c r="E4869" s="43" t="s">
        <v>3596</v>
      </c>
    </row>
    <row r="4870" spans="1:5" x14ac:dyDescent="0.35">
      <c r="A4870" s="40">
        <v>43831</v>
      </c>
      <c r="B4870" s="38">
        <v>-4.29</v>
      </c>
      <c r="C4870" s="13" t="s">
        <v>1096</v>
      </c>
      <c r="D4870" s="36">
        <v>8579.23</v>
      </c>
      <c r="E4870" s="43" t="s">
        <v>3596</v>
      </c>
    </row>
    <row r="4871" spans="1:5" x14ac:dyDescent="0.35">
      <c r="A4871" s="40">
        <v>43831</v>
      </c>
      <c r="B4871" s="38">
        <v>-4.29</v>
      </c>
      <c r="C4871" s="13" t="s">
        <v>1097</v>
      </c>
      <c r="D4871" s="36">
        <v>8583.52</v>
      </c>
      <c r="E4871" s="43" t="s">
        <v>3596</v>
      </c>
    </row>
    <row r="4872" spans="1:5" x14ac:dyDescent="0.35">
      <c r="A4872" s="40">
        <v>43831</v>
      </c>
      <c r="B4872" s="38">
        <v>-4.29</v>
      </c>
      <c r="C4872" s="13" t="s">
        <v>1097</v>
      </c>
      <c r="D4872" s="36">
        <v>8587.81</v>
      </c>
      <c r="E4872" s="43" t="s">
        <v>3596</v>
      </c>
    </row>
    <row r="4873" spans="1:5" x14ac:dyDescent="0.35">
      <c r="A4873" s="40">
        <v>43830</v>
      </c>
      <c r="B4873" s="38">
        <v>-31.94</v>
      </c>
      <c r="C4873" s="13" t="s">
        <v>1102</v>
      </c>
      <c r="D4873" s="36">
        <v>9571.31</v>
      </c>
      <c r="E4873" s="43" t="s">
        <v>3596</v>
      </c>
    </row>
    <row r="4874" spans="1:5" x14ac:dyDescent="0.35">
      <c r="A4874" s="40">
        <v>43830</v>
      </c>
      <c r="B4874" s="38">
        <v>-50.49</v>
      </c>
      <c r="C4874" s="13" t="s">
        <v>1100</v>
      </c>
      <c r="D4874" s="36">
        <v>9508.67</v>
      </c>
      <c r="E4874" s="43" t="s">
        <v>3596</v>
      </c>
    </row>
    <row r="4875" spans="1:5" x14ac:dyDescent="0.35">
      <c r="A4875" s="40">
        <v>43830</v>
      </c>
      <c r="B4875" s="38">
        <v>-12.15</v>
      </c>
      <c r="C4875" s="13" t="s">
        <v>1101</v>
      </c>
      <c r="D4875" s="36">
        <v>9559.16</v>
      </c>
      <c r="E4875" s="43" t="s">
        <v>3596</v>
      </c>
    </row>
    <row r="4876" spans="1:5" x14ac:dyDescent="0.35">
      <c r="A4876" s="40">
        <v>43830</v>
      </c>
      <c r="B4876" s="38">
        <v>-229</v>
      </c>
      <c r="C4876" s="13" t="s">
        <v>1099</v>
      </c>
      <c r="D4876" s="36">
        <v>9279.67</v>
      </c>
      <c r="E4876" s="43" t="s">
        <v>3596</v>
      </c>
    </row>
    <row r="4877" spans="1:5" x14ac:dyDescent="0.35">
      <c r="A4877" s="40">
        <v>43830</v>
      </c>
      <c r="B4877" s="38">
        <v>-16.63</v>
      </c>
      <c r="C4877" s="13" t="s">
        <v>837</v>
      </c>
      <c r="D4877" s="36">
        <v>8662.0400000000009</v>
      </c>
      <c r="E4877" s="43" t="s">
        <v>3596</v>
      </c>
    </row>
    <row r="4878" spans="1:5" x14ac:dyDescent="0.35">
      <c r="A4878" s="40">
        <v>43830</v>
      </c>
      <c r="B4878" s="38">
        <v>-42.45</v>
      </c>
      <c r="C4878" s="13" t="s">
        <v>1011</v>
      </c>
      <c r="D4878" s="36">
        <v>8619.59</v>
      </c>
      <c r="E4878" s="43" t="s">
        <v>3596</v>
      </c>
    </row>
    <row r="4879" spans="1:5" x14ac:dyDescent="0.35">
      <c r="A4879" s="40">
        <v>43830</v>
      </c>
      <c r="B4879" s="38">
        <v>60</v>
      </c>
      <c r="C4879" s="13" t="s">
        <v>1242</v>
      </c>
      <c r="D4879" s="36">
        <v>8679.59</v>
      </c>
      <c r="E4879" s="43" t="s">
        <v>3596</v>
      </c>
    </row>
    <row r="4880" spans="1:5" x14ac:dyDescent="0.35">
      <c r="A4880" s="40">
        <v>43830</v>
      </c>
      <c r="B4880" s="38">
        <v>-77</v>
      </c>
      <c r="C4880" s="13" t="s">
        <v>1103</v>
      </c>
      <c r="D4880" s="36">
        <v>9603.25</v>
      </c>
      <c r="E4880" s="43" t="s">
        <v>3596</v>
      </c>
    </row>
    <row r="4881" spans="1:5" x14ac:dyDescent="0.35">
      <c r="A4881" s="40">
        <v>43830</v>
      </c>
      <c r="B4881" s="38">
        <v>-550</v>
      </c>
      <c r="C4881" s="13" t="s">
        <v>1216</v>
      </c>
      <c r="D4881" s="36">
        <v>8729.67</v>
      </c>
      <c r="E4881" s="43" t="s">
        <v>3596</v>
      </c>
    </row>
    <row r="4882" spans="1:5" x14ac:dyDescent="0.35">
      <c r="A4882" s="40">
        <v>43830</v>
      </c>
      <c r="B4882" s="38">
        <v>-51</v>
      </c>
      <c r="C4882" s="13" t="s">
        <v>0</v>
      </c>
      <c r="D4882" s="36">
        <v>8678.67</v>
      </c>
      <c r="E4882" s="43" t="s">
        <v>3596</v>
      </c>
    </row>
    <row r="4883" spans="1:5" x14ac:dyDescent="0.35">
      <c r="A4883" s="40">
        <v>43829</v>
      </c>
      <c r="B4883" s="38">
        <v>-56</v>
      </c>
      <c r="C4883" s="13" t="s">
        <v>1105</v>
      </c>
      <c r="D4883" s="36">
        <v>9829.25</v>
      </c>
      <c r="E4883" s="43" t="s">
        <v>3596</v>
      </c>
    </row>
    <row r="4884" spans="1:5" x14ac:dyDescent="0.35">
      <c r="A4884" s="40">
        <v>43829</v>
      </c>
      <c r="B4884" s="38">
        <v>-89</v>
      </c>
      <c r="C4884" s="13" t="s">
        <v>1104</v>
      </c>
      <c r="D4884" s="36">
        <v>9740.25</v>
      </c>
      <c r="E4884" s="43" t="s">
        <v>3596</v>
      </c>
    </row>
    <row r="4885" spans="1:5" x14ac:dyDescent="0.35">
      <c r="A4885" s="40">
        <v>43829</v>
      </c>
      <c r="B4885" s="38">
        <v>-15.61</v>
      </c>
      <c r="C4885" s="13" t="s">
        <v>837</v>
      </c>
      <c r="D4885" s="36">
        <v>9929.1</v>
      </c>
      <c r="E4885" s="43" t="s">
        <v>3596</v>
      </c>
    </row>
    <row r="4886" spans="1:5" x14ac:dyDescent="0.35">
      <c r="A4886" s="40">
        <v>43829</v>
      </c>
      <c r="B4886" s="38">
        <v>-43.85</v>
      </c>
      <c r="C4886" s="13" t="s">
        <v>1011</v>
      </c>
      <c r="D4886" s="36">
        <v>9885.25</v>
      </c>
      <c r="E4886" s="43" t="s">
        <v>3596</v>
      </c>
    </row>
    <row r="4887" spans="1:5" x14ac:dyDescent="0.35">
      <c r="A4887" s="40">
        <v>43829</v>
      </c>
      <c r="B4887" s="38">
        <v>-60</v>
      </c>
      <c r="C4887" s="13" t="s">
        <v>1236</v>
      </c>
      <c r="D4887" s="36">
        <v>9680.25</v>
      </c>
      <c r="E4887" s="43" t="s">
        <v>3596</v>
      </c>
    </row>
    <row r="4888" spans="1:5" x14ac:dyDescent="0.35">
      <c r="A4888" s="40">
        <v>43828</v>
      </c>
      <c r="B4888" s="39">
        <v>-20</v>
      </c>
      <c r="C4888" s="14" t="s">
        <v>1706</v>
      </c>
      <c r="D4888" s="37">
        <v>9947.51</v>
      </c>
      <c r="E4888" s="44" t="s">
        <v>3596</v>
      </c>
    </row>
    <row r="4889" spans="1:5" x14ac:dyDescent="0.35">
      <c r="A4889" s="40">
        <v>43828</v>
      </c>
      <c r="B4889" s="38">
        <v>-2.8</v>
      </c>
      <c r="C4889" s="13" t="s">
        <v>24</v>
      </c>
      <c r="D4889" s="36">
        <v>9944.7099999999991</v>
      </c>
      <c r="E4889" s="43" t="s">
        <v>3596</v>
      </c>
    </row>
    <row r="4890" spans="1:5" x14ac:dyDescent="0.35">
      <c r="A4890" s="40">
        <v>43827</v>
      </c>
      <c r="B4890" s="38">
        <v>-2.99</v>
      </c>
      <c r="C4890" s="13" t="s">
        <v>1108</v>
      </c>
      <c r="D4890" s="36">
        <v>10090.15</v>
      </c>
      <c r="E4890" s="43" t="s">
        <v>3596</v>
      </c>
    </row>
    <row r="4891" spans="1:5" x14ac:dyDescent="0.35">
      <c r="A4891" s="40">
        <v>43827</v>
      </c>
      <c r="B4891" s="38">
        <v>-9.99</v>
      </c>
      <c r="C4891" s="13" t="s">
        <v>1109</v>
      </c>
      <c r="D4891" s="36">
        <v>10093.14</v>
      </c>
      <c r="E4891" s="43" t="s">
        <v>3596</v>
      </c>
    </row>
    <row r="4892" spans="1:5" x14ac:dyDescent="0.35">
      <c r="A4892" s="40">
        <v>43827</v>
      </c>
      <c r="B4892" s="38">
        <v>-15.64</v>
      </c>
      <c r="C4892" s="13" t="s">
        <v>1107</v>
      </c>
      <c r="D4892" s="36">
        <v>10074.51</v>
      </c>
      <c r="E4892" s="43" t="s">
        <v>3596</v>
      </c>
    </row>
    <row r="4893" spans="1:5" x14ac:dyDescent="0.35">
      <c r="A4893" s="40">
        <v>43827</v>
      </c>
      <c r="B4893" s="38">
        <v>-18.579999999999998</v>
      </c>
      <c r="C4893" s="13" t="s">
        <v>837</v>
      </c>
      <c r="D4893" s="36">
        <v>9995.93</v>
      </c>
      <c r="E4893" s="43" t="s">
        <v>3596</v>
      </c>
    </row>
    <row r="4894" spans="1:5" x14ac:dyDescent="0.35">
      <c r="A4894" s="40">
        <v>43827</v>
      </c>
      <c r="B4894" s="38">
        <v>-100</v>
      </c>
      <c r="C4894" s="13" t="s">
        <v>946</v>
      </c>
      <c r="D4894" s="36">
        <v>10103.129999999999</v>
      </c>
      <c r="E4894" s="43" t="s">
        <v>3596</v>
      </c>
    </row>
    <row r="4895" spans="1:5" x14ac:dyDescent="0.35">
      <c r="A4895" s="40">
        <v>43827</v>
      </c>
      <c r="B4895" s="38">
        <v>-28.42</v>
      </c>
      <c r="C4895" s="13" t="s">
        <v>773</v>
      </c>
      <c r="D4895" s="36">
        <v>9967.51</v>
      </c>
      <c r="E4895" s="43" t="s">
        <v>3596</v>
      </c>
    </row>
    <row r="4896" spans="1:5" x14ac:dyDescent="0.35">
      <c r="A4896" s="40">
        <v>43827</v>
      </c>
      <c r="B4896" s="38">
        <v>-25</v>
      </c>
      <c r="C4896" s="13" t="s">
        <v>1106</v>
      </c>
      <c r="D4896" s="36">
        <v>10014.51</v>
      </c>
      <c r="E4896" s="43" t="s">
        <v>3596</v>
      </c>
    </row>
    <row r="4897" spans="1:5" x14ac:dyDescent="0.35">
      <c r="A4897" s="40">
        <v>43827</v>
      </c>
      <c r="B4897" s="38">
        <v>-35</v>
      </c>
      <c r="C4897" s="13" t="s">
        <v>1106</v>
      </c>
      <c r="D4897" s="36">
        <v>10039.51</v>
      </c>
      <c r="E4897" s="43" t="s">
        <v>3596</v>
      </c>
    </row>
    <row r="4898" spans="1:5" x14ac:dyDescent="0.35">
      <c r="A4898" s="40">
        <v>43826</v>
      </c>
      <c r="B4898" s="38">
        <v>-12.5</v>
      </c>
      <c r="C4898" s="13" t="s">
        <v>1110</v>
      </c>
      <c r="D4898" s="36">
        <v>10203.129999999999</v>
      </c>
      <c r="E4898" s="43" t="s">
        <v>3596</v>
      </c>
    </row>
    <row r="4899" spans="1:5" x14ac:dyDescent="0.35">
      <c r="A4899" s="40">
        <v>43825</v>
      </c>
      <c r="B4899" s="38">
        <v>-500</v>
      </c>
      <c r="C4899" s="13" t="s">
        <v>945</v>
      </c>
      <c r="D4899" s="36">
        <v>10315.629999999999</v>
      </c>
      <c r="E4899" s="43" t="s">
        <v>3596</v>
      </c>
    </row>
    <row r="4900" spans="1:5" x14ac:dyDescent="0.35">
      <c r="A4900" s="40">
        <v>43825</v>
      </c>
      <c r="B4900" s="38">
        <v>-100</v>
      </c>
      <c r="C4900" s="13" t="s">
        <v>1216</v>
      </c>
      <c r="D4900" s="36">
        <v>10215.629999999999</v>
      </c>
      <c r="E4900" s="43" t="s">
        <v>3596</v>
      </c>
    </row>
    <row r="4901" spans="1:5" x14ac:dyDescent="0.35">
      <c r="A4901" s="40">
        <v>43824</v>
      </c>
      <c r="B4901" s="38">
        <v>-92.49</v>
      </c>
      <c r="C4901" s="13" t="s">
        <v>1112</v>
      </c>
      <c r="D4901" s="36">
        <v>10822.63</v>
      </c>
      <c r="E4901" s="43" t="s">
        <v>3596</v>
      </c>
    </row>
    <row r="4902" spans="1:5" x14ac:dyDescent="0.35">
      <c r="A4902" s="40">
        <v>43824</v>
      </c>
      <c r="B4902" s="38">
        <v>-44.24</v>
      </c>
      <c r="C4902" s="13" t="s">
        <v>1114</v>
      </c>
      <c r="D4902" s="36">
        <v>11010.61</v>
      </c>
      <c r="E4902" s="43" t="s">
        <v>3596</v>
      </c>
    </row>
    <row r="4903" spans="1:5" x14ac:dyDescent="0.35">
      <c r="A4903" s="40">
        <v>43824</v>
      </c>
      <c r="B4903" s="38">
        <v>-20.16</v>
      </c>
      <c r="C4903" s="13" t="s">
        <v>1115</v>
      </c>
      <c r="D4903" s="36">
        <v>11054.85</v>
      </c>
      <c r="E4903" s="43" t="s">
        <v>3596</v>
      </c>
    </row>
    <row r="4904" spans="1:5" x14ac:dyDescent="0.35">
      <c r="A4904" s="40">
        <v>43824</v>
      </c>
      <c r="B4904" s="38">
        <v>-10</v>
      </c>
      <c r="C4904" s="13" t="s">
        <v>1115</v>
      </c>
      <c r="D4904" s="36">
        <v>11075.01</v>
      </c>
      <c r="E4904" s="43" t="s">
        <v>3596</v>
      </c>
    </row>
    <row r="4905" spans="1:5" x14ac:dyDescent="0.35">
      <c r="A4905" s="40">
        <v>43824</v>
      </c>
      <c r="B4905" s="38">
        <v>-95.49</v>
      </c>
      <c r="C4905" s="13" t="s">
        <v>1113</v>
      </c>
      <c r="D4905" s="36">
        <v>10915.12</v>
      </c>
      <c r="E4905" s="43" t="s">
        <v>3596</v>
      </c>
    </row>
    <row r="4906" spans="1:5" x14ac:dyDescent="0.35">
      <c r="A4906" s="40">
        <v>43824</v>
      </c>
      <c r="B4906" s="38">
        <v>-7</v>
      </c>
      <c r="C4906" s="13" t="s">
        <v>1111</v>
      </c>
      <c r="D4906" s="36">
        <v>10815.63</v>
      </c>
      <c r="E4906" s="43" t="s">
        <v>3596</v>
      </c>
    </row>
    <row r="4907" spans="1:5" x14ac:dyDescent="0.35">
      <c r="A4907" s="40">
        <v>43823</v>
      </c>
      <c r="B4907" s="38">
        <v>-15.93</v>
      </c>
      <c r="C4907" s="13" t="s">
        <v>1115</v>
      </c>
      <c r="D4907" s="36">
        <v>11020.01</v>
      </c>
      <c r="E4907" s="43" t="s">
        <v>3596</v>
      </c>
    </row>
    <row r="4908" spans="1:5" x14ac:dyDescent="0.35">
      <c r="A4908" s="40">
        <v>43823</v>
      </c>
      <c r="B4908" s="38">
        <v>-10.5</v>
      </c>
      <c r="C4908" s="13" t="s">
        <v>1116</v>
      </c>
      <c r="D4908" s="36">
        <v>10985.01</v>
      </c>
      <c r="E4908" s="43" t="s">
        <v>3596</v>
      </c>
    </row>
    <row r="4909" spans="1:5" x14ac:dyDescent="0.35">
      <c r="A4909" s="40">
        <v>43823</v>
      </c>
      <c r="B4909" s="38">
        <v>2053.4899999999998</v>
      </c>
      <c r="C4909" s="13" t="s">
        <v>1118</v>
      </c>
      <c r="D4909" s="36">
        <v>11035.94</v>
      </c>
      <c r="E4909" s="43" t="s">
        <v>3596</v>
      </c>
    </row>
    <row r="4910" spans="1:5" x14ac:dyDescent="0.35">
      <c r="A4910" s="40">
        <v>43823</v>
      </c>
      <c r="B4910" s="38">
        <v>115</v>
      </c>
      <c r="C4910" s="13" t="s">
        <v>1245</v>
      </c>
      <c r="D4910" s="36">
        <v>11100.01</v>
      </c>
      <c r="E4910" s="43" t="s">
        <v>3596</v>
      </c>
    </row>
    <row r="4911" spans="1:5" x14ac:dyDescent="0.35">
      <c r="A4911" s="40">
        <v>43823</v>
      </c>
      <c r="B4911" s="38">
        <v>-15</v>
      </c>
      <c r="C4911" s="13" t="s">
        <v>312</v>
      </c>
      <c r="D4911" s="36">
        <v>11085.01</v>
      </c>
      <c r="E4911" s="43" t="s">
        <v>3596</v>
      </c>
    </row>
    <row r="4912" spans="1:5" x14ac:dyDescent="0.35">
      <c r="A4912" s="40">
        <v>43823</v>
      </c>
      <c r="B4912" s="38">
        <v>-15.5</v>
      </c>
      <c r="C4912" s="13" t="s">
        <v>1117</v>
      </c>
      <c r="D4912" s="36">
        <v>10995.51</v>
      </c>
      <c r="E4912" s="43" t="s">
        <v>3596</v>
      </c>
    </row>
    <row r="4913" spans="1:5" x14ac:dyDescent="0.35">
      <c r="A4913" s="40">
        <v>43823</v>
      </c>
      <c r="B4913" s="38">
        <v>-9</v>
      </c>
      <c r="C4913" s="13" t="s">
        <v>1117</v>
      </c>
      <c r="D4913" s="36">
        <v>11011.01</v>
      </c>
      <c r="E4913" s="43" t="s">
        <v>3596</v>
      </c>
    </row>
    <row r="4914" spans="1:5" x14ac:dyDescent="0.35">
      <c r="A4914" s="40">
        <v>43822</v>
      </c>
      <c r="B4914" s="38">
        <v>-0.59</v>
      </c>
      <c r="C4914" s="13" t="s">
        <v>4</v>
      </c>
      <c r="D4914" s="36">
        <v>9012.4500000000007</v>
      </c>
      <c r="E4914" s="43" t="s">
        <v>3596</v>
      </c>
    </row>
    <row r="4915" spans="1:5" x14ac:dyDescent="0.35">
      <c r="A4915" s="40">
        <v>43822</v>
      </c>
      <c r="B4915" s="38">
        <v>-20</v>
      </c>
      <c r="C4915" s="13" t="s">
        <v>951</v>
      </c>
      <c r="D4915" s="36">
        <v>8982.4500000000007</v>
      </c>
      <c r="E4915" s="43" t="s">
        <v>3596</v>
      </c>
    </row>
    <row r="4916" spans="1:5" x14ac:dyDescent="0.35">
      <c r="A4916" s="40">
        <v>43822</v>
      </c>
      <c r="B4916" s="38">
        <v>-10</v>
      </c>
      <c r="C4916" s="13" t="s">
        <v>881</v>
      </c>
      <c r="D4916" s="36">
        <v>9002.4500000000007</v>
      </c>
      <c r="E4916" s="43" t="s">
        <v>3596</v>
      </c>
    </row>
    <row r="4917" spans="1:5" x14ac:dyDescent="0.35">
      <c r="A4917" s="40">
        <v>43821</v>
      </c>
      <c r="B4917" s="38">
        <v>18.5</v>
      </c>
      <c r="C4917" s="13" t="s">
        <v>1243</v>
      </c>
      <c r="D4917" s="36">
        <v>9013.0400000000009</v>
      </c>
      <c r="E4917" s="43" t="s">
        <v>3596</v>
      </c>
    </row>
    <row r="4918" spans="1:5" x14ac:dyDescent="0.35">
      <c r="A4918" s="40">
        <v>43821</v>
      </c>
      <c r="B4918" s="38">
        <v>20.5</v>
      </c>
      <c r="C4918" s="13" t="s">
        <v>1239</v>
      </c>
      <c r="D4918" s="36">
        <v>8994.5400000000009</v>
      </c>
      <c r="E4918" s="43" t="s">
        <v>3596</v>
      </c>
    </row>
    <row r="4919" spans="1:5" x14ac:dyDescent="0.35">
      <c r="A4919" s="40">
        <v>43820</v>
      </c>
      <c r="B4919" s="38">
        <v>-79.989999999999995</v>
      </c>
      <c r="C4919" s="13" t="s">
        <v>1119</v>
      </c>
      <c r="D4919" s="36">
        <v>8974.0400000000009</v>
      </c>
      <c r="E4919" s="43" t="s">
        <v>3596</v>
      </c>
    </row>
    <row r="4920" spans="1:5" x14ac:dyDescent="0.35">
      <c r="A4920" s="40">
        <v>43820</v>
      </c>
      <c r="B4920" s="38">
        <v>-100</v>
      </c>
      <c r="C4920" s="13" t="s">
        <v>946</v>
      </c>
      <c r="D4920" s="36">
        <v>9104.02</v>
      </c>
      <c r="E4920" s="43" t="s">
        <v>3596</v>
      </c>
    </row>
    <row r="4921" spans="1:5" x14ac:dyDescent="0.35">
      <c r="A4921" s="40">
        <v>43820</v>
      </c>
      <c r="B4921" s="38">
        <v>-49.99</v>
      </c>
      <c r="C4921" s="13" t="s">
        <v>1120</v>
      </c>
      <c r="D4921" s="36">
        <v>9054.0300000000007</v>
      </c>
      <c r="E4921" s="43" t="s">
        <v>3596</v>
      </c>
    </row>
    <row r="4922" spans="1:5" x14ac:dyDescent="0.35">
      <c r="A4922" s="40">
        <v>43820</v>
      </c>
      <c r="B4922" s="38">
        <v>-7</v>
      </c>
      <c r="C4922" s="13" t="s">
        <v>1219</v>
      </c>
      <c r="D4922" s="36">
        <v>9204.02</v>
      </c>
      <c r="E4922" s="43" t="s">
        <v>3596</v>
      </c>
    </row>
    <row r="4923" spans="1:5" x14ac:dyDescent="0.35">
      <c r="A4923" s="40">
        <v>43819</v>
      </c>
      <c r="B4923" s="38">
        <v>-3</v>
      </c>
      <c r="C4923" s="13" t="s">
        <v>4</v>
      </c>
      <c r="D4923" s="36">
        <v>9211.02</v>
      </c>
      <c r="E4923" s="43" t="s">
        <v>3596</v>
      </c>
    </row>
    <row r="4924" spans="1:5" x14ac:dyDescent="0.35">
      <c r="A4924" s="40">
        <v>43818</v>
      </c>
      <c r="B4924" s="38">
        <v>-16.350000000000001</v>
      </c>
      <c r="C4924" s="13" t="s">
        <v>1121</v>
      </c>
      <c r="D4924" s="36">
        <v>9214.02</v>
      </c>
      <c r="E4924" s="43" t="s">
        <v>3596</v>
      </c>
    </row>
    <row r="4925" spans="1:5" x14ac:dyDescent="0.35">
      <c r="A4925" s="40">
        <v>43818</v>
      </c>
      <c r="B4925" s="38">
        <v>-29.99</v>
      </c>
      <c r="C4925" s="13" t="s">
        <v>1123</v>
      </c>
      <c r="D4925" s="36">
        <v>9244.42</v>
      </c>
      <c r="E4925" s="43" t="s">
        <v>3596</v>
      </c>
    </row>
    <row r="4926" spans="1:5" x14ac:dyDescent="0.35">
      <c r="A4926" s="40">
        <v>43818</v>
      </c>
      <c r="B4926" s="38">
        <v>-14.05</v>
      </c>
      <c r="C4926" s="13" t="s">
        <v>1122</v>
      </c>
      <c r="D4926" s="36">
        <v>9230.3700000000008</v>
      </c>
      <c r="E4926" s="43" t="s">
        <v>3596</v>
      </c>
    </row>
    <row r="4927" spans="1:5" x14ac:dyDescent="0.35">
      <c r="A4927" s="40">
        <v>43818</v>
      </c>
      <c r="B4927" s="38">
        <v>-39</v>
      </c>
      <c r="C4927" s="13" t="s">
        <v>1124</v>
      </c>
      <c r="D4927" s="36">
        <v>9274.41</v>
      </c>
      <c r="E4927" s="43" t="s">
        <v>3596</v>
      </c>
    </row>
    <row r="4928" spans="1:5" x14ac:dyDescent="0.35">
      <c r="A4928" s="40">
        <v>43817</v>
      </c>
      <c r="B4928" s="38">
        <v>-3</v>
      </c>
      <c r="C4928" s="13" t="s">
        <v>4</v>
      </c>
      <c r="D4928" s="36">
        <v>9338.8700000000008</v>
      </c>
      <c r="E4928" s="43" t="s">
        <v>3596</v>
      </c>
    </row>
    <row r="4929" spans="1:5" x14ac:dyDescent="0.35">
      <c r="A4929" s="40">
        <v>43817</v>
      </c>
      <c r="B4929" s="38">
        <v>-29.54</v>
      </c>
      <c r="C4929" s="13" t="s">
        <v>1126</v>
      </c>
      <c r="D4929" s="36">
        <v>9352.7900000000009</v>
      </c>
      <c r="E4929" s="43" t="s">
        <v>3596</v>
      </c>
    </row>
    <row r="4930" spans="1:5" x14ac:dyDescent="0.35">
      <c r="A4930" s="40">
        <v>43817</v>
      </c>
      <c r="B4930" s="38">
        <v>-40</v>
      </c>
      <c r="C4930" s="13" t="s">
        <v>1127</v>
      </c>
      <c r="D4930" s="36">
        <v>9382.33</v>
      </c>
      <c r="E4930" s="43" t="s">
        <v>3596</v>
      </c>
    </row>
    <row r="4931" spans="1:5" x14ac:dyDescent="0.35">
      <c r="A4931" s="40">
        <v>43817</v>
      </c>
      <c r="B4931" s="38">
        <v>-10.92</v>
      </c>
      <c r="C4931" s="13" t="s">
        <v>1125</v>
      </c>
      <c r="D4931" s="36">
        <v>9341.8700000000008</v>
      </c>
      <c r="E4931" s="43" t="s">
        <v>3596</v>
      </c>
    </row>
    <row r="4932" spans="1:5" x14ac:dyDescent="0.35">
      <c r="A4932" s="40">
        <v>43817</v>
      </c>
      <c r="B4932" s="39">
        <v>-25.46</v>
      </c>
      <c r="C4932" s="14" t="s">
        <v>773</v>
      </c>
      <c r="D4932" s="37">
        <v>9313.41</v>
      </c>
      <c r="E4932" s="44" t="s">
        <v>3596</v>
      </c>
    </row>
    <row r="4933" spans="1:5" x14ac:dyDescent="0.35">
      <c r="A4933" s="40">
        <v>43816</v>
      </c>
      <c r="B4933" s="38">
        <v>-7.8</v>
      </c>
      <c r="C4933" s="13" t="s">
        <v>4</v>
      </c>
      <c r="D4933" s="36">
        <v>9717.25</v>
      </c>
      <c r="E4933" s="43" t="s">
        <v>3596</v>
      </c>
    </row>
    <row r="4934" spans="1:5" x14ac:dyDescent="0.35">
      <c r="A4934" s="40">
        <v>43816</v>
      </c>
      <c r="B4934" s="38">
        <v>-52.99</v>
      </c>
      <c r="C4934" s="13" t="s">
        <v>1129</v>
      </c>
      <c r="D4934" s="36">
        <v>9704.84</v>
      </c>
      <c r="E4934" s="43" t="s">
        <v>3596</v>
      </c>
    </row>
    <row r="4935" spans="1:5" x14ac:dyDescent="0.35">
      <c r="A4935" s="40">
        <v>43816</v>
      </c>
      <c r="B4935" s="38">
        <v>-179.79</v>
      </c>
      <c r="C4935" s="13" t="s">
        <v>1128</v>
      </c>
      <c r="D4935" s="36">
        <v>9525.0499999999993</v>
      </c>
      <c r="E4935" s="43" t="s">
        <v>3596</v>
      </c>
    </row>
    <row r="4936" spans="1:5" x14ac:dyDescent="0.35">
      <c r="A4936" s="40">
        <v>43816</v>
      </c>
      <c r="B4936" s="38">
        <v>-31</v>
      </c>
      <c r="C4936" s="13" t="s">
        <v>1018</v>
      </c>
      <c r="D4936" s="36">
        <v>9686.25</v>
      </c>
      <c r="E4936" s="43" t="s">
        <v>3596</v>
      </c>
    </row>
    <row r="4937" spans="1:5" x14ac:dyDescent="0.35">
      <c r="A4937" s="40">
        <v>43816</v>
      </c>
      <c r="B4937" s="38">
        <v>-250</v>
      </c>
      <c r="C4937" s="13" t="s">
        <v>947</v>
      </c>
      <c r="D4937" s="36">
        <v>9422.33</v>
      </c>
      <c r="E4937" s="43" t="s">
        <v>3596</v>
      </c>
    </row>
    <row r="4938" spans="1:5" x14ac:dyDescent="0.35">
      <c r="A4938" s="40">
        <v>43816</v>
      </c>
      <c r="B4938" s="38">
        <v>-13.92</v>
      </c>
      <c r="C4938" s="13" t="s">
        <v>1</v>
      </c>
      <c r="D4938" s="36">
        <v>9672.33</v>
      </c>
      <c r="E4938" s="43" t="s">
        <v>3596</v>
      </c>
    </row>
    <row r="4939" spans="1:5" x14ac:dyDescent="0.35">
      <c r="A4939" s="40">
        <v>43816</v>
      </c>
      <c r="B4939" s="38">
        <v>200</v>
      </c>
      <c r="C4939" s="13" t="s">
        <v>1681</v>
      </c>
      <c r="D4939" s="36">
        <v>9725.0499999999993</v>
      </c>
      <c r="E4939" s="43" t="s">
        <v>3596</v>
      </c>
    </row>
    <row r="4940" spans="1:5" x14ac:dyDescent="0.35">
      <c r="A4940" s="40">
        <v>43815</v>
      </c>
      <c r="B4940" s="38">
        <v>-200</v>
      </c>
      <c r="C4940" s="13" t="s">
        <v>947</v>
      </c>
      <c r="D4940" s="36">
        <v>9797.41</v>
      </c>
      <c r="E4940" s="43" t="s">
        <v>3596</v>
      </c>
    </row>
    <row r="4941" spans="1:5" x14ac:dyDescent="0.35">
      <c r="A4941" s="40">
        <v>43815</v>
      </c>
      <c r="B4941" s="38">
        <v>-11.68</v>
      </c>
      <c r="C4941" s="13" t="s">
        <v>1</v>
      </c>
      <c r="D4941" s="36">
        <v>9767.73</v>
      </c>
      <c r="E4941" s="43" t="s">
        <v>3596</v>
      </c>
    </row>
    <row r="4942" spans="1:5" x14ac:dyDescent="0.35">
      <c r="A4942" s="40">
        <v>43815</v>
      </c>
      <c r="B4942" s="38">
        <v>-9.9</v>
      </c>
      <c r="C4942" s="13" t="s">
        <v>773</v>
      </c>
      <c r="D4942" s="36">
        <v>9757.83</v>
      </c>
      <c r="E4942" s="43" t="s">
        <v>3596</v>
      </c>
    </row>
    <row r="4943" spans="1:5" x14ac:dyDescent="0.35">
      <c r="A4943" s="40">
        <v>43815</v>
      </c>
      <c r="B4943" s="38">
        <v>-4</v>
      </c>
      <c r="C4943" s="13" t="s">
        <v>11</v>
      </c>
      <c r="D4943" s="36">
        <v>9779.41</v>
      </c>
      <c r="E4943" s="43" t="s">
        <v>3596</v>
      </c>
    </row>
    <row r="4944" spans="1:5" x14ac:dyDescent="0.35">
      <c r="A4944" s="40">
        <v>43815</v>
      </c>
      <c r="B4944" s="38">
        <v>-14</v>
      </c>
      <c r="C4944" s="13" t="s">
        <v>171</v>
      </c>
      <c r="D4944" s="36">
        <v>9783.41</v>
      </c>
      <c r="E4944" s="43" t="s">
        <v>3596</v>
      </c>
    </row>
    <row r="4945" spans="1:5" x14ac:dyDescent="0.35">
      <c r="A4945" s="40">
        <v>43814</v>
      </c>
      <c r="B4945" s="38">
        <v>-12</v>
      </c>
      <c r="C4945" s="13" t="s">
        <v>951</v>
      </c>
      <c r="D4945" s="36">
        <v>9997.41</v>
      </c>
      <c r="E4945" s="43" t="s">
        <v>3596</v>
      </c>
    </row>
    <row r="4946" spans="1:5" x14ac:dyDescent="0.35">
      <c r="A4946" s="40">
        <v>43813</v>
      </c>
      <c r="B4946" s="38">
        <v>-24</v>
      </c>
      <c r="C4946" s="13" t="s">
        <v>1130</v>
      </c>
      <c r="D4946" s="36">
        <v>10009.41</v>
      </c>
      <c r="E4946" s="43" t="s">
        <v>3596</v>
      </c>
    </row>
    <row r="4947" spans="1:5" x14ac:dyDescent="0.35">
      <c r="A4947" s="40">
        <v>43813</v>
      </c>
      <c r="B4947" s="38">
        <v>-9</v>
      </c>
      <c r="C4947" s="13" t="s">
        <v>1131</v>
      </c>
      <c r="D4947" s="36">
        <v>10033.41</v>
      </c>
      <c r="E4947" s="43" t="s">
        <v>3596</v>
      </c>
    </row>
    <row r="4948" spans="1:5" x14ac:dyDescent="0.35">
      <c r="A4948" s="40">
        <v>43813</v>
      </c>
      <c r="B4948" s="38">
        <v>-100</v>
      </c>
      <c r="C4948" s="13" t="s">
        <v>946</v>
      </c>
      <c r="D4948" s="36">
        <v>10042.41</v>
      </c>
      <c r="E4948" s="43" t="s">
        <v>3596</v>
      </c>
    </row>
    <row r="4949" spans="1:5" x14ac:dyDescent="0.35">
      <c r="A4949" s="40">
        <v>43812</v>
      </c>
      <c r="B4949" s="38">
        <v>-1.01</v>
      </c>
      <c r="C4949" s="13" t="s">
        <v>4</v>
      </c>
      <c r="D4949" s="36">
        <v>10150.41</v>
      </c>
      <c r="E4949" s="43" t="s">
        <v>3596</v>
      </c>
    </row>
    <row r="4950" spans="1:5" x14ac:dyDescent="0.35">
      <c r="A4950" s="40">
        <v>43812</v>
      </c>
      <c r="B4950" s="39">
        <v>-8</v>
      </c>
      <c r="C4950" s="14" t="s">
        <v>171</v>
      </c>
      <c r="D4950" s="37">
        <v>10142.41</v>
      </c>
      <c r="E4950" s="44" t="s">
        <v>3596</v>
      </c>
    </row>
    <row r="4951" spans="1:5" x14ac:dyDescent="0.35">
      <c r="A4951" s="40">
        <v>43811</v>
      </c>
      <c r="B4951" s="38">
        <v>-4.8099999999999996</v>
      </c>
      <c r="C4951" s="13" t="s">
        <v>4</v>
      </c>
      <c r="D4951" s="36">
        <v>10254.92</v>
      </c>
      <c r="E4951" s="43" t="s">
        <v>3596</v>
      </c>
    </row>
    <row r="4952" spans="1:5" x14ac:dyDescent="0.35">
      <c r="A4952" s="40">
        <v>43811</v>
      </c>
      <c r="B4952" s="38">
        <v>-38.29</v>
      </c>
      <c r="C4952" s="13" t="s">
        <v>1132</v>
      </c>
      <c r="D4952" s="36">
        <v>10259.73</v>
      </c>
      <c r="E4952" s="43" t="s">
        <v>3596</v>
      </c>
    </row>
    <row r="4953" spans="1:5" x14ac:dyDescent="0.35">
      <c r="A4953" s="40">
        <v>43811</v>
      </c>
      <c r="B4953" s="38">
        <v>-40</v>
      </c>
      <c r="C4953" s="13" t="s">
        <v>1134</v>
      </c>
      <c r="D4953" s="36">
        <v>10312.82</v>
      </c>
      <c r="E4953" s="43" t="s">
        <v>3596</v>
      </c>
    </row>
    <row r="4954" spans="1:5" x14ac:dyDescent="0.35">
      <c r="A4954" s="40">
        <v>43811</v>
      </c>
      <c r="B4954" s="38">
        <v>-14.8</v>
      </c>
      <c r="C4954" s="13" t="s">
        <v>1133</v>
      </c>
      <c r="D4954" s="36">
        <v>10298.02</v>
      </c>
      <c r="E4954" s="43" t="s">
        <v>3596</v>
      </c>
    </row>
    <row r="4955" spans="1:5" x14ac:dyDescent="0.35">
      <c r="A4955" s="40">
        <v>43811</v>
      </c>
      <c r="B4955" s="38">
        <v>2053.4899999999998</v>
      </c>
      <c r="C4955" s="13" t="s">
        <v>1135</v>
      </c>
      <c r="D4955" s="36">
        <v>10852.82</v>
      </c>
      <c r="E4955" s="43" t="s">
        <v>3596</v>
      </c>
    </row>
    <row r="4956" spans="1:5" x14ac:dyDescent="0.35">
      <c r="A4956" s="40">
        <v>43811</v>
      </c>
      <c r="B4956" s="38">
        <v>-500</v>
      </c>
      <c r="C4956" s="13" t="s">
        <v>945</v>
      </c>
      <c r="D4956" s="36">
        <v>10352.82</v>
      </c>
      <c r="E4956" s="43" t="s">
        <v>3596</v>
      </c>
    </row>
    <row r="4957" spans="1:5" x14ac:dyDescent="0.35">
      <c r="A4957" s="40">
        <v>43811</v>
      </c>
      <c r="B4957" s="38">
        <v>-73.5</v>
      </c>
      <c r="C4957" s="13" t="s">
        <v>37</v>
      </c>
      <c r="D4957" s="36">
        <v>10151.42</v>
      </c>
      <c r="E4957" s="43" t="s">
        <v>3596</v>
      </c>
    </row>
    <row r="4958" spans="1:5" x14ac:dyDescent="0.35">
      <c r="A4958" s="40">
        <v>43811</v>
      </c>
      <c r="B4958" s="38">
        <v>-30</v>
      </c>
      <c r="C4958" s="13" t="s">
        <v>1235</v>
      </c>
      <c r="D4958" s="36">
        <v>10224.92</v>
      </c>
      <c r="E4958" s="43" t="s">
        <v>3596</v>
      </c>
    </row>
    <row r="4959" spans="1:5" x14ac:dyDescent="0.35">
      <c r="A4959" s="40">
        <v>43810</v>
      </c>
      <c r="B4959" s="38">
        <v>-1.9</v>
      </c>
      <c r="C4959" s="13" t="s">
        <v>4</v>
      </c>
      <c r="D4959" s="36">
        <v>8950.9</v>
      </c>
      <c r="E4959" s="43" t="s">
        <v>3596</v>
      </c>
    </row>
    <row r="4960" spans="1:5" x14ac:dyDescent="0.35">
      <c r="A4960" s="40">
        <v>43810</v>
      </c>
      <c r="B4960" s="38">
        <v>-21.49</v>
      </c>
      <c r="C4960" s="13" t="s">
        <v>1137</v>
      </c>
      <c r="D4960" s="36">
        <v>8977.7999999999993</v>
      </c>
      <c r="E4960" s="43" t="s">
        <v>3596</v>
      </c>
    </row>
    <row r="4961" spans="1:5" x14ac:dyDescent="0.35">
      <c r="A4961" s="40">
        <v>43810</v>
      </c>
      <c r="B4961" s="38">
        <v>-100</v>
      </c>
      <c r="C4961" s="13" t="s">
        <v>1667</v>
      </c>
      <c r="D4961" s="36">
        <v>8799.33</v>
      </c>
      <c r="E4961" s="43" t="s">
        <v>3596</v>
      </c>
    </row>
    <row r="4962" spans="1:5" x14ac:dyDescent="0.35">
      <c r="A4962" s="40">
        <v>43810</v>
      </c>
      <c r="B4962" s="38">
        <v>20.5</v>
      </c>
      <c r="C4962" s="13" t="s">
        <v>1243</v>
      </c>
      <c r="D4962" s="36">
        <v>8901.4</v>
      </c>
      <c r="E4962" s="43" t="s">
        <v>3596</v>
      </c>
    </row>
    <row r="4963" spans="1:5" x14ac:dyDescent="0.35">
      <c r="A4963" s="40">
        <v>43810</v>
      </c>
      <c r="B4963" s="38">
        <v>59.93</v>
      </c>
      <c r="C4963" s="13" t="s">
        <v>1238</v>
      </c>
      <c r="D4963" s="36">
        <v>8961.33</v>
      </c>
      <c r="E4963" s="43" t="s">
        <v>3596</v>
      </c>
    </row>
    <row r="4964" spans="1:5" x14ac:dyDescent="0.35">
      <c r="A4964" s="40">
        <v>43810</v>
      </c>
      <c r="B4964" s="38">
        <v>-62</v>
      </c>
      <c r="C4964" s="13" t="s">
        <v>312</v>
      </c>
      <c r="D4964" s="36">
        <v>8899.33</v>
      </c>
      <c r="E4964" s="43" t="s">
        <v>3596</v>
      </c>
    </row>
    <row r="4965" spans="1:5" x14ac:dyDescent="0.35">
      <c r="A4965" s="40">
        <v>43810</v>
      </c>
      <c r="B4965" s="38">
        <v>-55</v>
      </c>
      <c r="C4965" s="13" t="s">
        <v>1668</v>
      </c>
      <c r="D4965" s="36">
        <v>8880.9</v>
      </c>
      <c r="E4965" s="43" t="s">
        <v>3596</v>
      </c>
    </row>
    <row r="4966" spans="1:5" x14ac:dyDescent="0.35">
      <c r="A4966" s="40">
        <v>43810</v>
      </c>
      <c r="B4966" s="38">
        <v>-15</v>
      </c>
      <c r="C4966" s="13" t="s">
        <v>171</v>
      </c>
      <c r="D4966" s="36">
        <v>8935.9</v>
      </c>
      <c r="E4966" s="43" t="s">
        <v>3596</v>
      </c>
    </row>
    <row r="4967" spans="1:5" x14ac:dyDescent="0.35">
      <c r="A4967" s="40">
        <v>43810</v>
      </c>
      <c r="B4967" s="38">
        <v>-25</v>
      </c>
      <c r="C4967" s="13" t="s">
        <v>1136</v>
      </c>
      <c r="D4967" s="36">
        <v>8952.7999999999993</v>
      </c>
      <c r="E4967" s="43" t="s">
        <v>3596</v>
      </c>
    </row>
    <row r="4968" spans="1:5" x14ac:dyDescent="0.35">
      <c r="A4968" s="40">
        <v>43809</v>
      </c>
      <c r="B4968" s="38">
        <v>-1.53</v>
      </c>
      <c r="C4968" s="13" t="s">
        <v>4</v>
      </c>
      <c r="D4968" s="36">
        <v>9059.98</v>
      </c>
      <c r="E4968" s="43" t="s">
        <v>3596</v>
      </c>
    </row>
    <row r="4969" spans="1:5" x14ac:dyDescent="0.35">
      <c r="A4969" s="40">
        <v>43809</v>
      </c>
      <c r="B4969" s="38">
        <v>-401.61</v>
      </c>
      <c r="C4969" s="13" t="s">
        <v>1139</v>
      </c>
      <c r="D4969" s="36">
        <v>9073.56</v>
      </c>
      <c r="E4969" s="43" t="s">
        <v>3596</v>
      </c>
    </row>
    <row r="4970" spans="1:5" x14ac:dyDescent="0.35">
      <c r="A4970" s="40">
        <v>43809</v>
      </c>
      <c r="B4970" s="38">
        <v>-45.89</v>
      </c>
      <c r="C4970" s="13" t="s">
        <v>1140</v>
      </c>
      <c r="D4970" s="36">
        <v>9475.17</v>
      </c>
      <c r="E4970" s="43" t="s">
        <v>3596</v>
      </c>
    </row>
    <row r="4971" spans="1:5" x14ac:dyDescent="0.35">
      <c r="A4971" s="40">
        <v>43809</v>
      </c>
      <c r="B4971" s="38">
        <v>-49.49</v>
      </c>
      <c r="C4971" s="13" t="s">
        <v>1141</v>
      </c>
      <c r="D4971" s="36">
        <v>9521.06</v>
      </c>
      <c r="E4971" s="43" t="s">
        <v>3596</v>
      </c>
    </row>
    <row r="4972" spans="1:5" x14ac:dyDescent="0.35">
      <c r="A4972" s="40">
        <v>43809</v>
      </c>
      <c r="B4972" s="38">
        <v>-12.05</v>
      </c>
      <c r="C4972" s="13" t="s">
        <v>1138</v>
      </c>
      <c r="D4972" s="36">
        <v>9061.51</v>
      </c>
      <c r="E4972" s="43" t="s">
        <v>3596</v>
      </c>
    </row>
    <row r="4973" spans="1:5" x14ac:dyDescent="0.35">
      <c r="A4973" s="40">
        <v>43809</v>
      </c>
      <c r="B4973" s="38">
        <v>-11.9</v>
      </c>
      <c r="C4973" s="13" t="s">
        <v>837</v>
      </c>
      <c r="D4973" s="36">
        <v>9039.18</v>
      </c>
      <c r="E4973" s="43" t="s">
        <v>3596</v>
      </c>
    </row>
    <row r="4974" spans="1:5" x14ac:dyDescent="0.35">
      <c r="A4974" s="40">
        <v>43809</v>
      </c>
      <c r="B4974" s="38">
        <v>-6.99</v>
      </c>
      <c r="C4974" s="13" t="s">
        <v>773</v>
      </c>
      <c r="D4974" s="36">
        <v>9032.19</v>
      </c>
      <c r="E4974" s="43" t="s">
        <v>3596</v>
      </c>
    </row>
    <row r="4975" spans="1:5" x14ac:dyDescent="0.35">
      <c r="A4975" s="40">
        <v>43809</v>
      </c>
      <c r="B4975" s="38">
        <v>-8.9</v>
      </c>
      <c r="C4975" s="13" t="s">
        <v>11</v>
      </c>
      <c r="D4975" s="36">
        <v>9051.08</v>
      </c>
      <c r="E4975" s="43" t="s">
        <v>3596</v>
      </c>
    </row>
    <row r="4976" spans="1:5" x14ac:dyDescent="0.35">
      <c r="A4976" s="40">
        <v>43809</v>
      </c>
      <c r="B4976" s="38">
        <v>-32.9</v>
      </c>
      <c r="C4976" s="13" t="s">
        <v>766</v>
      </c>
      <c r="D4976" s="36">
        <v>8999.2900000000009</v>
      </c>
      <c r="E4976" s="43" t="s">
        <v>3596</v>
      </c>
    </row>
    <row r="4977" spans="1:5" x14ac:dyDescent="0.35">
      <c r="A4977" s="40">
        <v>43808</v>
      </c>
      <c r="B4977" s="38">
        <v>230</v>
      </c>
      <c r="C4977" s="13" t="s">
        <v>1194</v>
      </c>
      <c r="D4977" s="36">
        <v>9570.5499999999993</v>
      </c>
      <c r="E4977" s="43" t="s">
        <v>3596</v>
      </c>
    </row>
    <row r="4978" spans="1:5" x14ac:dyDescent="0.35">
      <c r="A4978" s="40">
        <v>43806</v>
      </c>
      <c r="B4978" s="38">
        <v>-100</v>
      </c>
      <c r="C4978" s="13" t="s">
        <v>946</v>
      </c>
      <c r="D4978" s="36">
        <v>9320.5499999999993</v>
      </c>
      <c r="E4978" s="43" t="s">
        <v>3596</v>
      </c>
    </row>
    <row r="4979" spans="1:5" x14ac:dyDescent="0.35">
      <c r="A4979" s="40">
        <v>43806</v>
      </c>
      <c r="B4979" s="38">
        <v>20</v>
      </c>
      <c r="C4979" s="13" t="s">
        <v>1239</v>
      </c>
      <c r="D4979" s="36">
        <v>9340.5499999999993</v>
      </c>
      <c r="E4979" s="43" t="s">
        <v>3596</v>
      </c>
    </row>
    <row r="4980" spans="1:5" x14ac:dyDescent="0.35">
      <c r="A4980" s="40">
        <v>43805</v>
      </c>
      <c r="B4980" s="38">
        <v>-0.99</v>
      </c>
      <c r="C4980" s="13" t="s">
        <v>4</v>
      </c>
      <c r="D4980" s="36">
        <v>9400.0499999999993</v>
      </c>
      <c r="E4980" s="43" t="s">
        <v>3596</v>
      </c>
    </row>
    <row r="4981" spans="1:5" x14ac:dyDescent="0.35">
      <c r="A4981" s="40">
        <v>43805</v>
      </c>
      <c r="B4981" s="38">
        <v>-40</v>
      </c>
      <c r="C4981" s="13" t="s">
        <v>1142</v>
      </c>
      <c r="D4981" s="36">
        <v>9401.0400000000009</v>
      </c>
      <c r="E4981" s="43" t="s">
        <v>3596</v>
      </c>
    </row>
    <row r="4982" spans="1:5" x14ac:dyDescent="0.35">
      <c r="A4982" s="40">
        <v>43805</v>
      </c>
      <c r="B4982" s="38">
        <v>20.5</v>
      </c>
      <c r="C4982" s="13" t="s">
        <v>1243</v>
      </c>
      <c r="D4982" s="36">
        <v>9420.5499999999993</v>
      </c>
      <c r="E4982" s="43" t="s">
        <v>3596</v>
      </c>
    </row>
    <row r="4983" spans="1:5" x14ac:dyDescent="0.35">
      <c r="A4983" s="40">
        <v>43804</v>
      </c>
      <c r="B4983" s="38">
        <v>-8.9</v>
      </c>
      <c r="C4983" s="13" t="s">
        <v>11</v>
      </c>
      <c r="D4983" s="36">
        <v>9441.0400000000009</v>
      </c>
      <c r="E4983" s="43" t="s">
        <v>3596</v>
      </c>
    </row>
    <row r="4984" spans="1:5" x14ac:dyDescent="0.35">
      <c r="A4984" s="40">
        <v>43803</v>
      </c>
      <c r="B4984" s="38">
        <v>-0.91</v>
      </c>
      <c r="C4984" s="13" t="s">
        <v>4</v>
      </c>
      <c r="D4984" s="36">
        <v>9180.43</v>
      </c>
      <c r="E4984" s="43" t="s">
        <v>3596</v>
      </c>
    </row>
    <row r="4985" spans="1:5" x14ac:dyDescent="0.35">
      <c r="A4985" s="40">
        <v>43803</v>
      </c>
      <c r="B4985" s="38">
        <v>-20</v>
      </c>
      <c r="C4985" s="13" t="s">
        <v>1018</v>
      </c>
      <c r="D4985" s="36">
        <v>9460.43</v>
      </c>
      <c r="E4985" s="43" t="s">
        <v>3596</v>
      </c>
    </row>
    <row r="4986" spans="1:5" x14ac:dyDescent="0.35">
      <c r="A4986" s="40">
        <v>43803</v>
      </c>
      <c r="B4986" s="38">
        <v>-10.49</v>
      </c>
      <c r="C4986" s="13" t="s">
        <v>1</v>
      </c>
      <c r="D4986" s="36">
        <v>9449.94</v>
      </c>
      <c r="E4986" s="43" t="s">
        <v>3596</v>
      </c>
    </row>
    <row r="4987" spans="1:5" x14ac:dyDescent="0.35">
      <c r="A4987" s="40">
        <v>43803</v>
      </c>
      <c r="B4987" s="38">
        <v>300</v>
      </c>
      <c r="C4987" s="13" t="s">
        <v>1682</v>
      </c>
      <c r="D4987" s="36">
        <v>9480.43</v>
      </c>
      <c r="E4987" s="43" t="s">
        <v>3596</v>
      </c>
    </row>
    <row r="4988" spans="1:5" x14ac:dyDescent="0.35">
      <c r="A4988" s="40">
        <v>43802</v>
      </c>
      <c r="B4988" s="38">
        <v>-4.75</v>
      </c>
      <c r="C4988" s="13" t="s">
        <v>4</v>
      </c>
      <c r="D4988" s="36">
        <v>9207.64</v>
      </c>
      <c r="E4988" s="43" t="s">
        <v>3596</v>
      </c>
    </row>
    <row r="4989" spans="1:5" x14ac:dyDescent="0.35">
      <c r="A4989" s="40">
        <v>43802</v>
      </c>
      <c r="B4989" s="38">
        <v>-8.9</v>
      </c>
      <c r="C4989" s="13" t="s">
        <v>1143</v>
      </c>
      <c r="D4989" s="36">
        <v>9212.39</v>
      </c>
      <c r="E4989" s="43" t="s">
        <v>3596</v>
      </c>
    </row>
    <row r="4990" spans="1:5" x14ac:dyDescent="0.35">
      <c r="A4990" s="40">
        <v>43802</v>
      </c>
      <c r="B4990" s="38">
        <v>-26.3</v>
      </c>
      <c r="C4990" s="13" t="s">
        <v>773</v>
      </c>
      <c r="D4990" s="36">
        <v>9181.34</v>
      </c>
      <c r="E4990" s="43" t="s">
        <v>3596</v>
      </c>
    </row>
    <row r="4991" spans="1:5" x14ac:dyDescent="0.35">
      <c r="A4991" s="40">
        <v>43801</v>
      </c>
      <c r="B4991" s="38">
        <v>-8.68</v>
      </c>
      <c r="C4991" s="13" t="s">
        <v>4</v>
      </c>
      <c r="D4991" s="36">
        <v>9306.99</v>
      </c>
      <c r="E4991" s="43" t="s">
        <v>3596</v>
      </c>
    </row>
    <row r="4992" spans="1:5" x14ac:dyDescent="0.35">
      <c r="A4992" s="40">
        <v>43801</v>
      </c>
      <c r="B4992" s="38">
        <v>-13.4</v>
      </c>
      <c r="C4992" s="13" t="s">
        <v>1145</v>
      </c>
      <c r="D4992" s="36">
        <v>9293.59</v>
      </c>
      <c r="E4992" s="43" t="s">
        <v>3596</v>
      </c>
    </row>
    <row r="4993" spans="1:5" x14ac:dyDescent="0.35">
      <c r="A4993" s="40">
        <v>43801</v>
      </c>
      <c r="B4993" s="38">
        <v>100</v>
      </c>
      <c r="C4993" s="13" t="s">
        <v>1195</v>
      </c>
      <c r="D4993" s="36">
        <v>9221.2900000000009</v>
      </c>
      <c r="E4993" s="43" t="s">
        <v>3596</v>
      </c>
    </row>
    <row r="4994" spans="1:5" x14ac:dyDescent="0.35">
      <c r="A4994" s="40">
        <v>43801</v>
      </c>
      <c r="B4994" s="38">
        <v>-172.3</v>
      </c>
      <c r="C4994" s="13" t="s">
        <v>1144</v>
      </c>
      <c r="D4994" s="36">
        <v>9121.2900000000009</v>
      </c>
      <c r="E4994" s="43" t="s">
        <v>3596</v>
      </c>
    </row>
    <row r="4995" spans="1:5" x14ac:dyDescent="0.35">
      <c r="A4995" s="40">
        <v>43800</v>
      </c>
      <c r="B4995" s="38">
        <v>-20</v>
      </c>
      <c r="C4995" s="13" t="s">
        <v>3385</v>
      </c>
      <c r="D4995" s="36">
        <v>9315.67</v>
      </c>
      <c r="E4995" s="43" t="s">
        <v>3596</v>
      </c>
    </row>
    <row r="4996" spans="1:5" x14ac:dyDescent="0.35">
      <c r="A4996" s="40">
        <v>43799</v>
      </c>
      <c r="B4996" s="38">
        <v>-100</v>
      </c>
      <c r="C4996" s="13" t="s">
        <v>946</v>
      </c>
      <c r="D4996" s="36">
        <v>9335.67</v>
      </c>
      <c r="E4996" s="43" t="s">
        <v>3596</v>
      </c>
    </row>
    <row r="4997" spans="1:5" x14ac:dyDescent="0.35">
      <c r="A4997" s="40">
        <v>43798</v>
      </c>
      <c r="B4997" s="38">
        <v>-40</v>
      </c>
      <c r="C4997" s="13" t="s">
        <v>1146</v>
      </c>
      <c r="D4997" s="36">
        <v>9456.34</v>
      </c>
      <c r="E4997" s="43" t="s">
        <v>3596</v>
      </c>
    </row>
    <row r="4998" spans="1:5" x14ac:dyDescent="0.35">
      <c r="A4998" s="40">
        <v>43798</v>
      </c>
      <c r="B4998" s="38">
        <v>-14</v>
      </c>
      <c r="C4998" s="13" t="s">
        <v>171</v>
      </c>
      <c r="D4998" s="36">
        <v>9442.34</v>
      </c>
      <c r="E4998" s="43" t="s">
        <v>3596</v>
      </c>
    </row>
    <row r="4999" spans="1:5" x14ac:dyDescent="0.35">
      <c r="A4999" s="40">
        <v>43798</v>
      </c>
      <c r="B4999" s="38">
        <v>-6.67</v>
      </c>
      <c r="C4999" s="13" t="s">
        <v>125</v>
      </c>
      <c r="D4999" s="36">
        <v>9435.67</v>
      </c>
      <c r="E4999" s="43" t="s">
        <v>3596</v>
      </c>
    </row>
    <row r="5000" spans="1:5" x14ac:dyDescent="0.35">
      <c r="A5000" s="40">
        <v>43797</v>
      </c>
      <c r="B5000" s="38">
        <v>-1.74</v>
      </c>
      <c r="C5000" s="13" t="s">
        <v>4</v>
      </c>
      <c r="D5000" s="36">
        <v>9496.34</v>
      </c>
      <c r="E5000" s="43" t="s">
        <v>3596</v>
      </c>
    </row>
    <row r="5001" spans="1:5" x14ac:dyDescent="0.35">
      <c r="A5001" s="40">
        <v>43797</v>
      </c>
      <c r="B5001" s="38">
        <v>2053.4899999999998</v>
      </c>
      <c r="C5001" s="13" t="s">
        <v>1147</v>
      </c>
      <c r="D5001" s="36">
        <v>9998.08</v>
      </c>
      <c r="E5001" s="43" t="s">
        <v>3596</v>
      </c>
    </row>
    <row r="5002" spans="1:5" x14ac:dyDescent="0.35">
      <c r="A5002" s="40">
        <v>43797</v>
      </c>
      <c r="B5002" s="38">
        <v>-500</v>
      </c>
      <c r="C5002" s="13" t="s">
        <v>945</v>
      </c>
      <c r="D5002" s="36">
        <v>9498.08</v>
      </c>
      <c r="E5002" s="43" t="s">
        <v>3596</v>
      </c>
    </row>
    <row r="5003" spans="1:5" x14ac:dyDescent="0.35">
      <c r="A5003" s="40">
        <v>43796</v>
      </c>
      <c r="B5003" s="38">
        <v>-8.1300000000000008</v>
      </c>
      <c r="C5003" s="13" t="s">
        <v>4</v>
      </c>
      <c r="D5003" s="36">
        <v>7977.97</v>
      </c>
      <c r="E5003" s="43" t="s">
        <v>3596</v>
      </c>
    </row>
    <row r="5004" spans="1:5" x14ac:dyDescent="0.35">
      <c r="A5004" s="40">
        <v>43796</v>
      </c>
      <c r="B5004" s="38">
        <v>-65</v>
      </c>
      <c r="C5004" s="13" t="s">
        <v>1150</v>
      </c>
      <c r="D5004" s="36">
        <v>8071.47</v>
      </c>
      <c r="E5004" s="43" t="s">
        <v>3596</v>
      </c>
    </row>
    <row r="5005" spans="1:5" x14ac:dyDescent="0.35">
      <c r="A5005" s="40">
        <v>43796</v>
      </c>
      <c r="B5005" s="38">
        <v>-23.5</v>
      </c>
      <c r="C5005" s="13" t="s">
        <v>1152</v>
      </c>
      <c r="D5005" s="36">
        <v>8146.46</v>
      </c>
      <c r="E5005" s="43" t="s">
        <v>3596</v>
      </c>
    </row>
    <row r="5006" spans="1:5" x14ac:dyDescent="0.35">
      <c r="A5006" s="40">
        <v>43796</v>
      </c>
      <c r="B5006" s="38">
        <v>-41</v>
      </c>
      <c r="C5006" s="13" t="s">
        <v>1152</v>
      </c>
      <c r="D5006" s="36">
        <v>8169.96</v>
      </c>
      <c r="E5006" s="43" t="s">
        <v>3596</v>
      </c>
    </row>
    <row r="5007" spans="1:5" x14ac:dyDescent="0.35">
      <c r="A5007" s="40">
        <v>43796</v>
      </c>
      <c r="B5007" s="38">
        <v>-9.99</v>
      </c>
      <c r="C5007" s="13" t="s">
        <v>1151</v>
      </c>
      <c r="D5007" s="36">
        <v>8136.47</v>
      </c>
      <c r="E5007" s="43" t="s">
        <v>3596</v>
      </c>
    </row>
    <row r="5008" spans="1:5" x14ac:dyDescent="0.35">
      <c r="A5008" s="40">
        <v>43796</v>
      </c>
      <c r="B5008" s="38">
        <v>-50</v>
      </c>
      <c r="C5008" s="13" t="s">
        <v>947</v>
      </c>
      <c r="D5008" s="36">
        <v>8210.9599999999991</v>
      </c>
      <c r="E5008" s="43" t="s">
        <v>3596</v>
      </c>
    </row>
    <row r="5009" spans="1:5" x14ac:dyDescent="0.35">
      <c r="A5009" s="40">
        <v>43796</v>
      </c>
      <c r="B5009" s="38">
        <v>-25.38</v>
      </c>
      <c r="C5009" s="13" t="s">
        <v>1</v>
      </c>
      <c r="D5009" s="36">
        <v>7944.59</v>
      </c>
      <c r="E5009" s="43" t="s">
        <v>3596</v>
      </c>
    </row>
    <row r="5010" spans="1:5" x14ac:dyDescent="0.35">
      <c r="A5010" s="40">
        <v>43796</v>
      </c>
      <c r="B5010" s="38">
        <v>-61.4</v>
      </c>
      <c r="C5010" s="13" t="s">
        <v>1148</v>
      </c>
      <c r="D5010" s="36">
        <v>7986.1</v>
      </c>
      <c r="E5010" s="43" t="s">
        <v>3596</v>
      </c>
    </row>
    <row r="5011" spans="1:5" x14ac:dyDescent="0.35">
      <c r="A5011" s="40">
        <v>43796</v>
      </c>
      <c r="B5011" s="38">
        <v>-23.97</v>
      </c>
      <c r="C5011" s="13" t="s">
        <v>1149</v>
      </c>
      <c r="D5011" s="36">
        <v>8047.5</v>
      </c>
      <c r="E5011" s="43" t="s">
        <v>3596</v>
      </c>
    </row>
    <row r="5012" spans="1:5" x14ac:dyDescent="0.35">
      <c r="A5012" s="40">
        <v>43796</v>
      </c>
      <c r="B5012" s="38">
        <v>-8</v>
      </c>
      <c r="C5012" s="13" t="s">
        <v>171</v>
      </c>
      <c r="D5012" s="36">
        <v>7969.97</v>
      </c>
      <c r="E5012" s="43" t="s">
        <v>3596</v>
      </c>
    </row>
    <row r="5013" spans="1:5" x14ac:dyDescent="0.35">
      <c r="A5013" s="40">
        <v>43795</v>
      </c>
      <c r="B5013" s="38">
        <v>-7</v>
      </c>
      <c r="C5013" s="13" t="s">
        <v>971</v>
      </c>
      <c r="D5013" s="36">
        <v>8282.11</v>
      </c>
      <c r="E5013" s="43" t="s">
        <v>3596</v>
      </c>
    </row>
    <row r="5014" spans="1:5" x14ac:dyDescent="0.35">
      <c r="A5014" s="40">
        <v>43795</v>
      </c>
      <c r="B5014" s="38">
        <v>-11</v>
      </c>
      <c r="C5014" s="13" t="s">
        <v>1153</v>
      </c>
      <c r="D5014" s="36">
        <v>8289.11</v>
      </c>
      <c r="E5014" s="43" t="s">
        <v>3596</v>
      </c>
    </row>
    <row r="5015" spans="1:5" x14ac:dyDescent="0.35">
      <c r="A5015" s="40">
        <v>43795</v>
      </c>
      <c r="B5015" s="38">
        <v>-13.19</v>
      </c>
      <c r="C5015" s="13" t="s">
        <v>837</v>
      </c>
      <c r="D5015" s="36">
        <v>8268.92</v>
      </c>
      <c r="E5015" s="43" t="s">
        <v>3596</v>
      </c>
    </row>
    <row r="5016" spans="1:5" x14ac:dyDescent="0.35">
      <c r="A5016" s="40">
        <v>43795</v>
      </c>
      <c r="B5016" s="38">
        <v>-7.96</v>
      </c>
      <c r="C5016" s="13" t="s">
        <v>773</v>
      </c>
      <c r="D5016" s="36">
        <v>8260.9599999999991</v>
      </c>
      <c r="E5016" s="43" t="s">
        <v>3596</v>
      </c>
    </row>
    <row r="5017" spans="1:5" x14ac:dyDescent="0.35">
      <c r="A5017" s="40">
        <v>43794</v>
      </c>
      <c r="B5017" s="38">
        <v>-4.84</v>
      </c>
      <c r="C5017" s="13" t="s">
        <v>4</v>
      </c>
      <c r="D5017" s="36">
        <v>8268.61</v>
      </c>
      <c r="E5017" s="43" t="s">
        <v>3596</v>
      </c>
    </row>
    <row r="5018" spans="1:5" x14ac:dyDescent="0.35">
      <c r="A5018" s="40">
        <v>43794</v>
      </c>
      <c r="B5018" s="38">
        <v>33.5</v>
      </c>
      <c r="C5018" s="13" t="s">
        <v>1243</v>
      </c>
      <c r="D5018" s="36">
        <v>8288.11</v>
      </c>
      <c r="E5018" s="43" t="s">
        <v>3596</v>
      </c>
    </row>
    <row r="5019" spans="1:5" x14ac:dyDescent="0.35">
      <c r="A5019" s="40">
        <v>43794</v>
      </c>
      <c r="B5019" s="38">
        <v>12</v>
      </c>
      <c r="C5019" s="13" t="s">
        <v>1239</v>
      </c>
      <c r="D5019" s="36">
        <v>8300.11</v>
      </c>
      <c r="E5019" s="43" t="s">
        <v>3596</v>
      </c>
    </row>
    <row r="5020" spans="1:5" x14ac:dyDescent="0.35">
      <c r="A5020" s="40">
        <v>43794</v>
      </c>
      <c r="B5020" s="38">
        <v>-14</v>
      </c>
      <c r="C5020" s="13" t="s">
        <v>171</v>
      </c>
      <c r="D5020" s="36">
        <v>8254.61</v>
      </c>
      <c r="E5020" s="43" t="s">
        <v>3596</v>
      </c>
    </row>
    <row r="5021" spans="1:5" x14ac:dyDescent="0.35">
      <c r="A5021" s="40">
        <v>43793</v>
      </c>
      <c r="B5021" s="38">
        <v>-20</v>
      </c>
      <c r="C5021" s="13" t="s">
        <v>1219</v>
      </c>
      <c r="D5021" s="36">
        <v>8273.4500000000007</v>
      </c>
      <c r="E5021" s="43" t="s">
        <v>3596</v>
      </c>
    </row>
    <row r="5022" spans="1:5" x14ac:dyDescent="0.35">
      <c r="A5022" s="40">
        <v>43792</v>
      </c>
      <c r="B5022" s="38">
        <v>-40</v>
      </c>
      <c r="C5022" s="13" t="s">
        <v>1154</v>
      </c>
      <c r="D5022" s="36">
        <v>8293.4500000000007</v>
      </c>
      <c r="E5022" s="43" t="s">
        <v>3596</v>
      </c>
    </row>
    <row r="5023" spans="1:5" x14ac:dyDescent="0.35">
      <c r="A5023" s="40">
        <v>43792</v>
      </c>
      <c r="B5023" s="38">
        <v>-100</v>
      </c>
      <c r="C5023" s="13" t="s">
        <v>946</v>
      </c>
      <c r="D5023" s="36">
        <v>8333.4500000000007</v>
      </c>
      <c r="E5023" s="43" t="s">
        <v>3596</v>
      </c>
    </row>
    <row r="5024" spans="1:5" x14ac:dyDescent="0.35">
      <c r="A5024" s="40">
        <v>43791</v>
      </c>
      <c r="B5024" s="38">
        <v>-3.5</v>
      </c>
      <c r="C5024" s="13" t="s">
        <v>4</v>
      </c>
      <c r="D5024" s="36">
        <v>8447.4500000000007</v>
      </c>
      <c r="E5024" s="43" t="s">
        <v>3596</v>
      </c>
    </row>
    <row r="5025" spans="1:5" x14ac:dyDescent="0.35">
      <c r="A5025" s="40">
        <v>43791</v>
      </c>
      <c r="B5025" s="38">
        <v>-14</v>
      </c>
      <c r="C5025" s="13" t="s">
        <v>11</v>
      </c>
      <c r="D5025" s="36">
        <v>8433.4500000000007</v>
      </c>
      <c r="E5025" s="43" t="s">
        <v>3596</v>
      </c>
    </row>
    <row r="5026" spans="1:5" x14ac:dyDescent="0.35">
      <c r="A5026" s="40">
        <v>43790</v>
      </c>
      <c r="B5026" s="38">
        <v>-4.25</v>
      </c>
      <c r="C5026" s="13" t="s">
        <v>4</v>
      </c>
      <c r="D5026" s="36">
        <v>8450.9500000000007</v>
      </c>
      <c r="E5026" s="43" t="s">
        <v>3596</v>
      </c>
    </row>
    <row r="5027" spans="1:5" x14ac:dyDescent="0.35">
      <c r="A5027" s="40">
        <v>43790</v>
      </c>
      <c r="B5027" s="38">
        <v>-196.71</v>
      </c>
      <c r="C5027" s="13" t="s">
        <v>1220</v>
      </c>
      <c r="D5027" s="36">
        <v>8455.2000000000007</v>
      </c>
      <c r="E5027" s="43" t="s">
        <v>3596</v>
      </c>
    </row>
    <row r="5028" spans="1:5" x14ac:dyDescent="0.35">
      <c r="A5028" s="40">
        <v>43789</v>
      </c>
      <c r="B5028" s="38">
        <v>-24</v>
      </c>
      <c r="C5028" s="13" t="s">
        <v>1155</v>
      </c>
      <c r="D5028" s="36">
        <v>8688.83</v>
      </c>
      <c r="E5028" s="43" t="s">
        <v>3596</v>
      </c>
    </row>
    <row r="5029" spans="1:5" x14ac:dyDescent="0.35">
      <c r="A5029" s="40">
        <v>43789</v>
      </c>
      <c r="B5029" s="38">
        <v>-20.52</v>
      </c>
      <c r="C5029" s="13" t="s">
        <v>1</v>
      </c>
      <c r="D5029" s="36">
        <v>8651.91</v>
      </c>
      <c r="E5029" s="43" t="s">
        <v>3596</v>
      </c>
    </row>
    <row r="5030" spans="1:5" x14ac:dyDescent="0.35">
      <c r="A5030" s="40">
        <v>43789</v>
      </c>
      <c r="B5030" s="38">
        <v>-16.399999999999999</v>
      </c>
      <c r="C5030" s="13" t="s">
        <v>11</v>
      </c>
      <c r="D5030" s="36">
        <v>8672.43</v>
      </c>
      <c r="E5030" s="43" t="s">
        <v>3596</v>
      </c>
    </row>
    <row r="5031" spans="1:5" x14ac:dyDescent="0.35">
      <c r="A5031" s="40">
        <v>43788</v>
      </c>
      <c r="B5031" s="38">
        <v>-8.9</v>
      </c>
      <c r="C5031" s="13" t="s">
        <v>1158</v>
      </c>
      <c r="D5031" s="36">
        <v>8756.83</v>
      </c>
      <c r="E5031" s="43" t="s">
        <v>3596</v>
      </c>
    </row>
    <row r="5032" spans="1:5" x14ac:dyDescent="0.35">
      <c r="A5032" s="40">
        <v>43788</v>
      </c>
      <c r="B5032" s="38">
        <v>-11</v>
      </c>
      <c r="C5032" s="13" t="s">
        <v>779</v>
      </c>
      <c r="D5032" s="36">
        <v>8712.83</v>
      </c>
      <c r="E5032" s="43" t="s">
        <v>3596</v>
      </c>
    </row>
    <row r="5033" spans="1:5" x14ac:dyDescent="0.35">
      <c r="A5033" s="40">
        <v>43788</v>
      </c>
      <c r="B5033" s="38">
        <v>-7</v>
      </c>
      <c r="C5033" s="13" t="s">
        <v>1156</v>
      </c>
      <c r="D5033" s="36">
        <v>8723.83</v>
      </c>
      <c r="E5033" s="43" t="s">
        <v>3596</v>
      </c>
    </row>
    <row r="5034" spans="1:5" x14ac:dyDescent="0.35">
      <c r="A5034" s="40">
        <v>43788</v>
      </c>
      <c r="B5034" s="38">
        <v>-22</v>
      </c>
      <c r="C5034" s="13" t="s">
        <v>1156</v>
      </c>
      <c r="D5034" s="36">
        <v>8730.83</v>
      </c>
      <c r="E5034" s="43" t="s">
        <v>3596</v>
      </c>
    </row>
    <row r="5035" spans="1:5" x14ac:dyDescent="0.35">
      <c r="A5035" s="40">
        <v>43788</v>
      </c>
      <c r="B5035" s="38">
        <v>-4</v>
      </c>
      <c r="C5035" s="13" t="s">
        <v>1157</v>
      </c>
      <c r="D5035" s="36">
        <v>8752.83</v>
      </c>
      <c r="E5035" s="43" t="s">
        <v>3596</v>
      </c>
    </row>
    <row r="5036" spans="1:5" x14ac:dyDescent="0.35">
      <c r="A5036" s="40">
        <v>43787</v>
      </c>
      <c r="B5036" s="38">
        <v>-1.1499999999999999</v>
      </c>
      <c r="C5036" s="13" t="s">
        <v>1</v>
      </c>
      <c r="D5036" s="36">
        <v>8765.73</v>
      </c>
      <c r="E5036" s="43" t="s">
        <v>3596</v>
      </c>
    </row>
    <row r="5037" spans="1:5" x14ac:dyDescent="0.35">
      <c r="A5037" s="40">
        <v>43787</v>
      </c>
      <c r="B5037" s="38">
        <v>-10.39</v>
      </c>
      <c r="C5037" s="13" t="s">
        <v>837</v>
      </c>
      <c r="D5037" s="36">
        <v>8776.8700000000008</v>
      </c>
      <c r="E5037" s="43" t="s">
        <v>3596</v>
      </c>
    </row>
    <row r="5038" spans="1:5" x14ac:dyDescent="0.35">
      <c r="A5038" s="40">
        <v>43787</v>
      </c>
      <c r="B5038" s="38">
        <v>-9.99</v>
      </c>
      <c r="C5038" s="13" t="s">
        <v>773</v>
      </c>
      <c r="D5038" s="36">
        <v>8766.8799999999992</v>
      </c>
      <c r="E5038" s="43" t="s">
        <v>3596</v>
      </c>
    </row>
    <row r="5039" spans="1:5" x14ac:dyDescent="0.35">
      <c r="A5039" s="40">
        <v>43787</v>
      </c>
      <c r="B5039" s="38">
        <v>-14.5</v>
      </c>
      <c r="C5039" s="13" t="s">
        <v>951</v>
      </c>
      <c r="D5039" s="36">
        <v>8770.26</v>
      </c>
      <c r="E5039" s="43" t="s">
        <v>3596</v>
      </c>
    </row>
    <row r="5040" spans="1:5" x14ac:dyDescent="0.35">
      <c r="A5040" s="40">
        <v>43787</v>
      </c>
      <c r="B5040" s="38">
        <v>17</v>
      </c>
      <c r="C5040" s="13" t="s">
        <v>456</v>
      </c>
      <c r="D5040" s="36">
        <v>8787.26</v>
      </c>
      <c r="E5040" s="43" t="s">
        <v>3596</v>
      </c>
    </row>
    <row r="5041" spans="1:5" x14ac:dyDescent="0.35">
      <c r="A5041" s="40">
        <v>43785</v>
      </c>
      <c r="B5041" s="38">
        <v>-8.9</v>
      </c>
      <c r="C5041" s="13" t="s">
        <v>1160</v>
      </c>
      <c r="D5041" s="36">
        <v>8801.66</v>
      </c>
      <c r="E5041" s="43" t="s">
        <v>3596</v>
      </c>
    </row>
    <row r="5042" spans="1:5" x14ac:dyDescent="0.35">
      <c r="A5042" s="40">
        <v>43785</v>
      </c>
      <c r="B5042" s="38">
        <v>-100</v>
      </c>
      <c r="C5042" s="13" t="s">
        <v>946</v>
      </c>
      <c r="D5042" s="36">
        <v>8810.56</v>
      </c>
      <c r="E5042" s="43" t="s">
        <v>3596</v>
      </c>
    </row>
    <row r="5043" spans="1:5" x14ac:dyDescent="0.35">
      <c r="A5043" s="40">
        <v>43785</v>
      </c>
      <c r="B5043" s="38">
        <v>-16.899999999999999</v>
      </c>
      <c r="C5043" s="13" t="s">
        <v>1159</v>
      </c>
      <c r="D5043" s="36">
        <v>8784.76</v>
      </c>
      <c r="E5043" s="43" t="s">
        <v>3596</v>
      </c>
    </row>
    <row r="5044" spans="1:5" x14ac:dyDescent="0.35">
      <c r="A5044" s="40">
        <v>43784</v>
      </c>
      <c r="B5044" s="38">
        <v>-2.5</v>
      </c>
      <c r="C5044" s="13" t="s">
        <v>4</v>
      </c>
      <c r="D5044" s="36">
        <v>8916.64</v>
      </c>
      <c r="E5044" s="43" t="s">
        <v>3596</v>
      </c>
    </row>
    <row r="5045" spans="1:5" x14ac:dyDescent="0.35">
      <c r="A5045" s="40">
        <v>43784</v>
      </c>
      <c r="B5045" s="38">
        <v>-40</v>
      </c>
      <c r="C5045" s="13" t="s">
        <v>1162</v>
      </c>
      <c r="D5045" s="36">
        <v>8928.64</v>
      </c>
      <c r="E5045" s="43" t="s">
        <v>3596</v>
      </c>
    </row>
    <row r="5046" spans="1:5" x14ac:dyDescent="0.35">
      <c r="A5046" s="40">
        <v>43784</v>
      </c>
      <c r="B5046" s="38">
        <v>-6.08</v>
      </c>
      <c r="C5046" s="13" t="s">
        <v>1</v>
      </c>
      <c r="D5046" s="36">
        <v>8910.56</v>
      </c>
      <c r="E5046" s="43" t="s">
        <v>3596</v>
      </c>
    </row>
    <row r="5047" spans="1:5" x14ac:dyDescent="0.35">
      <c r="A5047" s="40">
        <v>43784</v>
      </c>
      <c r="B5047" s="38">
        <v>-9.5</v>
      </c>
      <c r="C5047" s="13" t="s">
        <v>1161</v>
      </c>
      <c r="D5047" s="36">
        <v>8919.14</v>
      </c>
      <c r="E5047" s="43" t="s">
        <v>3596</v>
      </c>
    </row>
    <row r="5048" spans="1:5" x14ac:dyDescent="0.35">
      <c r="A5048" s="40">
        <v>43783</v>
      </c>
      <c r="B5048" s="38">
        <v>-3.18</v>
      </c>
      <c r="C5048" s="13" t="s">
        <v>4</v>
      </c>
      <c r="D5048" s="36">
        <v>8968.64</v>
      </c>
      <c r="E5048" s="43" t="s">
        <v>3596</v>
      </c>
    </row>
    <row r="5049" spans="1:5" x14ac:dyDescent="0.35">
      <c r="A5049" s="40">
        <v>43783</v>
      </c>
      <c r="B5049" s="38">
        <v>-46.5</v>
      </c>
      <c r="C5049" s="13" t="s">
        <v>1163</v>
      </c>
      <c r="D5049" s="36">
        <v>8971.82</v>
      </c>
      <c r="E5049" s="43" t="s">
        <v>3596</v>
      </c>
    </row>
    <row r="5050" spans="1:5" x14ac:dyDescent="0.35">
      <c r="A5050" s="40">
        <v>43783</v>
      </c>
      <c r="B5050" s="38">
        <v>2053.4899999999998</v>
      </c>
      <c r="C5050" s="13" t="s">
        <v>1164</v>
      </c>
      <c r="D5050" s="36">
        <v>9518.32</v>
      </c>
      <c r="E5050" s="43" t="s">
        <v>3596</v>
      </c>
    </row>
    <row r="5051" spans="1:5" x14ac:dyDescent="0.35">
      <c r="A5051" s="40">
        <v>43783</v>
      </c>
      <c r="B5051" s="39">
        <v>-500</v>
      </c>
      <c r="C5051" s="14" t="s">
        <v>945</v>
      </c>
      <c r="D5051" s="37">
        <v>9018.32</v>
      </c>
      <c r="E5051" s="44" t="s">
        <v>3596</v>
      </c>
    </row>
    <row r="5052" spans="1:5" x14ac:dyDescent="0.35">
      <c r="A5052" s="40">
        <v>43782</v>
      </c>
      <c r="B5052" s="38">
        <v>-1.62</v>
      </c>
      <c r="C5052" s="13" t="s">
        <v>4</v>
      </c>
      <c r="D5052" s="36">
        <v>7476.23</v>
      </c>
      <c r="E5052" s="43" t="s">
        <v>3596</v>
      </c>
    </row>
    <row r="5053" spans="1:5" x14ac:dyDescent="0.35">
      <c r="A5053" s="40">
        <v>43782</v>
      </c>
      <c r="B5053" s="38">
        <v>-37.5</v>
      </c>
      <c r="C5053" s="13" t="s">
        <v>1165</v>
      </c>
      <c r="D5053" s="36">
        <v>7477.85</v>
      </c>
      <c r="E5053" s="43" t="s">
        <v>3596</v>
      </c>
    </row>
    <row r="5054" spans="1:5" x14ac:dyDescent="0.35">
      <c r="A5054" s="40">
        <v>43782</v>
      </c>
      <c r="B5054" s="38">
        <v>-11.4</v>
      </c>
      <c r="C5054" s="13" t="s">
        <v>779</v>
      </c>
      <c r="D5054" s="36">
        <v>7464.83</v>
      </c>
      <c r="E5054" s="43" t="s">
        <v>3596</v>
      </c>
    </row>
    <row r="5055" spans="1:5" x14ac:dyDescent="0.35">
      <c r="A5055" s="40">
        <v>43781</v>
      </c>
      <c r="B5055" s="38">
        <v>-23.5</v>
      </c>
      <c r="C5055" s="13" t="s">
        <v>1167</v>
      </c>
      <c r="D5055" s="36">
        <v>7595.35</v>
      </c>
      <c r="E5055" s="43" t="s">
        <v>3596</v>
      </c>
    </row>
    <row r="5056" spans="1:5" x14ac:dyDescent="0.35">
      <c r="A5056" s="40">
        <v>43781</v>
      </c>
      <c r="B5056" s="38">
        <v>-25</v>
      </c>
      <c r="C5056" s="13" t="s">
        <v>1168</v>
      </c>
      <c r="D5056" s="36">
        <v>7618.85</v>
      </c>
      <c r="E5056" s="43" t="s">
        <v>3596</v>
      </c>
    </row>
    <row r="5057" spans="1:5" x14ac:dyDescent="0.35">
      <c r="A5057" s="40">
        <v>43781</v>
      </c>
      <c r="B5057" s="38">
        <v>-80</v>
      </c>
      <c r="C5057" s="13" t="s">
        <v>1166</v>
      </c>
      <c r="D5057" s="36">
        <v>7515.35</v>
      </c>
      <c r="E5057" s="43" t="s">
        <v>3596</v>
      </c>
    </row>
    <row r="5058" spans="1:5" x14ac:dyDescent="0.35">
      <c r="A5058" s="40">
        <v>43780</v>
      </c>
      <c r="B5058" s="38">
        <v>-1.1100000000000001</v>
      </c>
      <c r="C5058" s="13" t="s">
        <v>4</v>
      </c>
      <c r="D5058" s="36">
        <v>7822.12</v>
      </c>
      <c r="E5058" s="43" t="s">
        <v>3596</v>
      </c>
    </row>
    <row r="5059" spans="1:5" x14ac:dyDescent="0.35">
      <c r="A5059" s="40">
        <v>43780</v>
      </c>
      <c r="B5059" s="38">
        <v>-52</v>
      </c>
      <c r="C5059" s="13" t="s">
        <v>947</v>
      </c>
      <c r="D5059" s="36">
        <v>7716.85</v>
      </c>
      <c r="E5059" s="43" t="s">
        <v>3596</v>
      </c>
    </row>
    <row r="5060" spans="1:5" x14ac:dyDescent="0.35">
      <c r="A5060" s="40">
        <v>43780</v>
      </c>
      <c r="B5060" s="38">
        <v>-39.270000000000003</v>
      </c>
      <c r="C5060" s="13" t="s">
        <v>773</v>
      </c>
      <c r="D5060" s="36">
        <v>7768.85</v>
      </c>
      <c r="E5060" s="43" t="s">
        <v>3596</v>
      </c>
    </row>
    <row r="5061" spans="1:5" x14ac:dyDescent="0.35">
      <c r="A5061" s="40">
        <v>43780</v>
      </c>
      <c r="B5061" s="38">
        <v>-73</v>
      </c>
      <c r="C5061" s="13" t="s">
        <v>37</v>
      </c>
      <c r="D5061" s="36">
        <v>7643.85</v>
      </c>
      <c r="E5061" s="43" t="s">
        <v>3596</v>
      </c>
    </row>
    <row r="5062" spans="1:5" x14ac:dyDescent="0.35">
      <c r="A5062" s="40">
        <v>43780</v>
      </c>
      <c r="B5062" s="38">
        <v>-14</v>
      </c>
      <c r="C5062" s="13" t="s">
        <v>171</v>
      </c>
      <c r="D5062" s="36">
        <v>7808.12</v>
      </c>
      <c r="E5062" s="43" t="s">
        <v>3596</v>
      </c>
    </row>
    <row r="5063" spans="1:5" x14ac:dyDescent="0.35">
      <c r="A5063" s="40">
        <v>43778</v>
      </c>
      <c r="B5063" s="38">
        <v>-362.07</v>
      </c>
      <c r="C5063" s="13" t="s">
        <v>1170</v>
      </c>
      <c r="D5063" s="36">
        <v>7934.09</v>
      </c>
      <c r="E5063" s="43" t="s">
        <v>3596</v>
      </c>
    </row>
    <row r="5064" spans="1:5" x14ac:dyDescent="0.35">
      <c r="A5064" s="40">
        <v>43778</v>
      </c>
      <c r="B5064" s="38">
        <v>-40</v>
      </c>
      <c r="C5064" s="13" t="s">
        <v>1173</v>
      </c>
      <c r="D5064" s="36">
        <v>8388.66</v>
      </c>
      <c r="E5064" s="43" t="s">
        <v>3596</v>
      </c>
    </row>
    <row r="5065" spans="1:5" x14ac:dyDescent="0.35">
      <c r="A5065" s="40">
        <v>43778</v>
      </c>
      <c r="B5065" s="38">
        <v>-58.31</v>
      </c>
      <c r="C5065" s="13" t="s">
        <v>1172</v>
      </c>
      <c r="D5065" s="36">
        <v>8330.35</v>
      </c>
      <c r="E5065" s="43" t="s">
        <v>3596</v>
      </c>
    </row>
    <row r="5066" spans="1:5" x14ac:dyDescent="0.35">
      <c r="A5066" s="40">
        <v>43778</v>
      </c>
      <c r="B5066" s="38">
        <v>-10.86</v>
      </c>
      <c r="C5066" s="13" t="s">
        <v>1169</v>
      </c>
      <c r="D5066" s="36">
        <v>7923.23</v>
      </c>
      <c r="E5066" s="43" t="s">
        <v>3596</v>
      </c>
    </row>
    <row r="5067" spans="1:5" x14ac:dyDescent="0.35">
      <c r="A5067" s="40">
        <v>43778</v>
      </c>
      <c r="B5067" s="38">
        <v>-100</v>
      </c>
      <c r="C5067" s="13" t="s">
        <v>946</v>
      </c>
      <c r="D5067" s="36">
        <v>7823.23</v>
      </c>
      <c r="E5067" s="43" t="s">
        <v>3596</v>
      </c>
    </row>
    <row r="5068" spans="1:5" x14ac:dyDescent="0.35">
      <c r="A5068" s="40">
        <v>43778</v>
      </c>
      <c r="B5068" s="38">
        <v>-34.19</v>
      </c>
      <c r="C5068" s="13" t="s">
        <v>1171</v>
      </c>
      <c r="D5068" s="36">
        <v>8296.16</v>
      </c>
      <c r="E5068" s="43" t="s">
        <v>3596</v>
      </c>
    </row>
    <row r="5069" spans="1:5" x14ac:dyDescent="0.35">
      <c r="A5069" s="40">
        <v>43777</v>
      </c>
      <c r="B5069" s="38">
        <v>-5</v>
      </c>
      <c r="C5069" s="13" t="s">
        <v>4</v>
      </c>
      <c r="D5069" s="36">
        <v>8464.66</v>
      </c>
      <c r="E5069" s="43" t="s">
        <v>3596</v>
      </c>
    </row>
    <row r="5070" spans="1:5" x14ac:dyDescent="0.35">
      <c r="A5070" s="40">
        <v>43777</v>
      </c>
      <c r="B5070" s="38">
        <v>-12.5</v>
      </c>
      <c r="C5070" s="13" t="s">
        <v>1175</v>
      </c>
      <c r="D5070" s="36">
        <v>8497.7999999999993</v>
      </c>
      <c r="E5070" s="43" t="s">
        <v>3596</v>
      </c>
    </row>
    <row r="5071" spans="1:5" x14ac:dyDescent="0.35">
      <c r="A5071" s="40">
        <v>43777</v>
      </c>
      <c r="B5071" s="38">
        <v>-17.5</v>
      </c>
      <c r="C5071" s="13" t="s">
        <v>764</v>
      </c>
      <c r="D5071" s="36">
        <v>8447.16</v>
      </c>
      <c r="E5071" s="43" t="s">
        <v>3596</v>
      </c>
    </row>
    <row r="5072" spans="1:5" x14ac:dyDescent="0.35">
      <c r="A5072" s="40">
        <v>43777</v>
      </c>
      <c r="B5072" s="38">
        <v>-28.14</v>
      </c>
      <c r="C5072" s="13" t="s">
        <v>1174</v>
      </c>
      <c r="D5072" s="36">
        <v>8469.66</v>
      </c>
      <c r="E5072" s="43" t="s">
        <v>3596</v>
      </c>
    </row>
    <row r="5073" spans="1:5" x14ac:dyDescent="0.35">
      <c r="A5073" s="40">
        <v>43777</v>
      </c>
      <c r="B5073" s="38">
        <v>-18.5</v>
      </c>
      <c r="C5073" s="13" t="s">
        <v>0</v>
      </c>
      <c r="D5073" s="36">
        <v>8428.66</v>
      </c>
      <c r="E5073" s="43" t="s">
        <v>3596</v>
      </c>
    </row>
    <row r="5074" spans="1:5" x14ac:dyDescent="0.35">
      <c r="A5074" s="40">
        <v>43776</v>
      </c>
      <c r="B5074" s="38">
        <v>-28.79</v>
      </c>
      <c r="C5074" s="13" t="s">
        <v>1176</v>
      </c>
      <c r="D5074" s="36">
        <v>8524.2999999999993</v>
      </c>
      <c r="E5074" s="43" t="s">
        <v>3596</v>
      </c>
    </row>
    <row r="5075" spans="1:5" x14ac:dyDescent="0.35">
      <c r="A5075" s="40">
        <v>43776</v>
      </c>
      <c r="B5075" s="38">
        <v>-19.190000000000001</v>
      </c>
      <c r="C5075" s="13" t="s">
        <v>1176</v>
      </c>
      <c r="D5075" s="36">
        <v>8553.09</v>
      </c>
      <c r="E5075" s="43" t="s">
        <v>3596</v>
      </c>
    </row>
    <row r="5076" spans="1:5" x14ac:dyDescent="0.35">
      <c r="A5076" s="40">
        <v>43776</v>
      </c>
      <c r="B5076" s="38">
        <v>-38.380000000000003</v>
      </c>
      <c r="C5076" s="13" t="s">
        <v>1176</v>
      </c>
      <c r="D5076" s="36">
        <v>8572.2800000000007</v>
      </c>
      <c r="E5076" s="43" t="s">
        <v>3596</v>
      </c>
    </row>
    <row r="5077" spans="1:5" x14ac:dyDescent="0.35">
      <c r="A5077" s="40">
        <v>43776</v>
      </c>
      <c r="B5077" s="38">
        <v>-33.08</v>
      </c>
      <c r="C5077" s="13" t="s">
        <v>1177</v>
      </c>
      <c r="D5077" s="36">
        <v>8610.66</v>
      </c>
      <c r="E5077" s="43" t="s">
        <v>3596</v>
      </c>
    </row>
    <row r="5078" spans="1:5" x14ac:dyDescent="0.35">
      <c r="A5078" s="40">
        <v>43776</v>
      </c>
      <c r="B5078" s="38">
        <v>-14</v>
      </c>
      <c r="C5078" s="13" t="s">
        <v>171</v>
      </c>
      <c r="D5078" s="36">
        <v>8510.2999999999993</v>
      </c>
      <c r="E5078" s="43" t="s">
        <v>3596</v>
      </c>
    </row>
    <row r="5079" spans="1:5" x14ac:dyDescent="0.35">
      <c r="A5079" s="40">
        <v>43775</v>
      </c>
      <c r="B5079" s="38">
        <v>-42</v>
      </c>
      <c r="C5079" s="13" t="s">
        <v>1178</v>
      </c>
      <c r="D5079" s="36">
        <v>8673.11</v>
      </c>
      <c r="E5079" s="43" t="s">
        <v>3596</v>
      </c>
    </row>
    <row r="5080" spans="1:5" x14ac:dyDescent="0.35">
      <c r="A5080" s="40">
        <v>43775</v>
      </c>
      <c r="B5080" s="38">
        <v>-15</v>
      </c>
      <c r="C5080" s="13" t="s">
        <v>1018</v>
      </c>
      <c r="D5080" s="36">
        <v>8658.11</v>
      </c>
      <c r="E5080" s="43" t="s">
        <v>3596</v>
      </c>
    </row>
    <row r="5081" spans="1:5" x14ac:dyDescent="0.35">
      <c r="A5081" s="40">
        <v>43775</v>
      </c>
      <c r="B5081" s="38">
        <v>-14.37</v>
      </c>
      <c r="C5081" s="13" t="s">
        <v>773</v>
      </c>
      <c r="D5081" s="36">
        <v>8643.74</v>
      </c>
      <c r="E5081" s="43" t="s">
        <v>3596</v>
      </c>
    </row>
    <row r="5082" spans="1:5" x14ac:dyDescent="0.35">
      <c r="A5082" s="40">
        <v>43774</v>
      </c>
      <c r="B5082" s="38">
        <v>-2.16</v>
      </c>
      <c r="C5082" s="13" t="s">
        <v>4</v>
      </c>
      <c r="D5082" s="36">
        <v>8715.11</v>
      </c>
      <c r="E5082" s="43" t="s">
        <v>3596</v>
      </c>
    </row>
    <row r="5083" spans="1:5" x14ac:dyDescent="0.35">
      <c r="A5083" s="40">
        <v>43774</v>
      </c>
      <c r="B5083" s="38">
        <v>-40</v>
      </c>
      <c r="C5083" s="13" t="s">
        <v>1181</v>
      </c>
      <c r="D5083" s="36">
        <v>8756.7199999999993</v>
      </c>
      <c r="E5083" s="43" t="s">
        <v>3596</v>
      </c>
    </row>
    <row r="5084" spans="1:5" x14ac:dyDescent="0.35">
      <c r="A5084" s="40">
        <v>43774</v>
      </c>
      <c r="B5084" s="38">
        <v>-9</v>
      </c>
      <c r="C5084" s="13" t="s">
        <v>1180</v>
      </c>
      <c r="D5084" s="36">
        <v>8747.7199999999993</v>
      </c>
      <c r="E5084" s="43" t="s">
        <v>3596</v>
      </c>
    </row>
    <row r="5085" spans="1:5" x14ac:dyDescent="0.35">
      <c r="A5085" s="40">
        <v>43774</v>
      </c>
      <c r="B5085" s="38">
        <v>-30.45</v>
      </c>
      <c r="C5085" s="13" t="s">
        <v>1179</v>
      </c>
      <c r="D5085" s="36">
        <v>8717.27</v>
      </c>
      <c r="E5085" s="43" t="s">
        <v>3596</v>
      </c>
    </row>
    <row r="5086" spans="1:5" x14ac:dyDescent="0.35">
      <c r="A5086" s="40">
        <v>43773</v>
      </c>
      <c r="B5086" s="38">
        <v>-2.4300000000000002</v>
      </c>
      <c r="C5086" s="13" t="s">
        <v>4</v>
      </c>
      <c r="D5086" s="36">
        <v>8823.6200000000008</v>
      </c>
      <c r="E5086" s="43" t="s">
        <v>3596</v>
      </c>
    </row>
    <row r="5087" spans="1:5" x14ac:dyDescent="0.35">
      <c r="A5087" s="40">
        <v>43773</v>
      </c>
      <c r="B5087" s="38">
        <v>-26.9</v>
      </c>
      <c r="C5087" s="13" t="s">
        <v>773</v>
      </c>
      <c r="D5087" s="36">
        <v>8796.7199999999993</v>
      </c>
      <c r="E5087" s="43" t="s">
        <v>3596</v>
      </c>
    </row>
    <row r="5088" spans="1:5" x14ac:dyDescent="0.35">
      <c r="A5088" s="40">
        <v>43772</v>
      </c>
      <c r="B5088" s="38">
        <v>18.5</v>
      </c>
      <c r="C5088" s="13" t="s">
        <v>1246</v>
      </c>
      <c r="D5088" s="36">
        <v>8839.5499999999993</v>
      </c>
      <c r="E5088" s="43" t="s">
        <v>3596</v>
      </c>
    </row>
    <row r="5089" spans="1:5" x14ac:dyDescent="0.35">
      <c r="A5089" s="40">
        <v>43772</v>
      </c>
      <c r="B5089" s="38">
        <v>-13.5</v>
      </c>
      <c r="C5089" s="13" t="s">
        <v>1219</v>
      </c>
      <c r="D5089" s="36">
        <v>8826.0499999999993</v>
      </c>
      <c r="E5089" s="43" t="s">
        <v>3596</v>
      </c>
    </row>
    <row r="5090" spans="1:5" x14ac:dyDescent="0.35">
      <c r="A5090" s="40">
        <v>43771</v>
      </c>
      <c r="B5090" s="38">
        <v>-8.9</v>
      </c>
      <c r="C5090" s="13" t="s">
        <v>1182</v>
      </c>
      <c r="D5090" s="36">
        <v>8849.0499999999993</v>
      </c>
      <c r="E5090" s="43" t="s">
        <v>3596</v>
      </c>
    </row>
    <row r="5091" spans="1:5" x14ac:dyDescent="0.35">
      <c r="A5091" s="40">
        <v>43771</v>
      </c>
      <c r="B5091" s="38">
        <v>-100</v>
      </c>
      <c r="C5091" s="13" t="s">
        <v>946</v>
      </c>
      <c r="D5091" s="36">
        <v>8857.9500000000007</v>
      </c>
      <c r="E5091" s="43" t="s">
        <v>3596</v>
      </c>
    </row>
    <row r="5092" spans="1:5" x14ac:dyDescent="0.35">
      <c r="A5092" s="40">
        <v>43771</v>
      </c>
      <c r="B5092" s="38">
        <v>-28</v>
      </c>
      <c r="C5092" s="13" t="s">
        <v>312</v>
      </c>
      <c r="D5092" s="36">
        <v>8821.0499999999993</v>
      </c>
      <c r="E5092" s="43" t="s">
        <v>3596</v>
      </c>
    </row>
    <row r="5093" spans="1:5" x14ac:dyDescent="0.35">
      <c r="A5093" s="40">
        <v>43770</v>
      </c>
      <c r="B5093" s="38">
        <v>-80</v>
      </c>
      <c r="C5093" s="13" t="s">
        <v>1707</v>
      </c>
      <c r="D5093" s="36">
        <v>8960.75</v>
      </c>
      <c r="E5093" s="43" t="s">
        <v>3596</v>
      </c>
    </row>
    <row r="5094" spans="1:5" x14ac:dyDescent="0.35">
      <c r="A5094" s="40">
        <v>43770</v>
      </c>
      <c r="B5094" s="38">
        <v>-32</v>
      </c>
      <c r="C5094" s="13" t="s">
        <v>1185</v>
      </c>
      <c r="D5094" s="36">
        <v>9213.0499999999993</v>
      </c>
      <c r="E5094" s="43" t="s">
        <v>3596</v>
      </c>
    </row>
    <row r="5095" spans="1:5" x14ac:dyDescent="0.35">
      <c r="A5095" s="40">
        <v>43770</v>
      </c>
      <c r="B5095" s="38">
        <v>-10</v>
      </c>
      <c r="C5095" s="13" t="s">
        <v>764</v>
      </c>
      <c r="D5095" s="36">
        <v>9245.0499999999993</v>
      </c>
      <c r="E5095" s="43" t="s">
        <v>3596</v>
      </c>
    </row>
    <row r="5096" spans="1:5" x14ac:dyDescent="0.35">
      <c r="A5096" s="40">
        <v>43770</v>
      </c>
      <c r="B5096" s="38">
        <v>-2.8</v>
      </c>
      <c r="C5096" s="13" t="s">
        <v>1183</v>
      </c>
      <c r="D5096" s="36">
        <v>8957.9500000000007</v>
      </c>
      <c r="E5096" s="43" t="s">
        <v>3596</v>
      </c>
    </row>
    <row r="5097" spans="1:5" x14ac:dyDescent="0.35">
      <c r="A5097" s="40">
        <v>43770</v>
      </c>
      <c r="B5097" s="38">
        <v>-20</v>
      </c>
      <c r="C5097" s="13" t="s">
        <v>3385</v>
      </c>
      <c r="D5097" s="36">
        <v>9255.0499999999993</v>
      </c>
      <c r="E5097" s="43" t="s">
        <v>3596</v>
      </c>
    </row>
    <row r="5098" spans="1:5" x14ac:dyDescent="0.35">
      <c r="A5098" s="40">
        <v>43770</v>
      </c>
      <c r="B5098" s="38">
        <v>-24.5</v>
      </c>
      <c r="C5098" s="13" t="s">
        <v>1186</v>
      </c>
      <c r="D5098" s="36">
        <v>9275.0499999999993</v>
      </c>
      <c r="E5098" s="43" t="s">
        <v>3596</v>
      </c>
    </row>
    <row r="5099" spans="1:5" x14ac:dyDescent="0.35">
      <c r="A5099" s="40">
        <v>43770</v>
      </c>
      <c r="B5099" s="39">
        <v>-172.3</v>
      </c>
      <c r="C5099" s="14" t="s">
        <v>1184</v>
      </c>
      <c r="D5099" s="37">
        <v>9040.75</v>
      </c>
      <c r="E5099" s="44" t="s">
        <v>3596</v>
      </c>
    </row>
    <row r="5100" spans="1:5" x14ac:dyDescent="0.35">
      <c r="A5100" s="40">
        <v>43769</v>
      </c>
      <c r="B5100" s="38">
        <v>-4</v>
      </c>
      <c r="C5100" s="13" t="s">
        <v>4</v>
      </c>
      <c r="D5100" s="36">
        <v>9514.35</v>
      </c>
      <c r="E5100" s="43" t="s">
        <v>3596</v>
      </c>
    </row>
    <row r="5101" spans="1:5" x14ac:dyDescent="0.35">
      <c r="A5101" s="40">
        <v>43769</v>
      </c>
      <c r="B5101" s="38">
        <v>2053.4899999999998</v>
      </c>
      <c r="C5101" s="13" t="s">
        <v>1187</v>
      </c>
      <c r="D5101" s="36">
        <v>10018.35</v>
      </c>
      <c r="E5101" s="43" t="s">
        <v>3596</v>
      </c>
    </row>
    <row r="5102" spans="1:5" x14ac:dyDescent="0.35">
      <c r="A5102" s="40">
        <v>43769</v>
      </c>
      <c r="B5102" s="38">
        <v>-500</v>
      </c>
      <c r="C5102" s="13" t="s">
        <v>945</v>
      </c>
      <c r="D5102" s="36">
        <v>9518.35</v>
      </c>
      <c r="E5102" s="43" t="s">
        <v>3596</v>
      </c>
    </row>
    <row r="5103" spans="1:5" x14ac:dyDescent="0.35">
      <c r="A5103" s="40">
        <v>43769</v>
      </c>
      <c r="B5103" s="38">
        <v>-200</v>
      </c>
      <c r="C5103" s="13" t="s">
        <v>1216</v>
      </c>
      <c r="D5103" s="36">
        <v>9299.5499999999993</v>
      </c>
      <c r="E5103" s="43" t="s">
        <v>3596</v>
      </c>
    </row>
    <row r="5104" spans="1:5" x14ac:dyDescent="0.35">
      <c r="A5104" s="40">
        <v>43769</v>
      </c>
      <c r="B5104" s="38">
        <v>-4.9000000000000004</v>
      </c>
      <c r="C5104" s="13" t="s">
        <v>11</v>
      </c>
      <c r="D5104" s="36">
        <v>9499.5499999999993</v>
      </c>
      <c r="E5104" s="43" t="s">
        <v>3596</v>
      </c>
    </row>
    <row r="5105" spans="1:5" x14ac:dyDescent="0.35">
      <c r="A5105" s="40">
        <v>43769</v>
      </c>
      <c r="B5105" s="38">
        <v>-9.9</v>
      </c>
      <c r="C5105" s="13" t="s">
        <v>11</v>
      </c>
      <c r="D5105" s="36">
        <v>9504.4500000000007</v>
      </c>
      <c r="E5105" s="43" t="s">
        <v>3596</v>
      </c>
    </row>
    <row r="5106" spans="1:5" x14ac:dyDescent="0.35">
      <c r="A5106" s="40">
        <v>43768</v>
      </c>
      <c r="B5106" s="38">
        <v>-7.2</v>
      </c>
      <c r="C5106" s="13" t="s">
        <v>4</v>
      </c>
      <c r="D5106" s="36">
        <v>7986.74</v>
      </c>
      <c r="E5106" s="43" t="s">
        <v>3596</v>
      </c>
    </row>
    <row r="5107" spans="1:5" x14ac:dyDescent="0.35">
      <c r="A5107" s="40">
        <v>43768</v>
      </c>
      <c r="B5107" s="38">
        <v>-33.5</v>
      </c>
      <c r="C5107" s="13" t="s">
        <v>1188</v>
      </c>
      <c r="D5107" s="36">
        <v>7993.94</v>
      </c>
      <c r="E5107" s="43" t="s">
        <v>3596</v>
      </c>
    </row>
    <row r="5108" spans="1:5" x14ac:dyDescent="0.35">
      <c r="A5108" s="40">
        <v>43768</v>
      </c>
      <c r="B5108" s="38">
        <v>-3.73</v>
      </c>
      <c r="C5108" s="13" t="s">
        <v>1189</v>
      </c>
      <c r="D5108" s="36">
        <v>8027.44</v>
      </c>
      <c r="E5108" s="43" t="s">
        <v>3596</v>
      </c>
    </row>
    <row r="5109" spans="1:5" x14ac:dyDescent="0.35">
      <c r="A5109" s="40">
        <v>43768</v>
      </c>
      <c r="B5109" s="38">
        <v>-21.88</v>
      </c>
      <c r="C5109" s="13" t="s">
        <v>773</v>
      </c>
      <c r="D5109" s="36">
        <v>7964.86</v>
      </c>
      <c r="E5109" s="43" t="s">
        <v>3596</v>
      </c>
    </row>
    <row r="5110" spans="1:5" x14ac:dyDescent="0.35">
      <c r="A5110" s="40">
        <v>43767</v>
      </c>
      <c r="B5110" s="38">
        <v>-2.33</v>
      </c>
      <c r="C5110" s="13" t="s">
        <v>4</v>
      </c>
      <c r="D5110" s="36">
        <v>8042.81</v>
      </c>
      <c r="E5110" s="43" t="s">
        <v>3596</v>
      </c>
    </row>
    <row r="5111" spans="1:5" x14ac:dyDescent="0.35">
      <c r="A5111" s="40">
        <v>43767</v>
      </c>
      <c r="B5111" s="38">
        <v>-10.14</v>
      </c>
      <c r="C5111" s="13" t="s">
        <v>1191</v>
      </c>
      <c r="D5111" s="36">
        <v>8057.34</v>
      </c>
      <c r="E5111" s="43" t="s">
        <v>3596</v>
      </c>
    </row>
    <row r="5112" spans="1:5" x14ac:dyDescent="0.35">
      <c r="A5112" s="40">
        <v>43767</v>
      </c>
      <c r="B5112" s="38">
        <v>-40</v>
      </c>
      <c r="C5112" s="13" t="s">
        <v>1192</v>
      </c>
      <c r="D5112" s="36">
        <v>8067.48</v>
      </c>
      <c r="E5112" s="43" t="s">
        <v>3596</v>
      </c>
    </row>
    <row r="5113" spans="1:5" x14ac:dyDescent="0.35">
      <c r="A5113" s="40">
        <v>43767</v>
      </c>
      <c r="B5113" s="38">
        <v>-8.4499999999999993</v>
      </c>
      <c r="C5113" s="13" t="s">
        <v>779</v>
      </c>
      <c r="D5113" s="36">
        <v>8034.36</v>
      </c>
      <c r="E5113" s="43" t="s">
        <v>3596</v>
      </c>
    </row>
    <row r="5114" spans="1:5" x14ac:dyDescent="0.35">
      <c r="A5114" s="40">
        <v>43767</v>
      </c>
      <c r="B5114" s="38">
        <v>-12.2</v>
      </c>
      <c r="C5114" s="13" t="s">
        <v>1190</v>
      </c>
      <c r="D5114" s="36">
        <v>8045.14</v>
      </c>
      <c r="E5114" s="43" t="s">
        <v>3596</v>
      </c>
    </row>
    <row r="5115" spans="1:5" x14ac:dyDescent="0.35">
      <c r="A5115" s="40">
        <v>43767</v>
      </c>
      <c r="B5115" s="38">
        <v>-3.19</v>
      </c>
      <c r="C5115" s="13" t="s">
        <v>1</v>
      </c>
      <c r="D5115" s="36">
        <v>8031.17</v>
      </c>
      <c r="E5115" s="43" t="s">
        <v>3596</v>
      </c>
    </row>
    <row r="5116" spans="1:5" x14ac:dyDescent="0.35">
      <c r="A5116" s="40">
        <v>43766</v>
      </c>
      <c r="B5116" s="38">
        <v>-15.03</v>
      </c>
      <c r="C5116" s="13" t="s">
        <v>13</v>
      </c>
      <c r="D5116" s="36">
        <v>8107.48</v>
      </c>
      <c r="E5116" s="43" t="s">
        <v>3596</v>
      </c>
    </row>
    <row r="5117" spans="1:5" x14ac:dyDescent="0.35">
      <c r="A5117" s="40">
        <v>43766</v>
      </c>
      <c r="B5117" s="38">
        <v>-3.5</v>
      </c>
      <c r="C5117" s="13" t="s">
        <v>4</v>
      </c>
      <c r="D5117" s="36">
        <v>7003.41</v>
      </c>
      <c r="E5117" s="43" t="s">
        <v>3596</v>
      </c>
    </row>
    <row r="5118" spans="1:5" x14ac:dyDescent="0.35">
      <c r="A5118" s="40">
        <v>43766</v>
      </c>
      <c r="B5118" s="38">
        <v>1130</v>
      </c>
      <c r="C5118" s="13" t="s">
        <v>1193</v>
      </c>
      <c r="D5118" s="36">
        <v>8133.41</v>
      </c>
      <c r="E5118" s="43" t="s">
        <v>3596</v>
      </c>
    </row>
    <row r="5119" spans="1:5" x14ac:dyDescent="0.35">
      <c r="A5119" s="40">
        <v>43766</v>
      </c>
      <c r="B5119" s="38">
        <v>-10.9</v>
      </c>
      <c r="C5119" s="13" t="s">
        <v>11</v>
      </c>
      <c r="D5119" s="36">
        <v>8122.51</v>
      </c>
      <c r="E5119" s="43" t="s">
        <v>3596</v>
      </c>
    </row>
    <row r="5120" spans="1:5" x14ac:dyDescent="0.35">
      <c r="A5120" s="40">
        <v>43764</v>
      </c>
      <c r="B5120" s="38">
        <v>-100</v>
      </c>
      <c r="C5120" s="13" t="s">
        <v>946</v>
      </c>
      <c r="D5120" s="36">
        <v>7027.31</v>
      </c>
      <c r="E5120" s="43" t="s">
        <v>3596</v>
      </c>
    </row>
    <row r="5121" spans="1:5" x14ac:dyDescent="0.35">
      <c r="A5121" s="40">
        <v>43764</v>
      </c>
      <c r="B5121" s="38">
        <v>-7.5</v>
      </c>
      <c r="C5121" s="13" t="s">
        <v>312</v>
      </c>
      <c r="D5121" s="36">
        <v>7006.91</v>
      </c>
      <c r="E5121" s="43" t="s">
        <v>3596</v>
      </c>
    </row>
    <row r="5122" spans="1:5" x14ac:dyDescent="0.35">
      <c r="A5122" s="40">
        <v>43764</v>
      </c>
      <c r="B5122" s="38">
        <v>-12.9</v>
      </c>
      <c r="C5122" s="13" t="s">
        <v>763</v>
      </c>
      <c r="D5122" s="36">
        <v>7014.41</v>
      </c>
      <c r="E5122" s="43" t="s">
        <v>3596</v>
      </c>
    </row>
    <row r="5123" spans="1:5" x14ac:dyDescent="0.35">
      <c r="A5123" s="40">
        <v>43763</v>
      </c>
      <c r="B5123" s="38">
        <v>1300</v>
      </c>
      <c r="C5123" s="13" t="s">
        <v>1224</v>
      </c>
      <c r="D5123" s="36">
        <v>7129.81</v>
      </c>
      <c r="E5123" s="43" t="s">
        <v>3596</v>
      </c>
    </row>
    <row r="5124" spans="1:5" x14ac:dyDescent="0.35">
      <c r="A5124" s="40">
        <v>43763</v>
      </c>
      <c r="B5124" s="38">
        <v>-8.9</v>
      </c>
      <c r="C5124" s="13" t="s">
        <v>765</v>
      </c>
      <c r="D5124" s="36">
        <v>5857.81</v>
      </c>
      <c r="E5124" s="43" t="s">
        <v>3596</v>
      </c>
    </row>
    <row r="5125" spans="1:5" x14ac:dyDescent="0.35">
      <c r="A5125" s="40">
        <v>43763</v>
      </c>
      <c r="B5125" s="38">
        <v>-28</v>
      </c>
      <c r="C5125" s="13" t="s">
        <v>764</v>
      </c>
      <c r="D5125" s="36">
        <v>5829.81</v>
      </c>
      <c r="E5125" s="43" t="s">
        <v>3596</v>
      </c>
    </row>
    <row r="5126" spans="1:5" x14ac:dyDescent="0.35">
      <c r="A5126" s="40">
        <v>43763</v>
      </c>
      <c r="B5126" s="38">
        <v>-2.5</v>
      </c>
      <c r="C5126" s="13" t="s">
        <v>201</v>
      </c>
      <c r="D5126" s="36">
        <v>7127.31</v>
      </c>
      <c r="E5126" s="43" t="s">
        <v>3596</v>
      </c>
    </row>
    <row r="5127" spans="1:5" x14ac:dyDescent="0.35">
      <c r="A5127" s="40">
        <v>43762</v>
      </c>
      <c r="B5127" s="38">
        <v>-8.9</v>
      </c>
      <c r="C5127" s="13" t="s">
        <v>767</v>
      </c>
      <c r="D5127" s="36">
        <v>5886.73</v>
      </c>
      <c r="E5127" s="43" t="s">
        <v>3596</v>
      </c>
    </row>
    <row r="5128" spans="1:5" x14ac:dyDescent="0.35">
      <c r="A5128" s="40">
        <v>43762</v>
      </c>
      <c r="B5128" s="38">
        <v>-20.02</v>
      </c>
      <c r="C5128" s="13" t="s">
        <v>766</v>
      </c>
      <c r="D5128" s="36">
        <v>5866.71</v>
      </c>
      <c r="E5128" s="43" t="s">
        <v>3596</v>
      </c>
    </row>
    <row r="5129" spans="1:5" x14ac:dyDescent="0.35">
      <c r="A5129" s="40">
        <v>43761</v>
      </c>
      <c r="B5129" s="38">
        <v>-4.8099999999999996</v>
      </c>
      <c r="C5129" s="13" t="s">
        <v>4</v>
      </c>
      <c r="D5129" s="36">
        <v>7325.63</v>
      </c>
      <c r="E5129" s="43" t="s">
        <v>3596</v>
      </c>
    </row>
    <row r="5130" spans="1:5" x14ac:dyDescent="0.35">
      <c r="A5130" s="40">
        <v>43761</v>
      </c>
      <c r="B5130" s="38">
        <v>-1300</v>
      </c>
      <c r="C5130" s="13" t="s">
        <v>1223</v>
      </c>
      <c r="D5130" s="36">
        <v>6025.63</v>
      </c>
      <c r="E5130" s="43" t="s">
        <v>3596</v>
      </c>
    </row>
    <row r="5131" spans="1:5" x14ac:dyDescent="0.35">
      <c r="A5131" s="40">
        <v>43761</v>
      </c>
      <c r="B5131" s="38">
        <v>-62</v>
      </c>
      <c r="C5131" s="13" t="s">
        <v>769</v>
      </c>
      <c r="D5131" s="36">
        <v>7335.09</v>
      </c>
      <c r="E5131" s="43" t="s">
        <v>3596</v>
      </c>
    </row>
    <row r="5132" spans="1:5" x14ac:dyDescent="0.35">
      <c r="A5132" s="40">
        <v>43761</v>
      </c>
      <c r="B5132" s="38">
        <v>-9.99</v>
      </c>
      <c r="C5132" s="13" t="s">
        <v>770</v>
      </c>
      <c r="D5132" s="36">
        <v>7397.09</v>
      </c>
      <c r="E5132" s="43" t="s">
        <v>3596</v>
      </c>
    </row>
    <row r="5133" spans="1:5" x14ac:dyDescent="0.35">
      <c r="A5133" s="40">
        <v>43761</v>
      </c>
      <c r="B5133" s="38">
        <v>-130</v>
      </c>
      <c r="C5133" s="13" t="s">
        <v>947</v>
      </c>
      <c r="D5133" s="36">
        <v>5895.63</v>
      </c>
      <c r="E5133" s="43" t="s">
        <v>3596</v>
      </c>
    </row>
    <row r="5134" spans="1:5" x14ac:dyDescent="0.35">
      <c r="A5134" s="40">
        <v>43761</v>
      </c>
      <c r="B5134" s="38">
        <v>-4.6500000000000004</v>
      </c>
      <c r="C5134" s="13" t="s">
        <v>768</v>
      </c>
      <c r="D5134" s="36">
        <v>7330.44</v>
      </c>
      <c r="E5134" s="43" t="s">
        <v>3596</v>
      </c>
    </row>
    <row r="5135" spans="1:5" x14ac:dyDescent="0.35">
      <c r="A5135" s="40">
        <v>43760</v>
      </c>
      <c r="B5135" s="38">
        <v>-40</v>
      </c>
      <c r="C5135" s="13" t="s">
        <v>772</v>
      </c>
      <c r="D5135" s="36">
        <v>7447.08</v>
      </c>
      <c r="E5135" s="43" t="s">
        <v>3596</v>
      </c>
    </row>
    <row r="5136" spans="1:5" x14ac:dyDescent="0.35">
      <c r="A5136" s="40">
        <v>43760</v>
      </c>
      <c r="B5136" s="38">
        <v>-14</v>
      </c>
      <c r="C5136" s="13" t="s">
        <v>771</v>
      </c>
      <c r="D5136" s="36">
        <v>7433.08</v>
      </c>
      <c r="E5136" s="43" t="s">
        <v>3596</v>
      </c>
    </row>
    <row r="5137" spans="1:5" x14ac:dyDescent="0.35">
      <c r="A5137" s="40">
        <v>43760</v>
      </c>
      <c r="B5137" s="38">
        <v>-26</v>
      </c>
      <c r="C5137" s="13" t="s">
        <v>171</v>
      </c>
      <c r="D5137" s="36">
        <v>7407.08</v>
      </c>
      <c r="E5137" s="43" t="s">
        <v>3596</v>
      </c>
    </row>
    <row r="5138" spans="1:5" x14ac:dyDescent="0.35">
      <c r="A5138" s="40">
        <v>43759</v>
      </c>
      <c r="B5138" s="38">
        <v>-3.92</v>
      </c>
      <c r="C5138" s="13" t="s">
        <v>4</v>
      </c>
      <c r="D5138" s="36">
        <v>7496.98</v>
      </c>
      <c r="E5138" s="43" t="s">
        <v>3596</v>
      </c>
    </row>
    <row r="5139" spans="1:5" x14ac:dyDescent="0.35">
      <c r="A5139" s="40">
        <v>43759</v>
      </c>
      <c r="B5139" s="38">
        <v>-9.9</v>
      </c>
      <c r="C5139" s="13" t="s">
        <v>773</v>
      </c>
      <c r="D5139" s="36">
        <v>7487.08</v>
      </c>
      <c r="E5139" s="43" t="s">
        <v>3596</v>
      </c>
    </row>
    <row r="5140" spans="1:5" x14ac:dyDescent="0.35">
      <c r="A5140" s="40">
        <v>43758</v>
      </c>
      <c r="B5140" s="38">
        <v>-41.19</v>
      </c>
      <c r="C5140" s="13" t="s">
        <v>1</v>
      </c>
      <c r="D5140" s="36">
        <v>7500.9</v>
      </c>
      <c r="E5140" s="43" t="s">
        <v>3596</v>
      </c>
    </row>
    <row r="5141" spans="1:5" x14ac:dyDescent="0.35">
      <c r="A5141" s="40">
        <v>43758</v>
      </c>
      <c r="B5141" s="38">
        <v>-40.79</v>
      </c>
      <c r="C5141" s="13" t="s">
        <v>773</v>
      </c>
      <c r="D5141" s="36">
        <v>7542.09</v>
      </c>
      <c r="E5141" s="43" t="s">
        <v>3596</v>
      </c>
    </row>
    <row r="5142" spans="1:5" x14ac:dyDescent="0.35">
      <c r="A5142" s="40">
        <v>43757</v>
      </c>
      <c r="B5142" s="38">
        <v>-8.9</v>
      </c>
      <c r="C5142" s="13" t="s">
        <v>774</v>
      </c>
      <c r="D5142" s="36">
        <v>7702.47</v>
      </c>
      <c r="E5142" s="43" t="s">
        <v>3596</v>
      </c>
    </row>
    <row r="5143" spans="1:5" x14ac:dyDescent="0.35">
      <c r="A5143" s="40">
        <v>43757</v>
      </c>
      <c r="B5143" s="38">
        <v>-60.71</v>
      </c>
      <c r="C5143" s="13" t="s">
        <v>1</v>
      </c>
      <c r="D5143" s="36">
        <v>7611.96</v>
      </c>
      <c r="E5143" s="43" t="s">
        <v>3596</v>
      </c>
    </row>
    <row r="5144" spans="1:5" x14ac:dyDescent="0.35">
      <c r="A5144" s="40">
        <v>43757</v>
      </c>
      <c r="B5144" s="38">
        <v>-100</v>
      </c>
      <c r="C5144" s="13" t="s">
        <v>946</v>
      </c>
      <c r="D5144" s="36">
        <v>7711.37</v>
      </c>
      <c r="E5144" s="43" t="s">
        <v>3596</v>
      </c>
    </row>
    <row r="5145" spans="1:5" x14ac:dyDescent="0.35">
      <c r="A5145" s="40">
        <v>43757</v>
      </c>
      <c r="B5145" s="38">
        <v>-29.08</v>
      </c>
      <c r="C5145" s="13" t="s">
        <v>773</v>
      </c>
      <c r="D5145" s="36">
        <v>7582.88</v>
      </c>
      <c r="E5145" s="43" t="s">
        <v>3596</v>
      </c>
    </row>
    <row r="5146" spans="1:5" x14ac:dyDescent="0.35">
      <c r="A5146" s="40">
        <v>43757</v>
      </c>
      <c r="B5146" s="38">
        <v>-29.8</v>
      </c>
      <c r="C5146" s="13" t="s">
        <v>312</v>
      </c>
      <c r="D5146" s="36">
        <v>7672.67</v>
      </c>
      <c r="E5146" s="43" t="s">
        <v>3596</v>
      </c>
    </row>
    <row r="5147" spans="1:5" x14ac:dyDescent="0.35">
      <c r="A5147" s="40">
        <v>43756</v>
      </c>
      <c r="B5147" s="39">
        <v>-50</v>
      </c>
      <c r="C5147" s="14" t="s">
        <v>1702</v>
      </c>
      <c r="D5147" s="37">
        <v>7811.37</v>
      </c>
      <c r="E5147" s="44" t="s">
        <v>3596</v>
      </c>
    </row>
    <row r="5148" spans="1:5" x14ac:dyDescent="0.35">
      <c r="A5148" s="40">
        <v>43756</v>
      </c>
      <c r="B5148" s="38">
        <v>-42</v>
      </c>
      <c r="C5148" s="13" t="s">
        <v>777</v>
      </c>
      <c r="D5148" s="36">
        <v>7988.24</v>
      </c>
      <c r="E5148" s="43" t="s">
        <v>3596</v>
      </c>
    </row>
    <row r="5149" spans="1:5" x14ac:dyDescent="0.35">
      <c r="A5149" s="40">
        <v>43756</v>
      </c>
      <c r="B5149" s="38">
        <v>-26.09</v>
      </c>
      <c r="C5149" s="13" t="s">
        <v>776</v>
      </c>
      <c r="D5149" s="36">
        <v>7962.15</v>
      </c>
      <c r="E5149" s="43" t="s">
        <v>3596</v>
      </c>
    </row>
    <row r="5150" spans="1:5" x14ac:dyDescent="0.35">
      <c r="A5150" s="40">
        <v>43756</v>
      </c>
      <c r="B5150" s="38">
        <v>-100</v>
      </c>
      <c r="C5150" s="13" t="s">
        <v>947</v>
      </c>
      <c r="D5150" s="36">
        <v>7861.37</v>
      </c>
      <c r="E5150" s="43" t="s">
        <v>3596</v>
      </c>
    </row>
    <row r="5151" spans="1:5" x14ac:dyDescent="0.35">
      <c r="A5151" s="40">
        <v>43756</v>
      </c>
      <c r="B5151" s="38">
        <v>-0.78</v>
      </c>
      <c r="C5151" s="13" t="s">
        <v>775</v>
      </c>
      <c r="D5151" s="36">
        <v>7961.37</v>
      </c>
      <c r="E5151" s="43" t="s">
        <v>3596</v>
      </c>
    </row>
    <row r="5152" spans="1:5" x14ac:dyDescent="0.35">
      <c r="A5152" s="40">
        <v>43755</v>
      </c>
      <c r="B5152" s="38">
        <v>-1.69</v>
      </c>
      <c r="C5152" s="13" t="s">
        <v>4</v>
      </c>
      <c r="D5152" s="36">
        <v>8030.24</v>
      </c>
      <c r="E5152" s="43" t="s">
        <v>3596</v>
      </c>
    </row>
    <row r="5153" spans="1:5" x14ac:dyDescent="0.35">
      <c r="A5153" s="40">
        <v>43755</v>
      </c>
      <c r="B5153" s="38">
        <v>2620.59</v>
      </c>
      <c r="C5153" s="13" t="s">
        <v>778</v>
      </c>
      <c r="D5153" s="36">
        <v>8531.93</v>
      </c>
      <c r="E5153" s="43" t="s">
        <v>3596</v>
      </c>
    </row>
    <row r="5154" spans="1:5" x14ac:dyDescent="0.35">
      <c r="A5154" s="40">
        <v>43755</v>
      </c>
      <c r="B5154" s="38">
        <v>-500</v>
      </c>
      <c r="C5154" s="13" t="s">
        <v>945</v>
      </c>
      <c r="D5154" s="36">
        <v>8031.93</v>
      </c>
      <c r="E5154" s="43" t="s">
        <v>3596</v>
      </c>
    </row>
    <row r="5155" spans="1:5" x14ac:dyDescent="0.35">
      <c r="A5155" s="40">
        <v>43754</v>
      </c>
      <c r="B5155" s="38">
        <v>-27.9</v>
      </c>
      <c r="C5155" s="13" t="s">
        <v>782</v>
      </c>
      <c r="D5155" s="36">
        <v>6545.14</v>
      </c>
      <c r="E5155" s="43" t="s">
        <v>3596</v>
      </c>
    </row>
    <row r="5156" spans="1:5" x14ac:dyDescent="0.35">
      <c r="A5156" s="40">
        <v>43754</v>
      </c>
      <c r="B5156" s="38">
        <v>-40</v>
      </c>
      <c r="C5156" s="13" t="s">
        <v>783</v>
      </c>
      <c r="D5156" s="36">
        <v>6573.04</v>
      </c>
      <c r="E5156" s="43" t="s">
        <v>3596</v>
      </c>
    </row>
    <row r="5157" spans="1:5" x14ac:dyDescent="0.35">
      <c r="A5157" s="40">
        <v>43754</v>
      </c>
      <c r="B5157" s="38">
        <v>-6.2</v>
      </c>
      <c r="C5157" s="13" t="s">
        <v>779</v>
      </c>
      <c r="D5157" s="36">
        <v>5911.34</v>
      </c>
      <c r="E5157" s="43" t="s">
        <v>3596</v>
      </c>
    </row>
    <row r="5158" spans="1:5" x14ac:dyDescent="0.35">
      <c r="A5158" s="40">
        <v>43754</v>
      </c>
      <c r="B5158" s="38">
        <v>-599</v>
      </c>
      <c r="C5158" s="13" t="s">
        <v>780</v>
      </c>
      <c r="D5158" s="36">
        <v>5933.94</v>
      </c>
      <c r="E5158" s="43" t="s">
        <v>3596</v>
      </c>
    </row>
    <row r="5159" spans="1:5" x14ac:dyDescent="0.35">
      <c r="A5159" s="40">
        <v>43754</v>
      </c>
      <c r="B5159" s="38">
        <v>-16.399999999999999</v>
      </c>
      <c r="C5159" s="13" t="s">
        <v>11</v>
      </c>
      <c r="D5159" s="36">
        <v>5917.54</v>
      </c>
      <c r="E5159" s="43" t="s">
        <v>3596</v>
      </c>
    </row>
    <row r="5160" spans="1:5" x14ac:dyDescent="0.35">
      <c r="A5160" s="40">
        <v>43754</v>
      </c>
      <c r="B5160" s="38">
        <v>-12.2</v>
      </c>
      <c r="C5160" s="13" t="s">
        <v>781</v>
      </c>
      <c r="D5160" s="36">
        <v>6532.94</v>
      </c>
      <c r="E5160" s="43" t="s">
        <v>3596</v>
      </c>
    </row>
    <row r="5161" spans="1:5" x14ac:dyDescent="0.35">
      <c r="A5161" s="40">
        <v>43753</v>
      </c>
      <c r="B5161" s="38">
        <v>-8.9</v>
      </c>
      <c r="C5161" s="13" t="s">
        <v>784</v>
      </c>
      <c r="D5161" s="36">
        <v>6613.04</v>
      </c>
      <c r="E5161" s="43" t="s">
        <v>3596</v>
      </c>
    </row>
    <row r="5162" spans="1:5" x14ac:dyDescent="0.35">
      <c r="A5162" s="40">
        <v>43752</v>
      </c>
      <c r="B5162" s="38">
        <v>-1.78</v>
      </c>
      <c r="C5162" s="13" t="s">
        <v>4</v>
      </c>
      <c r="D5162" s="36">
        <v>6643.29</v>
      </c>
      <c r="E5162" s="43" t="s">
        <v>3596</v>
      </c>
    </row>
    <row r="5163" spans="1:5" x14ac:dyDescent="0.35">
      <c r="A5163" s="40">
        <v>43752</v>
      </c>
      <c r="B5163" s="38">
        <v>-7.35</v>
      </c>
      <c r="C5163" s="13" t="s">
        <v>779</v>
      </c>
      <c r="D5163" s="36">
        <v>6621.94</v>
      </c>
      <c r="E5163" s="43" t="s">
        <v>3596</v>
      </c>
    </row>
    <row r="5164" spans="1:5" x14ac:dyDescent="0.35">
      <c r="A5164" s="40">
        <v>43752</v>
      </c>
      <c r="B5164" s="38">
        <v>-14</v>
      </c>
      <c r="C5164" s="13" t="s">
        <v>171</v>
      </c>
      <c r="D5164" s="36">
        <v>6629.29</v>
      </c>
      <c r="E5164" s="43" t="s">
        <v>3596</v>
      </c>
    </row>
    <row r="5165" spans="1:5" x14ac:dyDescent="0.35">
      <c r="A5165" s="40">
        <v>43751</v>
      </c>
      <c r="B5165" s="38">
        <v>-33.61</v>
      </c>
      <c r="C5165" s="13" t="s">
        <v>1</v>
      </c>
      <c r="D5165" s="36">
        <v>6645.07</v>
      </c>
      <c r="E5165" s="43" t="s">
        <v>3596</v>
      </c>
    </row>
    <row r="5166" spans="1:5" x14ac:dyDescent="0.35">
      <c r="A5166" s="40">
        <v>43750</v>
      </c>
      <c r="B5166" s="38">
        <v>-25</v>
      </c>
      <c r="C5166" s="13" t="s">
        <v>785</v>
      </c>
      <c r="D5166" s="36">
        <v>6523.68</v>
      </c>
      <c r="E5166" s="43" t="s">
        <v>3596</v>
      </c>
    </row>
    <row r="5167" spans="1:5" x14ac:dyDescent="0.35">
      <c r="A5167" s="40">
        <v>43750</v>
      </c>
      <c r="B5167" s="38">
        <v>-100</v>
      </c>
      <c r="C5167" s="13" t="s">
        <v>946</v>
      </c>
      <c r="D5167" s="36">
        <v>6548.68</v>
      </c>
      <c r="E5167" s="43" t="s">
        <v>3596</v>
      </c>
    </row>
    <row r="5168" spans="1:5" x14ac:dyDescent="0.35">
      <c r="A5168" s="40">
        <v>43750</v>
      </c>
      <c r="B5168" s="38">
        <v>155</v>
      </c>
      <c r="C5168" s="13" t="s">
        <v>1247</v>
      </c>
      <c r="D5168" s="36">
        <v>6678.68</v>
      </c>
      <c r="E5168" s="43" t="s">
        <v>3596</v>
      </c>
    </row>
    <row r="5169" spans="1:5" x14ac:dyDescent="0.35">
      <c r="A5169" s="40">
        <v>43749</v>
      </c>
      <c r="B5169" s="38">
        <v>-0.64</v>
      </c>
      <c r="C5169" s="13" t="s">
        <v>4</v>
      </c>
      <c r="D5169" s="36">
        <v>6673.53</v>
      </c>
      <c r="E5169" s="43" t="s">
        <v>3596</v>
      </c>
    </row>
    <row r="5170" spans="1:5" x14ac:dyDescent="0.35">
      <c r="A5170" s="40">
        <v>43749</v>
      </c>
      <c r="B5170" s="38">
        <v>-40</v>
      </c>
      <c r="C5170" s="13" t="s">
        <v>787</v>
      </c>
      <c r="D5170" s="36">
        <v>6683.07</v>
      </c>
      <c r="E5170" s="43" t="s">
        <v>3596</v>
      </c>
    </row>
    <row r="5171" spans="1:5" x14ac:dyDescent="0.35">
      <c r="A5171" s="40">
        <v>43749</v>
      </c>
      <c r="B5171" s="38">
        <v>-8.9</v>
      </c>
      <c r="C5171" s="13" t="s">
        <v>786</v>
      </c>
      <c r="D5171" s="36">
        <v>6674.17</v>
      </c>
      <c r="E5171" s="43" t="s">
        <v>3596</v>
      </c>
    </row>
    <row r="5172" spans="1:5" x14ac:dyDescent="0.35">
      <c r="A5172" s="40">
        <v>43749</v>
      </c>
      <c r="B5172" s="38">
        <v>-9.4499999999999993</v>
      </c>
      <c r="C5172" s="13" t="s">
        <v>779</v>
      </c>
      <c r="D5172" s="36">
        <v>6648.68</v>
      </c>
      <c r="E5172" s="43" t="s">
        <v>3596</v>
      </c>
    </row>
    <row r="5173" spans="1:5" x14ac:dyDescent="0.35">
      <c r="A5173" s="40">
        <v>43749</v>
      </c>
      <c r="B5173" s="38">
        <v>-15.4</v>
      </c>
      <c r="C5173" s="13" t="s">
        <v>11</v>
      </c>
      <c r="D5173" s="36">
        <v>6658.13</v>
      </c>
      <c r="E5173" s="43" t="s">
        <v>3596</v>
      </c>
    </row>
    <row r="5174" spans="1:5" x14ac:dyDescent="0.35">
      <c r="A5174" s="40">
        <v>43748</v>
      </c>
      <c r="B5174" s="38">
        <v>-36.869999999999997</v>
      </c>
      <c r="C5174" s="13" t="s">
        <v>788</v>
      </c>
      <c r="D5174" s="36">
        <v>6796.07</v>
      </c>
      <c r="E5174" s="43" t="s">
        <v>3596</v>
      </c>
    </row>
    <row r="5175" spans="1:5" x14ac:dyDescent="0.35">
      <c r="A5175" s="40">
        <v>43748</v>
      </c>
      <c r="B5175" s="38">
        <v>-73</v>
      </c>
      <c r="C5175" s="13" t="s">
        <v>37</v>
      </c>
      <c r="D5175" s="36">
        <v>6723.07</v>
      </c>
      <c r="E5175" s="43" t="s">
        <v>3596</v>
      </c>
    </row>
    <row r="5176" spans="1:5" x14ac:dyDescent="0.35">
      <c r="A5176" s="40">
        <v>43747</v>
      </c>
      <c r="B5176" s="38">
        <v>-4.01</v>
      </c>
      <c r="C5176" s="13" t="s">
        <v>4</v>
      </c>
      <c r="D5176" s="36">
        <v>6848.34</v>
      </c>
      <c r="E5176" s="43" t="s">
        <v>3596</v>
      </c>
    </row>
    <row r="5177" spans="1:5" x14ac:dyDescent="0.35">
      <c r="A5177" s="40">
        <v>43747</v>
      </c>
      <c r="B5177" s="38">
        <v>-28.5</v>
      </c>
      <c r="C5177" s="13" t="s">
        <v>789</v>
      </c>
      <c r="D5177" s="36">
        <v>6852.35</v>
      </c>
      <c r="E5177" s="43" t="s">
        <v>3596</v>
      </c>
    </row>
    <row r="5178" spans="1:5" x14ac:dyDescent="0.35">
      <c r="A5178" s="40">
        <v>43747</v>
      </c>
      <c r="B5178" s="38">
        <v>-20</v>
      </c>
      <c r="C5178" s="13" t="s">
        <v>791</v>
      </c>
      <c r="D5178" s="36">
        <v>6917.21</v>
      </c>
      <c r="E5178" s="43" t="s">
        <v>3596</v>
      </c>
    </row>
    <row r="5179" spans="1:5" x14ac:dyDescent="0.35">
      <c r="A5179" s="40">
        <v>43747</v>
      </c>
      <c r="B5179" s="38">
        <v>-11</v>
      </c>
      <c r="C5179" s="13" t="s">
        <v>792</v>
      </c>
      <c r="D5179" s="36">
        <v>6937.21</v>
      </c>
      <c r="E5179" s="43" t="s">
        <v>3596</v>
      </c>
    </row>
    <row r="5180" spans="1:5" x14ac:dyDescent="0.35">
      <c r="A5180" s="40">
        <v>43747</v>
      </c>
      <c r="B5180" s="38">
        <v>-36.36</v>
      </c>
      <c r="C5180" s="13" t="s">
        <v>790</v>
      </c>
      <c r="D5180" s="36">
        <v>6880.85</v>
      </c>
      <c r="E5180" s="43" t="s">
        <v>3596</v>
      </c>
    </row>
    <row r="5181" spans="1:5" x14ac:dyDescent="0.35">
      <c r="A5181" s="40">
        <v>43747</v>
      </c>
      <c r="B5181" s="38">
        <v>-15.4</v>
      </c>
      <c r="C5181" s="13" t="s">
        <v>11</v>
      </c>
      <c r="D5181" s="36">
        <v>6832.94</v>
      </c>
      <c r="E5181" s="43" t="s">
        <v>3596</v>
      </c>
    </row>
    <row r="5182" spans="1:5" x14ac:dyDescent="0.35">
      <c r="A5182" s="40">
        <v>43747</v>
      </c>
      <c r="B5182" s="38">
        <v>-10.15</v>
      </c>
      <c r="C5182" s="13" t="s">
        <v>793</v>
      </c>
      <c r="D5182" s="36">
        <v>6948.21</v>
      </c>
      <c r="E5182" s="43" t="s">
        <v>3596</v>
      </c>
    </row>
    <row r="5183" spans="1:5" x14ac:dyDescent="0.35">
      <c r="A5183" s="40">
        <v>43746</v>
      </c>
      <c r="B5183" s="38">
        <v>-40</v>
      </c>
      <c r="C5183" s="13" t="s">
        <v>791</v>
      </c>
      <c r="D5183" s="36">
        <v>7037.02</v>
      </c>
      <c r="E5183" s="43" t="s">
        <v>3596</v>
      </c>
    </row>
    <row r="5184" spans="1:5" x14ac:dyDescent="0.35">
      <c r="A5184" s="40">
        <v>43746</v>
      </c>
      <c r="B5184" s="38">
        <v>-46</v>
      </c>
      <c r="C5184" s="13" t="s">
        <v>796</v>
      </c>
      <c r="D5184" s="36">
        <v>7077.02</v>
      </c>
      <c r="E5184" s="43" t="s">
        <v>3596</v>
      </c>
    </row>
    <row r="5185" spans="1:5" x14ac:dyDescent="0.35">
      <c r="A5185" s="40">
        <v>43746</v>
      </c>
      <c r="B5185" s="38">
        <v>-38</v>
      </c>
      <c r="C5185" s="13" t="s">
        <v>794</v>
      </c>
      <c r="D5185" s="36">
        <v>6990.12</v>
      </c>
      <c r="E5185" s="43" t="s">
        <v>3596</v>
      </c>
    </row>
    <row r="5186" spans="1:5" x14ac:dyDescent="0.35">
      <c r="A5186" s="40">
        <v>43746</v>
      </c>
      <c r="B5186" s="38">
        <v>-8.9</v>
      </c>
      <c r="C5186" s="13" t="s">
        <v>795</v>
      </c>
      <c r="D5186" s="36">
        <v>7028.12</v>
      </c>
      <c r="E5186" s="43" t="s">
        <v>3596</v>
      </c>
    </row>
    <row r="5187" spans="1:5" x14ac:dyDescent="0.35">
      <c r="A5187" s="40">
        <v>43746</v>
      </c>
      <c r="B5187" s="38">
        <v>-10.5</v>
      </c>
      <c r="C5187" s="13" t="s">
        <v>779</v>
      </c>
      <c r="D5187" s="36">
        <v>6979.62</v>
      </c>
      <c r="E5187" s="43" t="s">
        <v>3596</v>
      </c>
    </row>
    <row r="5188" spans="1:5" x14ac:dyDescent="0.35">
      <c r="A5188" s="40">
        <v>43746</v>
      </c>
      <c r="B5188" s="38">
        <v>-21.26</v>
      </c>
      <c r="C5188" s="13" t="s">
        <v>1</v>
      </c>
      <c r="D5188" s="36">
        <v>6958.36</v>
      </c>
      <c r="E5188" s="43" t="s">
        <v>3596</v>
      </c>
    </row>
    <row r="5189" spans="1:5" x14ac:dyDescent="0.35">
      <c r="A5189" s="40">
        <v>43744</v>
      </c>
      <c r="B5189" s="38">
        <v>-140</v>
      </c>
      <c r="C5189" s="13" t="s">
        <v>1708</v>
      </c>
      <c r="D5189" s="36">
        <v>7125.92</v>
      </c>
      <c r="E5189" s="43" t="s">
        <v>3596</v>
      </c>
    </row>
    <row r="5190" spans="1:5" x14ac:dyDescent="0.35">
      <c r="A5190" s="40">
        <v>43744</v>
      </c>
      <c r="B5190" s="38">
        <v>-17</v>
      </c>
      <c r="C5190" s="13" t="s">
        <v>797</v>
      </c>
      <c r="D5190" s="36">
        <v>7265.92</v>
      </c>
      <c r="E5190" s="43" t="s">
        <v>3596</v>
      </c>
    </row>
    <row r="5191" spans="1:5" x14ac:dyDescent="0.35">
      <c r="A5191" s="40">
        <v>43744</v>
      </c>
      <c r="B5191" s="38">
        <v>-2.9</v>
      </c>
      <c r="C5191" s="13" t="s">
        <v>24</v>
      </c>
      <c r="D5191" s="36">
        <v>7123.02</v>
      </c>
      <c r="E5191" s="43" t="s">
        <v>3596</v>
      </c>
    </row>
    <row r="5192" spans="1:5" x14ac:dyDescent="0.35">
      <c r="A5192" s="40">
        <v>43743</v>
      </c>
      <c r="B5192" s="38">
        <v>-15</v>
      </c>
      <c r="C5192" s="13" t="s">
        <v>798</v>
      </c>
      <c r="D5192" s="36">
        <v>7282.92</v>
      </c>
      <c r="E5192" s="43" t="s">
        <v>3596</v>
      </c>
    </row>
    <row r="5193" spans="1:5" x14ac:dyDescent="0.35">
      <c r="A5193" s="40">
        <v>43743</v>
      </c>
      <c r="B5193" s="38">
        <v>-100</v>
      </c>
      <c r="C5193" s="13" t="s">
        <v>946</v>
      </c>
      <c r="D5193" s="36">
        <v>7297.92</v>
      </c>
      <c r="E5193" s="43" t="s">
        <v>3596</v>
      </c>
    </row>
    <row r="5194" spans="1:5" x14ac:dyDescent="0.35">
      <c r="A5194" s="40">
        <v>43742</v>
      </c>
      <c r="B5194" s="38">
        <v>-51.6</v>
      </c>
      <c r="C5194" s="13" t="s">
        <v>800</v>
      </c>
      <c r="D5194" s="36">
        <v>6368.14</v>
      </c>
      <c r="E5194" s="43" t="s">
        <v>3596</v>
      </c>
    </row>
    <row r="5195" spans="1:5" x14ac:dyDescent="0.35">
      <c r="A5195" s="40">
        <v>43742</v>
      </c>
      <c r="B5195" s="38">
        <v>-9.5</v>
      </c>
      <c r="C5195" s="13" t="s">
        <v>801</v>
      </c>
      <c r="D5195" s="36">
        <v>6419.74</v>
      </c>
      <c r="E5195" s="43" t="s">
        <v>3596</v>
      </c>
    </row>
    <row r="5196" spans="1:5" x14ac:dyDescent="0.35">
      <c r="A5196" s="40">
        <v>43742</v>
      </c>
      <c r="B5196" s="38">
        <v>1044.94</v>
      </c>
      <c r="C5196" s="13" t="s">
        <v>10</v>
      </c>
      <c r="D5196" s="36">
        <v>7397.92</v>
      </c>
      <c r="E5196" s="43" t="s">
        <v>3596</v>
      </c>
    </row>
    <row r="5197" spans="1:5" x14ac:dyDescent="0.35">
      <c r="A5197" s="40">
        <v>43742</v>
      </c>
      <c r="B5197" s="38">
        <v>-15.16</v>
      </c>
      <c r="C5197" s="13" t="s">
        <v>799</v>
      </c>
      <c r="D5197" s="36">
        <v>6352.98</v>
      </c>
      <c r="E5197" s="43" t="s">
        <v>3596</v>
      </c>
    </row>
    <row r="5198" spans="1:5" x14ac:dyDescent="0.35">
      <c r="A5198" s="40">
        <v>43741</v>
      </c>
      <c r="B5198" s="38">
        <v>-40</v>
      </c>
      <c r="C5198" s="13" t="s">
        <v>803</v>
      </c>
      <c r="D5198" s="36">
        <v>6454.24</v>
      </c>
      <c r="E5198" s="43" t="s">
        <v>3596</v>
      </c>
    </row>
    <row r="5199" spans="1:5" x14ac:dyDescent="0.35">
      <c r="A5199" s="40">
        <v>43741</v>
      </c>
      <c r="B5199" s="38">
        <v>-500</v>
      </c>
      <c r="C5199" s="13" t="s">
        <v>945</v>
      </c>
      <c r="D5199" s="36">
        <v>6494.24</v>
      </c>
      <c r="E5199" s="43" t="s">
        <v>3596</v>
      </c>
    </row>
    <row r="5200" spans="1:5" x14ac:dyDescent="0.35">
      <c r="A5200" s="40">
        <v>43741</v>
      </c>
      <c r="B5200" s="38">
        <v>-25</v>
      </c>
      <c r="C5200" s="13" t="s">
        <v>802</v>
      </c>
      <c r="D5200" s="36">
        <v>6429.24</v>
      </c>
      <c r="E5200" s="43" t="s">
        <v>3596</v>
      </c>
    </row>
    <row r="5201" spans="1:5" x14ac:dyDescent="0.35">
      <c r="A5201" s="40">
        <v>43740</v>
      </c>
      <c r="B5201" s="38">
        <v>-44.5</v>
      </c>
      <c r="C5201" s="13" t="s">
        <v>805</v>
      </c>
      <c r="D5201" s="36">
        <v>7071.26</v>
      </c>
      <c r="E5201" s="43" t="s">
        <v>3596</v>
      </c>
    </row>
    <row r="5202" spans="1:5" x14ac:dyDescent="0.35">
      <c r="A5202" s="40">
        <v>43740</v>
      </c>
      <c r="B5202" s="38">
        <v>-23.3</v>
      </c>
      <c r="C5202" s="13" t="s">
        <v>804</v>
      </c>
      <c r="D5202" s="36">
        <v>7047.96</v>
      </c>
      <c r="E5202" s="43" t="s">
        <v>3596</v>
      </c>
    </row>
    <row r="5203" spans="1:5" x14ac:dyDescent="0.35">
      <c r="A5203" s="40">
        <v>43740</v>
      </c>
      <c r="B5203" s="38">
        <v>-10</v>
      </c>
      <c r="C5203" s="13" t="s">
        <v>947</v>
      </c>
      <c r="D5203" s="36">
        <v>6994.24</v>
      </c>
      <c r="E5203" s="43" t="s">
        <v>3596</v>
      </c>
    </row>
    <row r="5204" spans="1:5" x14ac:dyDescent="0.35">
      <c r="A5204" s="40">
        <v>43740</v>
      </c>
      <c r="B5204" s="38">
        <v>-30</v>
      </c>
      <c r="C5204" s="13" t="s">
        <v>947</v>
      </c>
      <c r="D5204" s="36">
        <v>7004.24</v>
      </c>
      <c r="E5204" s="43" t="s">
        <v>3596</v>
      </c>
    </row>
    <row r="5205" spans="1:5" x14ac:dyDescent="0.35">
      <c r="A5205" s="40">
        <v>43740</v>
      </c>
      <c r="B5205" s="38">
        <v>-13.72</v>
      </c>
      <c r="C5205" s="13" t="s">
        <v>773</v>
      </c>
      <c r="D5205" s="36">
        <v>7034.24</v>
      </c>
      <c r="E5205" s="43" t="s">
        <v>3596</v>
      </c>
    </row>
    <row r="5206" spans="1:5" x14ac:dyDescent="0.35">
      <c r="A5206" s="40">
        <v>43739</v>
      </c>
      <c r="B5206" s="38">
        <v>-53</v>
      </c>
      <c r="C5206" s="13" t="s">
        <v>807</v>
      </c>
      <c r="D5206" s="36">
        <v>7298.96</v>
      </c>
      <c r="E5206" s="43" t="s">
        <v>3596</v>
      </c>
    </row>
    <row r="5207" spans="1:5" x14ac:dyDescent="0.35">
      <c r="A5207" s="40">
        <v>43739</v>
      </c>
      <c r="B5207" s="38">
        <v>-23</v>
      </c>
      <c r="C5207" s="13" t="s">
        <v>808</v>
      </c>
      <c r="D5207" s="36">
        <v>7351.96</v>
      </c>
      <c r="E5207" s="43" t="s">
        <v>3596</v>
      </c>
    </row>
    <row r="5208" spans="1:5" x14ac:dyDescent="0.35">
      <c r="A5208" s="40">
        <v>43739</v>
      </c>
      <c r="B5208" s="38">
        <v>-9</v>
      </c>
      <c r="C5208" s="13" t="s">
        <v>809</v>
      </c>
      <c r="D5208" s="36">
        <v>7374.96</v>
      </c>
      <c r="E5208" s="43" t="s">
        <v>3596</v>
      </c>
    </row>
    <row r="5209" spans="1:5" x14ac:dyDescent="0.35">
      <c r="A5209" s="40">
        <v>43739</v>
      </c>
      <c r="B5209" s="38">
        <v>-20</v>
      </c>
      <c r="C5209" s="13" t="s">
        <v>3385</v>
      </c>
      <c r="D5209" s="36">
        <v>7383.96</v>
      </c>
      <c r="E5209" s="43" t="s">
        <v>3596</v>
      </c>
    </row>
    <row r="5210" spans="1:5" x14ac:dyDescent="0.35">
      <c r="A5210" s="40">
        <v>43739</v>
      </c>
      <c r="B5210" s="38">
        <v>-172.3</v>
      </c>
      <c r="C5210" s="13" t="s">
        <v>806</v>
      </c>
      <c r="D5210" s="36">
        <v>7115.76</v>
      </c>
      <c r="E5210" s="43" t="s">
        <v>3596</v>
      </c>
    </row>
    <row r="5211" spans="1:5" x14ac:dyDescent="0.35">
      <c r="A5211" s="40">
        <v>43739</v>
      </c>
      <c r="B5211" s="38">
        <v>-10.9</v>
      </c>
      <c r="C5211" s="13" t="s">
        <v>11</v>
      </c>
      <c r="D5211" s="36">
        <v>7288.06</v>
      </c>
      <c r="E5211" s="43" t="s">
        <v>3596</v>
      </c>
    </row>
    <row r="5212" spans="1:5" x14ac:dyDescent="0.35">
      <c r="A5212" s="40">
        <v>43738</v>
      </c>
      <c r="B5212" s="38">
        <v>-0.93</v>
      </c>
      <c r="C5212" s="13" t="s">
        <v>4</v>
      </c>
      <c r="D5212" s="36">
        <v>7443.03</v>
      </c>
      <c r="E5212" s="43" t="s">
        <v>3596</v>
      </c>
    </row>
    <row r="5213" spans="1:5" x14ac:dyDescent="0.35">
      <c r="A5213" s="40">
        <v>43738</v>
      </c>
      <c r="B5213" s="38">
        <v>-29.1</v>
      </c>
      <c r="C5213" s="13" t="s">
        <v>779</v>
      </c>
      <c r="D5213" s="36">
        <v>7413.93</v>
      </c>
      <c r="E5213" s="43" t="s">
        <v>3596</v>
      </c>
    </row>
    <row r="5214" spans="1:5" x14ac:dyDescent="0.35">
      <c r="A5214" s="40">
        <v>43738</v>
      </c>
      <c r="B5214" s="38">
        <v>-9.9700000000000006</v>
      </c>
      <c r="C5214" s="13" t="s">
        <v>1</v>
      </c>
      <c r="D5214" s="36">
        <v>7403.96</v>
      </c>
      <c r="E5214" s="43" t="s">
        <v>3596</v>
      </c>
    </row>
    <row r="5215" spans="1:5" x14ac:dyDescent="0.35">
      <c r="A5215" s="40">
        <v>43736</v>
      </c>
      <c r="B5215" s="38">
        <v>-25</v>
      </c>
      <c r="C5215" s="13" t="s">
        <v>947</v>
      </c>
      <c r="D5215" s="36">
        <v>7443.96</v>
      </c>
      <c r="E5215" s="43" t="s">
        <v>3596</v>
      </c>
    </row>
    <row r="5216" spans="1:5" x14ac:dyDescent="0.35">
      <c r="A5216" s="40">
        <v>43736</v>
      </c>
      <c r="B5216" s="38">
        <v>-100</v>
      </c>
      <c r="C5216" s="13" t="s">
        <v>946</v>
      </c>
      <c r="D5216" s="36">
        <v>7468.96</v>
      </c>
      <c r="E5216" s="43" t="s">
        <v>3596</v>
      </c>
    </row>
    <row r="5217" spans="1:5" x14ac:dyDescent="0.35">
      <c r="A5217" s="40">
        <v>43734</v>
      </c>
      <c r="B5217" s="38">
        <v>-0.99</v>
      </c>
      <c r="C5217" s="13" t="s">
        <v>4</v>
      </c>
      <c r="D5217" s="36">
        <v>7568.96</v>
      </c>
      <c r="E5217" s="43" t="s">
        <v>3596</v>
      </c>
    </row>
    <row r="5218" spans="1:5" x14ac:dyDescent="0.35">
      <c r="A5218" s="40">
        <v>43734</v>
      </c>
      <c r="B5218" s="38">
        <v>-40</v>
      </c>
      <c r="C5218" s="13" t="s">
        <v>811</v>
      </c>
      <c r="D5218" s="36">
        <v>7587.28</v>
      </c>
      <c r="E5218" s="43" t="s">
        <v>3596</v>
      </c>
    </row>
    <row r="5219" spans="1:5" x14ac:dyDescent="0.35">
      <c r="A5219" s="40">
        <v>43734</v>
      </c>
      <c r="B5219" s="38">
        <v>-17.329999999999998</v>
      </c>
      <c r="C5219" s="13" t="s">
        <v>810</v>
      </c>
      <c r="D5219" s="36">
        <v>7569.95</v>
      </c>
      <c r="E5219" s="43" t="s">
        <v>3596</v>
      </c>
    </row>
    <row r="5220" spans="1:5" x14ac:dyDescent="0.35">
      <c r="A5220" s="40">
        <v>43733</v>
      </c>
      <c r="B5220" s="38">
        <v>-3.8</v>
      </c>
      <c r="C5220" s="13" t="s">
        <v>4</v>
      </c>
      <c r="D5220" s="36">
        <v>5294.36</v>
      </c>
      <c r="E5220" s="43" t="s">
        <v>3596</v>
      </c>
    </row>
    <row r="5221" spans="1:5" x14ac:dyDescent="0.35">
      <c r="A5221" s="40">
        <v>43733</v>
      </c>
      <c r="B5221" s="38">
        <v>-15.2</v>
      </c>
      <c r="C5221" s="13" t="s">
        <v>812</v>
      </c>
      <c r="D5221" s="36">
        <v>5298.16</v>
      </c>
      <c r="E5221" s="43" t="s">
        <v>3596</v>
      </c>
    </row>
    <row r="5222" spans="1:5" x14ac:dyDescent="0.35">
      <c r="A5222" s="40">
        <v>43733</v>
      </c>
      <c r="B5222" s="38">
        <v>-47</v>
      </c>
      <c r="C5222" s="13" t="s">
        <v>812</v>
      </c>
      <c r="D5222" s="36">
        <v>5313.36</v>
      </c>
      <c r="E5222" s="43" t="s">
        <v>3596</v>
      </c>
    </row>
    <row r="5223" spans="1:5" x14ac:dyDescent="0.35">
      <c r="A5223" s="40">
        <v>43733</v>
      </c>
      <c r="B5223" s="38">
        <v>2366.8000000000002</v>
      </c>
      <c r="C5223" s="13" t="s">
        <v>10</v>
      </c>
      <c r="D5223" s="36">
        <v>7627.28</v>
      </c>
      <c r="E5223" s="43" t="s">
        <v>3596</v>
      </c>
    </row>
    <row r="5224" spans="1:5" x14ac:dyDescent="0.35">
      <c r="A5224" s="40">
        <v>43733</v>
      </c>
      <c r="B5224" s="38">
        <v>-14.98</v>
      </c>
      <c r="C5224" s="13" t="s">
        <v>1</v>
      </c>
      <c r="D5224" s="36">
        <v>5260.48</v>
      </c>
      <c r="E5224" s="43" t="s">
        <v>3596</v>
      </c>
    </row>
    <row r="5225" spans="1:5" x14ac:dyDescent="0.35">
      <c r="A5225" s="40">
        <v>43733</v>
      </c>
      <c r="B5225" s="38">
        <v>-18.899999999999999</v>
      </c>
      <c r="C5225" s="13" t="s">
        <v>11</v>
      </c>
      <c r="D5225" s="36">
        <v>5275.46</v>
      </c>
      <c r="E5225" s="43" t="s">
        <v>3596</v>
      </c>
    </row>
    <row r="5226" spans="1:5" x14ac:dyDescent="0.35">
      <c r="A5226" s="40">
        <v>43733</v>
      </c>
      <c r="B5226" s="38">
        <v>-15.5</v>
      </c>
      <c r="C5226" s="13" t="s">
        <v>813</v>
      </c>
      <c r="D5226" s="36">
        <v>5360.36</v>
      </c>
      <c r="E5226" s="43" t="s">
        <v>3596</v>
      </c>
    </row>
    <row r="5227" spans="1:5" x14ac:dyDescent="0.35">
      <c r="A5227" s="40">
        <v>43733</v>
      </c>
      <c r="B5227" s="38">
        <v>-14</v>
      </c>
      <c r="C5227" s="13" t="s">
        <v>813</v>
      </c>
      <c r="D5227" s="36">
        <v>5375.86</v>
      </c>
      <c r="E5227" s="43" t="s">
        <v>3596</v>
      </c>
    </row>
    <row r="5228" spans="1:5" x14ac:dyDescent="0.35">
      <c r="A5228" s="40">
        <v>43732</v>
      </c>
      <c r="B5228" s="38">
        <v>-6.55</v>
      </c>
      <c r="C5228" s="13" t="s">
        <v>779</v>
      </c>
      <c r="D5228" s="36">
        <v>5389.86</v>
      </c>
      <c r="E5228" s="43" t="s">
        <v>3596</v>
      </c>
    </row>
    <row r="5229" spans="1:5" x14ac:dyDescent="0.35">
      <c r="A5229" s="40">
        <v>43731</v>
      </c>
      <c r="B5229" s="38">
        <v>-1.1599999999999999</v>
      </c>
      <c r="C5229" s="13" t="s">
        <v>4</v>
      </c>
      <c r="D5229" s="36">
        <v>5421.55</v>
      </c>
      <c r="E5229" s="43" t="s">
        <v>3596</v>
      </c>
    </row>
    <row r="5230" spans="1:5" x14ac:dyDescent="0.35">
      <c r="A5230" s="40">
        <v>43731</v>
      </c>
      <c r="B5230" s="38">
        <v>-20</v>
      </c>
      <c r="C5230" s="13" t="s">
        <v>1709</v>
      </c>
      <c r="D5230" s="36">
        <v>5401.55</v>
      </c>
      <c r="E5230" s="43" t="s">
        <v>3596</v>
      </c>
    </row>
    <row r="5231" spans="1:5" x14ac:dyDescent="0.35">
      <c r="A5231" s="40">
        <v>43731</v>
      </c>
      <c r="B5231" s="38">
        <v>-5.14</v>
      </c>
      <c r="C5231" s="13" t="s">
        <v>1</v>
      </c>
      <c r="D5231" s="36">
        <v>5396.41</v>
      </c>
      <c r="E5231" s="43" t="s">
        <v>3596</v>
      </c>
    </row>
    <row r="5232" spans="1:5" x14ac:dyDescent="0.35">
      <c r="A5232" s="40">
        <v>43729</v>
      </c>
      <c r="B5232" s="38">
        <v>-100</v>
      </c>
      <c r="C5232" s="13" t="s">
        <v>946</v>
      </c>
      <c r="D5232" s="36">
        <v>5422.71</v>
      </c>
      <c r="E5232" s="43" t="s">
        <v>3596</v>
      </c>
    </row>
    <row r="5233" spans="1:5" x14ac:dyDescent="0.35">
      <c r="A5233" s="40">
        <v>43728</v>
      </c>
      <c r="B5233" s="38">
        <v>-0.3</v>
      </c>
      <c r="C5233" s="13" t="s">
        <v>92</v>
      </c>
      <c r="D5233" s="36">
        <v>5522.71</v>
      </c>
      <c r="E5233" s="43" t="s">
        <v>3596</v>
      </c>
    </row>
    <row r="5234" spans="1:5" x14ac:dyDescent="0.35">
      <c r="A5234" s="40">
        <v>43728</v>
      </c>
      <c r="B5234" s="38">
        <v>-1.37</v>
      </c>
      <c r="C5234" s="13" t="s">
        <v>4</v>
      </c>
      <c r="D5234" s="36">
        <v>5523.01</v>
      </c>
      <c r="E5234" s="43" t="s">
        <v>3596</v>
      </c>
    </row>
    <row r="5235" spans="1:5" x14ac:dyDescent="0.35">
      <c r="A5235" s="40">
        <v>43728</v>
      </c>
      <c r="B5235" s="38">
        <v>-40</v>
      </c>
      <c r="C5235" s="13" t="s">
        <v>815</v>
      </c>
      <c r="D5235" s="36">
        <v>5533.38</v>
      </c>
      <c r="E5235" s="43" t="s">
        <v>3596</v>
      </c>
    </row>
    <row r="5236" spans="1:5" x14ac:dyDescent="0.35">
      <c r="A5236" s="40">
        <v>43728</v>
      </c>
      <c r="B5236" s="38">
        <v>-9</v>
      </c>
      <c r="C5236" s="13" t="s">
        <v>814</v>
      </c>
      <c r="D5236" s="36">
        <v>5524.38</v>
      </c>
      <c r="E5236" s="43" t="s">
        <v>3596</v>
      </c>
    </row>
    <row r="5237" spans="1:5" x14ac:dyDescent="0.35">
      <c r="A5237" s="40">
        <v>43727</v>
      </c>
      <c r="B5237" s="38">
        <v>-16.899999999999999</v>
      </c>
      <c r="C5237" s="13" t="s">
        <v>816</v>
      </c>
      <c r="D5237" s="36">
        <v>5573.38</v>
      </c>
      <c r="E5237" s="43" t="s">
        <v>3596</v>
      </c>
    </row>
    <row r="5238" spans="1:5" x14ac:dyDescent="0.35">
      <c r="A5238" s="40">
        <v>43727</v>
      </c>
      <c r="B5238" s="38">
        <v>-500</v>
      </c>
      <c r="C5238" s="13" t="s">
        <v>945</v>
      </c>
      <c r="D5238" s="36">
        <v>5590.28</v>
      </c>
      <c r="E5238" s="43" t="s">
        <v>3596</v>
      </c>
    </row>
    <row r="5239" spans="1:5" x14ac:dyDescent="0.35">
      <c r="A5239" s="40">
        <v>43726</v>
      </c>
      <c r="B5239" s="38">
        <v>-0.96</v>
      </c>
      <c r="C5239" s="13" t="s">
        <v>4</v>
      </c>
      <c r="D5239" s="36">
        <v>6124.28</v>
      </c>
      <c r="E5239" s="43" t="s">
        <v>3596</v>
      </c>
    </row>
    <row r="5240" spans="1:5" x14ac:dyDescent="0.35">
      <c r="A5240" s="40">
        <v>43726</v>
      </c>
      <c r="B5240" s="38">
        <v>-23</v>
      </c>
      <c r="C5240" s="13" t="s">
        <v>819</v>
      </c>
      <c r="D5240" s="36">
        <v>6160.24</v>
      </c>
      <c r="E5240" s="43" t="s">
        <v>3596</v>
      </c>
    </row>
    <row r="5241" spans="1:5" x14ac:dyDescent="0.35">
      <c r="A5241" s="40">
        <v>43726</v>
      </c>
      <c r="B5241" s="38">
        <v>-7</v>
      </c>
      <c r="C5241" s="13" t="s">
        <v>817</v>
      </c>
      <c r="D5241" s="36">
        <v>6125.24</v>
      </c>
      <c r="E5241" s="43" t="s">
        <v>3596</v>
      </c>
    </row>
    <row r="5242" spans="1:5" x14ac:dyDescent="0.35">
      <c r="A5242" s="40">
        <v>43726</v>
      </c>
      <c r="B5242" s="38">
        <v>-3</v>
      </c>
      <c r="C5242" s="13" t="s">
        <v>817</v>
      </c>
      <c r="D5242" s="36">
        <v>6132.24</v>
      </c>
      <c r="E5242" s="43" t="s">
        <v>3596</v>
      </c>
    </row>
    <row r="5243" spans="1:5" x14ac:dyDescent="0.35">
      <c r="A5243" s="40">
        <v>43726</v>
      </c>
      <c r="B5243" s="38">
        <v>-8.6999999999999993</v>
      </c>
      <c r="C5243" s="13" t="s">
        <v>779</v>
      </c>
      <c r="D5243" s="36">
        <v>6090.28</v>
      </c>
      <c r="E5243" s="43" t="s">
        <v>3596</v>
      </c>
    </row>
    <row r="5244" spans="1:5" x14ac:dyDescent="0.35">
      <c r="A5244" s="40">
        <v>43726</v>
      </c>
      <c r="B5244" s="38">
        <v>-32.22</v>
      </c>
      <c r="C5244" s="13" t="s">
        <v>820</v>
      </c>
      <c r="D5244" s="36">
        <v>6183.24</v>
      </c>
      <c r="E5244" s="43" t="s">
        <v>3596</v>
      </c>
    </row>
    <row r="5245" spans="1:5" x14ac:dyDescent="0.35">
      <c r="A5245" s="40">
        <v>43726</v>
      </c>
      <c r="B5245" s="38">
        <v>-25</v>
      </c>
      <c r="C5245" s="13" t="s">
        <v>818</v>
      </c>
      <c r="D5245" s="36">
        <v>6135.24</v>
      </c>
      <c r="E5245" s="43" t="s">
        <v>3596</v>
      </c>
    </row>
    <row r="5246" spans="1:5" x14ac:dyDescent="0.35">
      <c r="A5246" s="40">
        <v>43726</v>
      </c>
      <c r="B5246" s="38">
        <v>-25.3</v>
      </c>
      <c r="C5246" s="13" t="s">
        <v>11</v>
      </c>
      <c r="D5246" s="36">
        <v>6098.98</v>
      </c>
      <c r="E5246" s="43" t="s">
        <v>3596</v>
      </c>
    </row>
    <row r="5247" spans="1:5" x14ac:dyDescent="0.35">
      <c r="A5247" s="40">
        <v>43725</v>
      </c>
      <c r="B5247" s="38">
        <v>-2.56</v>
      </c>
      <c r="C5247" s="13" t="s">
        <v>4</v>
      </c>
      <c r="D5247" s="36">
        <v>6254.86</v>
      </c>
      <c r="E5247" s="43" t="s">
        <v>3596</v>
      </c>
    </row>
    <row r="5248" spans="1:5" x14ac:dyDescent="0.35">
      <c r="A5248" s="40">
        <v>43725</v>
      </c>
      <c r="B5248" s="38">
        <v>-18.2</v>
      </c>
      <c r="C5248" s="13" t="s">
        <v>821</v>
      </c>
      <c r="D5248" s="36">
        <v>6257.42</v>
      </c>
      <c r="E5248" s="43" t="s">
        <v>3596</v>
      </c>
    </row>
    <row r="5249" spans="1:5" x14ac:dyDescent="0.35">
      <c r="A5249" s="40">
        <v>43725</v>
      </c>
      <c r="B5249" s="38">
        <v>-26.5</v>
      </c>
      <c r="C5249" s="13" t="s">
        <v>312</v>
      </c>
      <c r="D5249" s="36">
        <v>6215.46</v>
      </c>
      <c r="E5249" s="43" t="s">
        <v>3596</v>
      </c>
    </row>
    <row r="5250" spans="1:5" x14ac:dyDescent="0.35">
      <c r="A5250" s="40">
        <v>43725</v>
      </c>
      <c r="B5250" s="38">
        <v>-12.9</v>
      </c>
      <c r="C5250" s="13" t="s">
        <v>11</v>
      </c>
      <c r="D5250" s="36">
        <v>6241.96</v>
      </c>
      <c r="E5250" s="43" t="s">
        <v>3596</v>
      </c>
    </row>
    <row r="5251" spans="1:5" x14ac:dyDescent="0.35">
      <c r="A5251" s="40">
        <v>43724</v>
      </c>
      <c r="B5251" s="38">
        <v>-23.15</v>
      </c>
      <c r="C5251" s="13" t="s">
        <v>779</v>
      </c>
      <c r="D5251" s="36">
        <v>6237.92</v>
      </c>
      <c r="E5251" s="43" t="s">
        <v>3596</v>
      </c>
    </row>
    <row r="5252" spans="1:5" x14ac:dyDescent="0.35">
      <c r="A5252" s="40">
        <v>43724</v>
      </c>
      <c r="B5252" s="38">
        <v>-28.3</v>
      </c>
      <c r="C5252" s="13" t="s">
        <v>1</v>
      </c>
      <c r="D5252" s="36">
        <v>6209.62</v>
      </c>
      <c r="E5252" s="43" t="s">
        <v>3596</v>
      </c>
    </row>
    <row r="5253" spans="1:5" x14ac:dyDescent="0.35">
      <c r="A5253" s="40">
        <v>43724</v>
      </c>
      <c r="B5253" s="38">
        <v>66</v>
      </c>
      <c r="C5253" s="13" t="s">
        <v>1243</v>
      </c>
      <c r="D5253" s="36">
        <v>6275.62</v>
      </c>
      <c r="E5253" s="43" t="s">
        <v>3596</v>
      </c>
    </row>
    <row r="5254" spans="1:5" x14ac:dyDescent="0.35">
      <c r="A5254" s="40">
        <v>43722</v>
      </c>
      <c r="B5254" s="38">
        <v>-39</v>
      </c>
      <c r="C5254" s="13" t="s">
        <v>823</v>
      </c>
      <c r="D5254" s="36">
        <v>6370.07</v>
      </c>
      <c r="E5254" s="43" t="s">
        <v>3596</v>
      </c>
    </row>
    <row r="5255" spans="1:5" x14ac:dyDescent="0.35">
      <c r="A5255" s="40">
        <v>43722</v>
      </c>
      <c r="B5255" s="38">
        <v>-9</v>
      </c>
      <c r="C5255" s="13" t="s">
        <v>822</v>
      </c>
      <c r="D5255" s="36">
        <v>6361.07</v>
      </c>
      <c r="E5255" s="43" t="s">
        <v>3596</v>
      </c>
    </row>
    <row r="5256" spans="1:5" x14ac:dyDescent="0.35">
      <c r="A5256" s="40">
        <v>43722</v>
      </c>
      <c r="B5256" s="38">
        <v>-100</v>
      </c>
      <c r="C5256" s="13" t="s">
        <v>946</v>
      </c>
      <c r="D5256" s="36">
        <v>6261.07</v>
      </c>
      <c r="E5256" s="43" t="s">
        <v>3596</v>
      </c>
    </row>
    <row r="5257" spans="1:5" x14ac:dyDescent="0.35">
      <c r="A5257" s="40">
        <v>43721</v>
      </c>
      <c r="B5257" s="38">
        <v>-7.05</v>
      </c>
      <c r="C5257" s="13" t="s">
        <v>4</v>
      </c>
      <c r="D5257" s="36">
        <v>4561.1099999999997</v>
      </c>
      <c r="E5257" s="43" t="s">
        <v>3596</v>
      </c>
    </row>
    <row r="5258" spans="1:5" x14ac:dyDescent="0.35">
      <c r="A5258" s="40">
        <v>43721</v>
      </c>
      <c r="B5258" s="38">
        <v>-100</v>
      </c>
      <c r="C5258" s="13" t="s">
        <v>1710</v>
      </c>
      <c r="D5258" s="36">
        <v>6411.57</v>
      </c>
      <c r="E5258" s="43" t="s">
        <v>3596</v>
      </c>
    </row>
    <row r="5259" spans="1:5" x14ac:dyDescent="0.35">
      <c r="A5259" s="40">
        <v>43721</v>
      </c>
      <c r="B5259" s="38">
        <v>-40</v>
      </c>
      <c r="C5259" s="13" t="s">
        <v>825</v>
      </c>
      <c r="D5259" s="36">
        <v>4568.16</v>
      </c>
      <c r="E5259" s="43" t="s">
        <v>3596</v>
      </c>
    </row>
    <row r="5260" spans="1:5" x14ac:dyDescent="0.35">
      <c r="A5260" s="40">
        <v>43721</v>
      </c>
      <c r="B5260" s="38">
        <v>-23.1</v>
      </c>
      <c r="C5260" s="13" t="s">
        <v>779</v>
      </c>
      <c r="D5260" s="36">
        <v>6526.11</v>
      </c>
      <c r="E5260" s="43" t="s">
        <v>3596</v>
      </c>
    </row>
    <row r="5261" spans="1:5" x14ac:dyDescent="0.35">
      <c r="A5261" s="40">
        <v>43721</v>
      </c>
      <c r="B5261" s="38">
        <v>-2.5</v>
      </c>
      <c r="C5261" s="13" t="s">
        <v>24</v>
      </c>
      <c r="D5261" s="36">
        <v>6409.07</v>
      </c>
      <c r="E5261" s="43" t="s">
        <v>3596</v>
      </c>
    </row>
    <row r="5262" spans="1:5" x14ac:dyDescent="0.35">
      <c r="A5262" s="40">
        <v>43721</v>
      </c>
      <c r="B5262" s="38">
        <v>-14.54</v>
      </c>
      <c r="C5262" s="13" t="s">
        <v>1</v>
      </c>
      <c r="D5262" s="36">
        <v>6511.57</v>
      </c>
      <c r="E5262" s="43" t="s">
        <v>3596</v>
      </c>
    </row>
    <row r="5263" spans="1:5" x14ac:dyDescent="0.35">
      <c r="A5263" s="40">
        <v>43721</v>
      </c>
      <c r="B5263" s="38">
        <v>2000</v>
      </c>
      <c r="C5263" s="13" t="s">
        <v>824</v>
      </c>
      <c r="D5263" s="36">
        <v>6549.21</v>
      </c>
      <c r="E5263" s="43" t="s">
        <v>3596</v>
      </c>
    </row>
    <row r="5264" spans="1:5" x14ac:dyDescent="0.35">
      <c r="A5264" s="40">
        <v>43721</v>
      </c>
      <c r="B5264" s="38">
        <v>-11.9</v>
      </c>
      <c r="C5264" s="13" t="s">
        <v>11</v>
      </c>
      <c r="D5264" s="36">
        <v>4549.21</v>
      </c>
      <c r="E5264" s="43" t="s">
        <v>3596</v>
      </c>
    </row>
    <row r="5265" spans="1:5" x14ac:dyDescent="0.35">
      <c r="A5265" s="40">
        <v>43720</v>
      </c>
      <c r="B5265" s="38">
        <v>-1.19</v>
      </c>
      <c r="C5265" s="13" t="s">
        <v>4</v>
      </c>
      <c r="D5265" s="36">
        <v>4608.16</v>
      </c>
      <c r="E5265" s="43" t="s">
        <v>3596</v>
      </c>
    </row>
    <row r="5266" spans="1:5" x14ac:dyDescent="0.35">
      <c r="A5266" s="40">
        <v>43719</v>
      </c>
      <c r="B5266" s="38">
        <v>-1.1599999999999999</v>
      </c>
      <c r="C5266" s="13" t="s">
        <v>4</v>
      </c>
      <c r="D5266" s="36">
        <v>3505.5</v>
      </c>
      <c r="E5266" s="43" t="s">
        <v>3596</v>
      </c>
    </row>
    <row r="5267" spans="1:5" x14ac:dyDescent="0.35">
      <c r="A5267" s="40">
        <v>43719</v>
      </c>
      <c r="B5267" s="38">
        <v>-63.5</v>
      </c>
      <c r="C5267" s="13" t="s">
        <v>826</v>
      </c>
      <c r="D5267" s="36">
        <v>3442</v>
      </c>
      <c r="E5267" s="43" t="s">
        <v>3596</v>
      </c>
    </row>
    <row r="5268" spans="1:5" x14ac:dyDescent="0.35">
      <c r="A5268" s="40">
        <v>43719</v>
      </c>
      <c r="B5268" s="38">
        <v>1182.25</v>
      </c>
      <c r="C5268" s="13" t="s">
        <v>10</v>
      </c>
      <c r="D5268" s="36">
        <v>4609.3500000000004</v>
      </c>
      <c r="E5268" s="43" t="s">
        <v>3596</v>
      </c>
    </row>
    <row r="5269" spans="1:5" x14ac:dyDescent="0.35">
      <c r="A5269" s="40">
        <v>43719</v>
      </c>
      <c r="B5269" s="38">
        <v>-14.9</v>
      </c>
      <c r="C5269" s="13" t="s">
        <v>11</v>
      </c>
      <c r="D5269" s="36">
        <v>3427.1</v>
      </c>
      <c r="E5269" s="43" t="s">
        <v>3596</v>
      </c>
    </row>
    <row r="5270" spans="1:5" x14ac:dyDescent="0.35">
      <c r="A5270" s="40">
        <v>43718</v>
      </c>
      <c r="B5270" s="38">
        <v>-2.09</v>
      </c>
      <c r="C5270" s="13" t="s">
        <v>4</v>
      </c>
      <c r="D5270" s="36">
        <v>3518.96</v>
      </c>
      <c r="E5270" s="43" t="s">
        <v>3596</v>
      </c>
    </row>
    <row r="5271" spans="1:5" x14ac:dyDescent="0.35">
      <c r="A5271" s="40">
        <v>43718</v>
      </c>
      <c r="B5271" s="38">
        <v>-48.5</v>
      </c>
      <c r="C5271" s="13" t="s">
        <v>827</v>
      </c>
      <c r="D5271" s="36">
        <v>3521.05</v>
      </c>
      <c r="E5271" s="43" t="s">
        <v>3596</v>
      </c>
    </row>
    <row r="5272" spans="1:5" x14ac:dyDescent="0.35">
      <c r="A5272" s="40">
        <v>43718</v>
      </c>
      <c r="B5272" s="38">
        <v>-12.3</v>
      </c>
      <c r="C5272" s="13" t="s">
        <v>779</v>
      </c>
      <c r="D5272" s="36">
        <v>3506.66</v>
      </c>
      <c r="E5272" s="43" t="s">
        <v>3596</v>
      </c>
    </row>
    <row r="5273" spans="1:5" x14ac:dyDescent="0.35">
      <c r="A5273" s="40">
        <v>43718</v>
      </c>
      <c r="B5273" s="38">
        <v>-47</v>
      </c>
      <c r="C5273" s="13" t="s">
        <v>828</v>
      </c>
      <c r="D5273" s="36">
        <v>3569.55</v>
      </c>
      <c r="E5273" s="43" t="s">
        <v>3596</v>
      </c>
    </row>
    <row r="5274" spans="1:5" x14ac:dyDescent="0.35">
      <c r="A5274" s="40">
        <v>43717</v>
      </c>
      <c r="B5274" s="38">
        <v>-0.99</v>
      </c>
      <c r="C5274" s="13" t="s">
        <v>4</v>
      </c>
      <c r="D5274" s="36">
        <v>3703.55</v>
      </c>
      <c r="E5274" s="43" t="s">
        <v>3596</v>
      </c>
    </row>
    <row r="5275" spans="1:5" x14ac:dyDescent="0.35">
      <c r="A5275" s="40">
        <v>43717</v>
      </c>
      <c r="B5275" s="38">
        <v>-73</v>
      </c>
      <c r="C5275" s="13" t="s">
        <v>37</v>
      </c>
      <c r="D5275" s="36">
        <v>3616.55</v>
      </c>
      <c r="E5275" s="43" t="s">
        <v>3596</v>
      </c>
    </row>
    <row r="5276" spans="1:5" x14ac:dyDescent="0.35">
      <c r="A5276" s="40">
        <v>43717</v>
      </c>
      <c r="B5276" s="38">
        <v>-14</v>
      </c>
      <c r="C5276" s="13" t="s">
        <v>171</v>
      </c>
      <c r="D5276" s="36">
        <v>3689.55</v>
      </c>
      <c r="E5276" s="43" t="s">
        <v>3596</v>
      </c>
    </row>
    <row r="5277" spans="1:5" x14ac:dyDescent="0.35">
      <c r="A5277" s="40">
        <v>43716</v>
      </c>
      <c r="B5277" s="38">
        <v>31</v>
      </c>
      <c r="C5277" s="13" t="s">
        <v>1248</v>
      </c>
      <c r="D5277" s="36">
        <v>3704.54</v>
      </c>
      <c r="E5277" s="43" t="s">
        <v>3596</v>
      </c>
    </row>
    <row r="5278" spans="1:5" x14ac:dyDescent="0.35">
      <c r="A5278" s="40">
        <v>43715</v>
      </c>
      <c r="B5278" s="38">
        <v>-300</v>
      </c>
      <c r="C5278" s="13" t="s">
        <v>1702</v>
      </c>
      <c r="D5278" s="36">
        <v>3697.54</v>
      </c>
      <c r="E5278" s="43" t="s">
        <v>3596</v>
      </c>
    </row>
    <row r="5279" spans="1:5" x14ac:dyDescent="0.35">
      <c r="A5279" s="40">
        <v>43715</v>
      </c>
      <c r="B5279" s="38">
        <v>-10</v>
      </c>
      <c r="C5279" s="13" t="s">
        <v>829</v>
      </c>
      <c r="D5279" s="36">
        <v>3673.54</v>
      </c>
      <c r="E5279" s="43" t="s">
        <v>3596</v>
      </c>
    </row>
    <row r="5280" spans="1:5" x14ac:dyDescent="0.35">
      <c r="A5280" s="40">
        <v>43715</v>
      </c>
      <c r="B5280" s="38">
        <v>-7</v>
      </c>
      <c r="C5280" s="13" t="s">
        <v>829</v>
      </c>
      <c r="D5280" s="36">
        <v>3683.54</v>
      </c>
      <c r="E5280" s="43" t="s">
        <v>3596</v>
      </c>
    </row>
    <row r="5281" spans="1:5" x14ac:dyDescent="0.35">
      <c r="A5281" s="40">
        <v>43715</v>
      </c>
      <c r="B5281" s="38">
        <v>-7</v>
      </c>
      <c r="C5281" s="13" t="s">
        <v>829</v>
      </c>
      <c r="D5281" s="36">
        <v>3690.54</v>
      </c>
      <c r="E5281" s="43" t="s">
        <v>3596</v>
      </c>
    </row>
    <row r="5282" spans="1:5" x14ac:dyDescent="0.35">
      <c r="A5282" s="40">
        <v>43715</v>
      </c>
      <c r="B5282" s="38">
        <v>-40</v>
      </c>
      <c r="C5282" s="13" t="s">
        <v>832</v>
      </c>
      <c r="D5282" s="36">
        <v>3855.5</v>
      </c>
      <c r="E5282" s="43" t="s">
        <v>3596</v>
      </c>
    </row>
    <row r="5283" spans="1:5" x14ac:dyDescent="0.35">
      <c r="A5283" s="40">
        <v>43715</v>
      </c>
      <c r="B5283" s="38">
        <v>-9</v>
      </c>
      <c r="C5283" s="13" t="s">
        <v>830</v>
      </c>
      <c r="D5283" s="36">
        <v>4116.49</v>
      </c>
      <c r="E5283" s="43" t="s">
        <v>3596</v>
      </c>
    </row>
    <row r="5284" spans="1:5" x14ac:dyDescent="0.35">
      <c r="A5284" s="40">
        <v>43715</v>
      </c>
      <c r="B5284" s="38">
        <v>269.99</v>
      </c>
      <c r="C5284" s="13" t="s">
        <v>831</v>
      </c>
      <c r="D5284" s="36">
        <v>4125.49</v>
      </c>
      <c r="E5284" s="43" t="s">
        <v>3596</v>
      </c>
    </row>
    <row r="5285" spans="1:5" x14ac:dyDescent="0.35">
      <c r="A5285" s="40">
        <v>43715</v>
      </c>
      <c r="B5285" s="38">
        <v>-18.95</v>
      </c>
      <c r="C5285" s="13" t="s">
        <v>1</v>
      </c>
      <c r="D5285" s="36">
        <v>3997.54</v>
      </c>
      <c r="E5285" s="43" t="s">
        <v>3596</v>
      </c>
    </row>
    <row r="5286" spans="1:5" x14ac:dyDescent="0.35">
      <c r="A5286" s="40">
        <v>43715</v>
      </c>
      <c r="B5286" s="38">
        <v>-100</v>
      </c>
      <c r="C5286" s="13" t="s">
        <v>946</v>
      </c>
      <c r="D5286" s="36">
        <v>4016.49</v>
      </c>
      <c r="E5286" s="43" t="s">
        <v>3596</v>
      </c>
    </row>
    <row r="5287" spans="1:5" x14ac:dyDescent="0.35">
      <c r="A5287" s="40">
        <v>43714</v>
      </c>
      <c r="B5287" s="38">
        <v>-28.75</v>
      </c>
      <c r="C5287" s="13" t="s">
        <v>833</v>
      </c>
      <c r="D5287" s="36">
        <v>3895.5</v>
      </c>
      <c r="E5287" s="43" t="s">
        <v>3596</v>
      </c>
    </row>
    <row r="5288" spans="1:5" x14ac:dyDescent="0.35">
      <c r="A5288" s="40">
        <v>43714</v>
      </c>
      <c r="B5288" s="38">
        <v>-21.95</v>
      </c>
      <c r="C5288" s="13" t="s">
        <v>834</v>
      </c>
      <c r="D5288" s="36">
        <v>3924.25</v>
      </c>
      <c r="E5288" s="43" t="s">
        <v>3596</v>
      </c>
    </row>
    <row r="5289" spans="1:5" x14ac:dyDescent="0.35">
      <c r="A5289" s="40">
        <v>43713</v>
      </c>
      <c r="B5289" s="38">
        <v>-500</v>
      </c>
      <c r="C5289" s="13" t="s">
        <v>945</v>
      </c>
      <c r="D5289" s="36">
        <v>4044.65</v>
      </c>
      <c r="E5289" s="43" t="s">
        <v>3596</v>
      </c>
    </row>
    <row r="5290" spans="1:5" x14ac:dyDescent="0.35">
      <c r="A5290" s="40">
        <v>43713</v>
      </c>
      <c r="B5290" s="38">
        <v>-82.55</v>
      </c>
      <c r="C5290" s="13" t="s">
        <v>835</v>
      </c>
      <c r="D5290" s="36">
        <v>3946.2</v>
      </c>
      <c r="E5290" s="43" t="s">
        <v>3596</v>
      </c>
    </row>
    <row r="5291" spans="1:5" x14ac:dyDescent="0.35">
      <c r="A5291" s="40">
        <v>43713</v>
      </c>
      <c r="B5291" s="38">
        <v>-15.9</v>
      </c>
      <c r="C5291" s="13" t="s">
        <v>11</v>
      </c>
      <c r="D5291" s="36">
        <v>4028.75</v>
      </c>
      <c r="E5291" s="43" t="s">
        <v>3596</v>
      </c>
    </row>
    <row r="5292" spans="1:5" x14ac:dyDescent="0.35">
      <c r="A5292" s="40">
        <v>43712</v>
      </c>
      <c r="B5292" s="38">
        <v>-8.98</v>
      </c>
      <c r="C5292" s="13" t="s">
        <v>4</v>
      </c>
      <c r="D5292" s="36">
        <v>3511.21</v>
      </c>
      <c r="E5292" s="43" t="s">
        <v>3596</v>
      </c>
    </row>
    <row r="5293" spans="1:5" x14ac:dyDescent="0.35">
      <c r="A5293" s="40">
        <v>43712</v>
      </c>
      <c r="B5293" s="38">
        <v>-67.7</v>
      </c>
      <c r="C5293" s="13" t="s">
        <v>836</v>
      </c>
      <c r="D5293" s="36">
        <v>3520.19</v>
      </c>
      <c r="E5293" s="43" t="s">
        <v>3596</v>
      </c>
    </row>
    <row r="5294" spans="1:5" x14ac:dyDescent="0.35">
      <c r="A5294" s="40">
        <v>43712</v>
      </c>
      <c r="B5294" s="38">
        <v>1048.94</v>
      </c>
      <c r="C5294" s="13" t="s">
        <v>10</v>
      </c>
      <c r="D5294" s="36">
        <v>4544.6499999999996</v>
      </c>
      <c r="E5294" s="43" t="s">
        <v>3596</v>
      </c>
    </row>
    <row r="5295" spans="1:5" x14ac:dyDescent="0.35">
      <c r="A5295" s="40">
        <v>43712</v>
      </c>
      <c r="B5295" s="38">
        <v>-15.5</v>
      </c>
      <c r="C5295" s="13" t="s">
        <v>11</v>
      </c>
      <c r="D5295" s="36">
        <v>3495.71</v>
      </c>
      <c r="E5295" s="43" t="s">
        <v>3596</v>
      </c>
    </row>
    <row r="5296" spans="1:5" x14ac:dyDescent="0.35">
      <c r="A5296" s="40">
        <v>43711</v>
      </c>
      <c r="B5296" s="38">
        <v>-18.899999999999999</v>
      </c>
      <c r="C5296" s="13" t="s">
        <v>838</v>
      </c>
      <c r="D5296" s="36">
        <v>3602.64</v>
      </c>
      <c r="E5296" s="43" t="s">
        <v>3596</v>
      </c>
    </row>
    <row r="5297" spans="1:5" x14ac:dyDescent="0.35">
      <c r="A5297" s="40">
        <v>43711</v>
      </c>
      <c r="B5297" s="38">
        <v>-82</v>
      </c>
      <c r="C5297" s="13" t="s">
        <v>839</v>
      </c>
      <c r="D5297" s="36">
        <v>3621.54</v>
      </c>
      <c r="E5297" s="43" t="s">
        <v>3596</v>
      </c>
    </row>
    <row r="5298" spans="1:5" x14ac:dyDescent="0.35">
      <c r="A5298" s="40">
        <v>43711</v>
      </c>
      <c r="B5298" s="38">
        <v>-0.49</v>
      </c>
      <c r="C5298" s="13" t="s">
        <v>840</v>
      </c>
      <c r="D5298" s="36">
        <v>3703.54</v>
      </c>
      <c r="E5298" s="43" t="s">
        <v>3596</v>
      </c>
    </row>
    <row r="5299" spans="1:5" x14ac:dyDescent="0.35">
      <c r="A5299" s="40">
        <v>43711</v>
      </c>
      <c r="B5299" s="38">
        <v>-0.49</v>
      </c>
      <c r="C5299" s="13" t="s">
        <v>840</v>
      </c>
      <c r="D5299" s="36">
        <v>3720.36</v>
      </c>
      <c r="E5299" s="43" t="s">
        <v>3596</v>
      </c>
    </row>
    <row r="5300" spans="1:5" x14ac:dyDescent="0.35">
      <c r="A5300" s="40">
        <v>43711</v>
      </c>
      <c r="B5300" s="38">
        <v>-14.75</v>
      </c>
      <c r="C5300" s="13" t="s">
        <v>837</v>
      </c>
      <c r="D5300" s="36">
        <v>3587.89</v>
      </c>
      <c r="E5300" s="43" t="s">
        <v>3596</v>
      </c>
    </row>
    <row r="5301" spans="1:5" x14ac:dyDescent="0.35">
      <c r="A5301" s="40">
        <v>43711</v>
      </c>
      <c r="B5301" s="38">
        <v>-26.67</v>
      </c>
      <c r="C5301" s="13" t="s">
        <v>843</v>
      </c>
      <c r="D5301" s="36">
        <v>3737.18</v>
      </c>
      <c r="E5301" s="43" t="s">
        <v>3596</v>
      </c>
    </row>
    <row r="5302" spans="1:5" x14ac:dyDescent="0.35">
      <c r="A5302" s="40">
        <v>43711</v>
      </c>
      <c r="B5302" s="38">
        <v>-16.329999999999998</v>
      </c>
      <c r="C5302" s="13" t="s">
        <v>841</v>
      </c>
      <c r="D5302" s="36">
        <v>3704.03</v>
      </c>
      <c r="E5302" s="43" t="s">
        <v>3596</v>
      </c>
    </row>
    <row r="5303" spans="1:5" x14ac:dyDescent="0.35">
      <c r="A5303" s="40">
        <v>43711</v>
      </c>
      <c r="B5303" s="38">
        <v>-16.329999999999998</v>
      </c>
      <c r="C5303" s="13" t="s">
        <v>842</v>
      </c>
      <c r="D5303" s="36">
        <v>3720.85</v>
      </c>
      <c r="E5303" s="43" t="s">
        <v>3596</v>
      </c>
    </row>
    <row r="5304" spans="1:5" x14ac:dyDescent="0.35">
      <c r="A5304" s="40">
        <v>43710</v>
      </c>
      <c r="B5304" s="38">
        <v>-4.51</v>
      </c>
      <c r="C5304" s="13" t="s">
        <v>4</v>
      </c>
      <c r="D5304" s="36">
        <v>3922.82</v>
      </c>
      <c r="E5304" s="43" t="s">
        <v>3596</v>
      </c>
    </row>
    <row r="5305" spans="1:5" x14ac:dyDescent="0.35">
      <c r="A5305" s="40">
        <v>43710</v>
      </c>
      <c r="B5305" s="38">
        <v>-15.15</v>
      </c>
      <c r="C5305" s="13" t="s">
        <v>845</v>
      </c>
      <c r="D5305" s="36">
        <v>3907.67</v>
      </c>
      <c r="E5305" s="43" t="s">
        <v>3596</v>
      </c>
    </row>
    <row r="5306" spans="1:5" x14ac:dyDescent="0.35">
      <c r="A5306" s="40">
        <v>43710</v>
      </c>
      <c r="B5306" s="38">
        <v>-21.52</v>
      </c>
      <c r="C5306" s="13" t="s">
        <v>773</v>
      </c>
      <c r="D5306" s="36">
        <v>3886.15</v>
      </c>
      <c r="E5306" s="43" t="s">
        <v>3596</v>
      </c>
    </row>
    <row r="5307" spans="1:5" x14ac:dyDescent="0.35">
      <c r="A5307" s="40">
        <v>43710</v>
      </c>
      <c r="B5307" s="38">
        <v>50</v>
      </c>
      <c r="C5307" s="13" t="s">
        <v>1243</v>
      </c>
      <c r="D5307" s="36">
        <v>3936.15</v>
      </c>
      <c r="E5307" s="43" t="s">
        <v>3596</v>
      </c>
    </row>
    <row r="5308" spans="1:5" x14ac:dyDescent="0.35">
      <c r="A5308" s="40">
        <v>43710</v>
      </c>
      <c r="B5308" s="38">
        <v>-172.3</v>
      </c>
      <c r="C5308" s="13" t="s">
        <v>844</v>
      </c>
      <c r="D5308" s="36">
        <v>3763.85</v>
      </c>
      <c r="E5308" s="43" t="s">
        <v>3596</v>
      </c>
    </row>
    <row r="5309" spans="1:5" x14ac:dyDescent="0.35">
      <c r="A5309" s="40">
        <v>43709</v>
      </c>
      <c r="B5309" s="38">
        <v>-20</v>
      </c>
      <c r="C5309" s="13" t="s">
        <v>3385</v>
      </c>
      <c r="D5309" s="36">
        <v>3927.33</v>
      </c>
      <c r="E5309" s="43" t="s">
        <v>3596</v>
      </c>
    </row>
    <row r="5310" spans="1:5" x14ac:dyDescent="0.35">
      <c r="A5310" s="40">
        <v>43708</v>
      </c>
      <c r="B5310" s="38">
        <v>-40</v>
      </c>
      <c r="C5310" s="13" t="s">
        <v>848</v>
      </c>
      <c r="D5310" s="36">
        <v>3991.08</v>
      </c>
      <c r="E5310" s="43" t="s">
        <v>3596</v>
      </c>
    </row>
    <row r="5311" spans="1:5" x14ac:dyDescent="0.35">
      <c r="A5311" s="40">
        <v>43708</v>
      </c>
      <c r="B5311" s="38">
        <v>-22.05</v>
      </c>
      <c r="C5311" s="13" t="s">
        <v>847</v>
      </c>
      <c r="D5311" s="36">
        <v>3969.03</v>
      </c>
      <c r="E5311" s="43" t="s">
        <v>3596</v>
      </c>
    </row>
    <row r="5312" spans="1:5" x14ac:dyDescent="0.35">
      <c r="A5312" s="40">
        <v>43708</v>
      </c>
      <c r="B5312" s="38">
        <v>-100</v>
      </c>
      <c r="C5312" s="13" t="s">
        <v>946</v>
      </c>
      <c r="D5312" s="36">
        <v>4031.08</v>
      </c>
      <c r="E5312" s="43" t="s">
        <v>3596</v>
      </c>
    </row>
    <row r="5313" spans="1:5" x14ac:dyDescent="0.35">
      <c r="A5313" s="40">
        <v>43708</v>
      </c>
      <c r="B5313" s="38">
        <v>-21.7</v>
      </c>
      <c r="C5313" s="13" t="s">
        <v>846</v>
      </c>
      <c r="D5313" s="36">
        <v>3947.33</v>
      </c>
      <c r="E5313" s="43" t="s">
        <v>3596</v>
      </c>
    </row>
    <row r="5314" spans="1:5" x14ac:dyDescent="0.35">
      <c r="A5314" s="40">
        <v>43707</v>
      </c>
      <c r="B5314" s="38">
        <v>-29.4</v>
      </c>
      <c r="C5314" s="13" t="s">
        <v>849</v>
      </c>
      <c r="D5314" s="36">
        <v>4145.9799999999996</v>
      </c>
      <c r="E5314" s="43" t="s">
        <v>3596</v>
      </c>
    </row>
    <row r="5315" spans="1:5" x14ac:dyDescent="0.35">
      <c r="A5315" s="40">
        <v>43707</v>
      </c>
      <c r="B5315" s="38">
        <v>-14.9</v>
      </c>
      <c r="C5315" s="13" t="s">
        <v>11</v>
      </c>
      <c r="D5315" s="36">
        <v>4131.08</v>
      </c>
      <c r="E5315" s="43" t="s">
        <v>3596</v>
      </c>
    </row>
    <row r="5316" spans="1:5" x14ac:dyDescent="0.35">
      <c r="A5316" s="40">
        <v>43706</v>
      </c>
      <c r="B5316" s="38">
        <v>-1.42</v>
      </c>
      <c r="C5316" s="13" t="s">
        <v>853</v>
      </c>
      <c r="D5316" s="36">
        <v>4282.6099999999997</v>
      </c>
      <c r="E5316" s="43" t="s">
        <v>3596</v>
      </c>
    </row>
    <row r="5317" spans="1:5" x14ac:dyDescent="0.35">
      <c r="A5317" s="40">
        <v>43706</v>
      </c>
      <c r="B5317" s="38">
        <v>-51</v>
      </c>
      <c r="C5317" s="13" t="s">
        <v>857</v>
      </c>
      <c r="D5317" s="36">
        <v>4385.2299999999996</v>
      </c>
      <c r="E5317" s="43" t="s">
        <v>3596</v>
      </c>
    </row>
    <row r="5318" spans="1:5" x14ac:dyDescent="0.35">
      <c r="A5318" s="40">
        <v>43706</v>
      </c>
      <c r="B5318" s="38">
        <v>-8.9</v>
      </c>
      <c r="C5318" s="13" t="s">
        <v>854</v>
      </c>
      <c r="D5318" s="36">
        <v>4284.03</v>
      </c>
      <c r="E5318" s="43" t="s">
        <v>3596</v>
      </c>
    </row>
    <row r="5319" spans="1:5" x14ac:dyDescent="0.35">
      <c r="A5319" s="40">
        <v>43706</v>
      </c>
      <c r="B5319" s="38">
        <v>-27.83</v>
      </c>
      <c r="C5319" s="13" t="s">
        <v>850</v>
      </c>
      <c r="D5319" s="36">
        <v>4175.38</v>
      </c>
      <c r="E5319" s="43" t="s">
        <v>3596</v>
      </c>
    </row>
    <row r="5320" spans="1:5" x14ac:dyDescent="0.35">
      <c r="A5320" s="40">
        <v>43706</v>
      </c>
      <c r="B5320" s="38">
        <v>-30.45</v>
      </c>
      <c r="C5320" s="13" t="s">
        <v>855</v>
      </c>
      <c r="D5320" s="36">
        <v>4292.93</v>
      </c>
      <c r="E5320" s="43" t="s">
        <v>3596</v>
      </c>
    </row>
    <row r="5321" spans="1:5" x14ac:dyDescent="0.35">
      <c r="A5321" s="40">
        <v>43706</v>
      </c>
      <c r="B5321" s="38">
        <v>-12.29</v>
      </c>
      <c r="C5321" s="13" t="s">
        <v>855</v>
      </c>
      <c r="D5321" s="36">
        <v>4323.38</v>
      </c>
      <c r="E5321" s="43" t="s">
        <v>3596</v>
      </c>
    </row>
    <row r="5322" spans="1:5" x14ac:dyDescent="0.35">
      <c r="A5322" s="40">
        <v>43706</v>
      </c>
      <c r="B5322" s="38">
        <v>-15.75</v>
      </c>
      <c r="C5322" s="13" t="s">
        <v>855</v>
      </c>
      <c r="D5322" s="36">
        <v>4335.67</v>
      </c>
      <c r="E5322" s="43" t="s">
        <v>3596</v>
      </c>
    </row>
    <row r="5323" spans="1:5" x14ac:dyDescent="0.35">
      <c r="A5323" s="40">
        <v>43706</v>
      </c>
      <c r="B5323" s="38">
        <v>-33.81</v>
      </c>
      <c r="C5323" s="13" t="s">
        <v>856</v>
      </c>
      <c r="D5323" s="36">
        <v>4351.42</v>
      </c>
      <c r="E5323" s="43" t="s">
        <v>3596</v>
      </c>
    </row>
    <row r="5324" spans="1:5" x14ac:dyDescent="0.35">
      <c r="A5324" s="40">
        <v>43706</v>
      </c>
      <c r="B5324" s="38">
        <v>-45.4</v>
      </c>
      <c r="C5324" s="13" t="s">
        <v>851</v>
      </c>
      <c r="D5324" s="36">
        <v>4203.21</v>
      </c>
      <c r="E5324" s="43" t="s">
        <v>3596</v>
      </c>
    </row>
    <row r="5325" spans="1:5" x14ac:dyDescent="0.35">
      <c r="A5325" s="40">
        <v>43706</v>
      </c>
      <c r="B5325" s="38">
        <v>-14</v>
      </c>
      <c r="C5325" s="13" t="s">
        <v>171</v>
      </c>
      <c r="D5325" s="36">
        <v>4248.6099999999997</v>
      </c>
      <c r="E5325" s="43" t="s">
        <v>3596</v>
      </c>
    </row>
    <row r="5326" spans="1:5" x14ac:dyDescent="0.35">
      <c r="A5326" s="40">
        <v>43706</v>
      </c>
      <c r="B5326" s="38">
        <v>-20</v>
      </c>
      <c r="C5326" s="13" t="s">
        <v>852</v>
      </c>
      <c r="D5326" s="36">
        <v>4262.6099999999997</v>
      </c>
      <c r="E5326" s="43" t="s">
        <v>3596</v>
      </c>
    </row>
    <row r="5327" spans="1:5" x14ac:dyDescent="0.35">
      <c r="A5327" s="40">
        <v>43705</v>
      </c>
      <c r="B5327" s="38">
        <v>-36.5</v>
      </c>
      <c r="C5327" s="13" t="s">
        <v>859</v>
      </c>
      <c r="D5327" s="36">
        <v>3280.15</v>
      </c>
      <c r="E5327" s="43" t="s">
        <v>3596</v>
      </c>
    </row>
    <row r="5328" spans="1:5" x14ac:dyDescent="0.35">
      <c r="A5328" s="40">
        <v>43705</v>
      </c>
      <c r="B5328" s="38">
        <v>1178.48</v>
      </c>
      <c r="C5328" s="13" t="s">
        <v>10</v>
      </c>
      <c r="D5328" s="36">
        <v>4436.2299999999996</v>
      </c>
      <c r="E5328" s="43" t="s">
        <v>3596</v>
      </c>
    </row>
    <row r="5329" spans="1:5" x14ac:dyDescent="0.35">
      <c r="A5329" s="40">
        <v>43705</v>
      </c>
      <c r="B5329" s="38">
        <v>-16.899999999999999</v>
      </c>
      <c r="C5329" s="13" t="s">
        <v>11</v>
      </c>
      <c r="D5329" s="36">
        <v>3257.75</v>
      </c>
      <c r="E5329" s="43" t="s">
        <v>3596</v>
      </c>
    </row>
    <row r="5330" spans="1:5" x14ac:dyDescent="0.35">
      <c r="A5330" s="40">
        <v>43705</v>
      </c>
      <c r="B5330" s="38">
        <v>-5.5</v>
      </c>
      <c r="C5330" s="13" t="s">
        <v>858</v>
      </c>
      <c r="D5330" s="36">
        <v>3274.65</v>
      </c>
      <c r="E5330" s="43" t="s">
        <v>3596</v>
      </c>
    </row>
    <row r="5331" spans="1:5" x14ac:dyDescent="0.35">
      <c r="A5331" s="40">
        <v>43704</v>
      </c>
      <c r="B5331" s="38">
        <v>-18.14</v>
      </c>
      <c r="C5331" s="13" t="s">
        <v>860</v>
      </c>
      <c r="D5331" s="36">
        <v>3316.65</v>
      </c>
      <c r="E5331" s="43" t="s">
        <v>3596</v>
      </c>
    </row>
    <row r="5332" spans="1:5" x14ac:dyDescent="0.35">
      <c r="A5332" s="40">
        <v>43704</v>
      </c>
      <c r="B5332" s="38">
        <v>-9.18</v>
      </c>
      <c r="C5332" s="13" t="s">
        <v>862</v>
      </c>
      <c r="D5332" s="36">
        <v>3350.79</v>
      </c>
      <c r="E5332" s="43" t="s">
        <v>3596</v>
      </c>
    </row>
    <row r="5333" spans="1:5" x14ac:dyDescent="0.35">
      <c r="A5333" s="40">
        <v>43704</v>
      </c>
      <c r="B5333" s="38">
        <v>-16</v>
      </c>
      <c r="C5333" s="13" t="s">
        <v>861</v>
      </c>
      <c r="D5333" s="36">
        <v>3334.79</v>
      </c>
      <c r="E5333" s="43" t="s">
        <v>3596</v>
      </c>
    </row>
    <row r="5334" spans="1:5" x14ac:dyDescent="0.35">
      <c r="A5334" s="40">
        <v>43702</v>
      </c>
      <c r="B5334" s="38">
        <v>-26</v>
      </c>
      <c r="C5334" s="13" t="s">
        <v>948</v>
      </c>
      <c r="D5334" s="36">
        <v>3359.97</v>
      </c>
      <c r="E5334" s="43" t="s">
        <v>3596</v>
      </c>
    </row>
    <row r="5335" spans="1:5" x14ac:dyDescent="0.35">
      <c r="A5335" s="40">
        <v>43701</v>
      </c>
      <c r="B5335" s="38">
        <v>-22.15</v>
      </c>
      <c r="C5335" s="13" t="s">
        <v>779</v>
      </c>
      <c r="D5335" s="36">
        <v>3471.97</v>
      </c>
      <c r="E5335" s="43" t="s">
        <v>3596</v>
      </c>
    </row>
    <row r="5336" spans="1:5" x14ac:dyDescent="0.35">
      <c r="A5336" s="40">
        <v>43701</v>
      </c>
      <c r="B5336" s="38">
        <v>-12.95</v>
      </c>
      <c r="C5336" s="13" t="s">
        <v>863</v>
      </c>
      <c r="D5336" s="36">
        <v>3531.59</v>
      </c>
      <c r="E5336" s="43" t="s">
        <v>3596</v>
      </c>
    </row>
    <row r="5337" spans="1:5" x14ac:dyDescent="0.35">
      <c r="A5337" s="40">
        <v>43701</v>
      </c>
      <c r="B5337" s="38">
        <v>-269.99</v>
      </c>
      <c r="C5337" s="13" t="s">
        <v>864</v>
      </c>
      <c r="D5337" s="36">
        <v>3544.54</v>
      </c>
      <c r="E5337" s="43" t="s">
        <v>3596</v>
      </c>
    </row>
    <row r="5338" spans="1:5" x14ac:dyDescent="0.35">
      <c r="A5338" s="40">
        <v>43701</v>
      </c>
      <c r="B5338" s="38">
        <v>-10.19</v>
      </c>
      <c r="C5338" s="13" t="s">
        <v>837</v>
      </c>
      <c r="D5338" s="36">
        <v>3521.4</v>
      </c>
      <c r="E5338" s="43" t="s">
        <v>3596</v>
      </c>
    </row>
    <row r="5339" spans="1:5" x14ac:dyDescent="0.35">
      <c r="A5339" s="40">
        <v>43701</v>
      </c>
      <c r="B5339" s="38">
        <v>-100</v>
      </c>
      <c r="C5339" s="13" t="s">
        <v>946</v>
      </c>
      <c r="D5339" s="36">
        <v>3814.53</v>
      </c>
      <c r="E5339" s="43" t="s">
        <v>3596</v>
      </c>
    </row>
    <row r="5340" spans="1:5" x14ac:dyDescent="0.35">
      <c r="A5340" s="40">
        <v>43701</v>
      </c>
      <c r="B5340" s="38">
        <v>-27.28</v>
      </c>
      <c r="C5340" s="13" t="s">
        <v>773</v>
      </c>
      <c r="D5340" s="36">
        <v>3494.12</v>
      </c>
      <c r="E5340" s="43" t="s">
        <v>3596</v>
      </c>
    </row>
    <row r="5341" spans="1:5" x14ac:dyDescent="0.35">
      <c r="A5341" s="40">
        <v>43701</v>
      </c>
      <c r="B5341" s="38">
        <v>-86</v>
      </c>
      <c r="C5341" s="13" t="s">
        <v>0</v>
      </c>
      <c r="D5341" s="36">
        <v>3385.97</v>
      </c>
      <c r="E5341" s="43" t="s">
        <v>3596</v>
      </c>
    </row>
    <row r="5342" spans="1:5" x14ac:dyDescent="0.35">
      <c r="A5342" s="40">
        <v>43700</v>
      </c>
      <c r="B5342" s="38">
        <v>-2.97</v>
      </c>
      <c r="C5342" s="13" t="s">
        <v>4</v>
      </c>
      <c r="D5342" s="36">
        <v>3951.03</v>
      </c>
      <c r="E5342" s="43" t="s">
        <v>3596</v>
      </c>
    </row>
    <row r="5343" spans="1:5" x14ac:dyDescent="0.35">
      <c r="A5343" s="40">
        <v>43700</v>
      </c>
      <c r="B5343" s="38">
        <v>-21.5</v>
      </c>
      <c r="C5343" s="13" t="s">
        <v>100</v>
      </c>
      <c r="D5343" s="36">
        <v>3914.53</v>
      </c>
      <c r="E5343" s="43" t="s">
        <v>3596</v>
      </c>
    </row>
    <row r="5344" spans="1:5" x14ac:dyDescent="0.35">
      <c r="A5344" s="40">
        <v>43700</v>
      </c>
      <c r="B5344" s="38">
        <v>-15</v>
      </c>
      <c r="C5344" s="13" t="s">
        <v>100</v>
      </c>
      <c r="D5344" s="36">
        <v>3936.03</v>
      </c>
      <c r="E5344" s="43" t="s">
        <v>3596</v>
      </c>
    </row>
    <row r="5345" spans="1:5" x14ac:dyDescent="0.35">
      <c r="A5345" s="40">
        <v>43699</v>
      </c>
      <c r="B5345" s="38">
        <v>-500</v>
      </c>
      <c r="C5345" s="13" t="s">
        <v>945</v>
      </c>
      <c r="D5345" s="36">
        <v>3969</v>
      </c>
      <c r="E5345" s="43" t="s">
        <v>3596</v>
      </c>
    </row>
    <row r="5346" spans="1:5" x14ac:dyDescent="0.35">
      <c r="A5346" s="40">
        <v>43699</v>
      </c>
      <c r="B5346" s="38">
        <v>-15</v>
      </c>
      <c r="C5346" s="13" t="s">
        <v>865</v>
      </c>
      <c r="D5346" s="36">
        <v>3954</v>
      </c>
      <c r="E5346" s="43" t="s">
        <v>3596</v>
      </c>
    </row>
    <row r="5347" spans="1:5" x14ac:dyDescent="0.35">
      <c r="A5347" s="40">
        <v>43698</v>
      </c>
      <c r="B5347" s="38">
        <v>-84</v>
      </c>
      <c r="C5347" s="13" t="s">
        <v>866</v>
      </c>
      <c r="D5347" s="36">
        <v>918.32</v>
      </c>
      <c r="E5347" s="43" t="s">
        <v>3596</v>
      </c>
    </row>
    <row r="5348" spans="1:5" x14ac:dyDescent="0.35">
      <c r="A5348" s="40">
        <v>43698</v>
      </c>
      <c r="B5348" s="38">
        <v>-40</v>
      </c>
      <c r="C5348" s="13" t="s">
        <v>867</v>
      </c>
      <c r="D5348" s="36">
        <v>1002.32</v>
      </c>
      <c r="E5348" s="43" t="s">
        <v>3596</v>
      </c>
    </row>
    <row r="5349" spans="1:5" x14ac:dyDescent="0.35">
      <c r="A5349" s="40">
        <v>43698</v>
      </c>
      <c r="B5349" s="38">
        <v>3550.68</v>
      </c>
      <c r="C5349" s="13" t="s">
        <v>10</v>
      </c>
      <c r="D5349" s="36">
        <v>4469</v>
      </c>
      <c r="E5349" s="43" t="s">
        <v>3596</v>
      </c>
    </row>
    <row r="5350" spans="1:5" x14ac:dyDescent="0.35">
      <c r="A5350" s="40">
        <v>43697</v>
      </c>
      <c r="B5350" s="38">
        <v>-57.3</v>
      </c>
      <c r="C5350" s="13" t="s">
        <v>869</v>
      </c>
      <c r="D5350" s="36">
        <v>1241.92</v>
      </c>
      <c r="E5350" s="43" t="s">
        <v>3596</v>
      </c>
    </row>
    <row r="5351" spans="1:5" x14ac:dyDescent="0.35">
      <c r="A5351" s="40">
        <v>43697</v>
      </c>
      <c r="B5351" s="38">
        <v>-12.5</v>
      </c>
      <c r="C5351" s="13" t="s">
        <v>868</v>
      </c>
      <c r="D5351" s="36">
        <v>1229.42</v>
      </c>
      <c r="E5351" s="43" t="s">
        <v>3596</v>
      </c>
    </row>
    <row r="5352" spans="1:5" x14ac:dyDescent="0.35">
      <c r="A5352" s="40">
        <v>43697</v>
      </c>
      <c r="B5352" s="38">
        <v>-16</v>
      </c>
      <c r="C5352" s="13" t="s">
        <v>802</v>
      </c>
      <c r="D5352" s="36">
        <v>1213.42</v>
      </c>
      <c r="E5352" s="43" t="s">
        <v>3596</v>
      </c>
    </row>
    <row r="5353" spans="1:5" x14ac:dyDescent="0.35">
      <c r="A5353" s="40">
        <v>43697</v>
      </c>
      <c r="B5353" s="38">
        <v>-171.1</v>
      </c>
      <c r="C5353" s="13" t="s">
        <v>952</v>
      </c>
      <c r="D5353" s="36">
        <v>1042.32</v>
      </c>
      <c r="E5353" s="43" t="s">
        <v>3596</v>
      </c>
    </row>
    <row r="5354" spans="1:5" x14ac:dyDescent="0.35">
      <c r="A5354" s="40">
        <v>43696</v>
      </c>
      <c r="B5354" s="38">
        <v>-16</v>
      </c>
      <c r="C5354" s="13" t="s">
        <v>11</v>
      </c>
      <c r="D5354" s="36">
        <v>1299.22</v>
      </c>
      <c r="E5354" s="43" t="s">
        <v>3596</v>
      </c>
    </row>
    <row r="5355" spans="1:5" x14ac:dyDescent="0.35">
      <c r="A5355" s="40">
        <v>43695</v>
      </c>
      <c r="B5355" s="38">
        <v>20</v>
      </c>
      <c r="C5355" s="13" t="s">
        <v>1246</v>
      </c>
      <c r="D5355" s="36">
        <v>1265.22</v>
      </c>
      <c r="E5355" s="43" t="s">
        <v>3596</v>
      </c>
    </row>
    <row r="5356" spans="1:5" x14ac:dyDescent="0.35">
      <c r="A5356" s="40">
        <v>43695</v>
      </c>
      <c r="B5356" s="38">
        <v>50</v>
      </c>
      <c r="C5356" s="13" t="s">
        <v>1243</v>
      </c>
      <c r="D5356" s="36">
        <v>1315.22</v>
      </c>
      <c r="E5356" s="43" t="s">
        <v>3596</v>
      </c>
    </row>
    <row r="5357" spans="1:5" x14ac:dyDescent="0.35">
      <c r="A5357" s="40">
        <v>43695</v>
      </c>
      <c r="B5357" s="38">
        <v>12</v>
      </c>
      <c r="C5357" s="13" t="s">
        <v>1239</v>
      </c>
      <c r="D5357" s="36">
        <v>1245.22</v>
      </c>
      <c r="E5357" s="43" t="s">
        <v>3596</v>
      </c>
    </row>
    <row r="5358" spans="1:5" x14ac:dyDescent="0.35">
      <c r="A5358" s="40">
        <v>43694</v>
      </c>
      <c r="B5358" s="38">
        <v>-100</v>
      </c>
      <c r="C5358" s="13" t="s">
        <v>946</v>
      </c>
      <c r="D5358" s="36">
        <v>1233.22</v>
      </c>
      <c r="E5358" s="43" t="s">
        <v>3596</v>
      </c>
    </row>
    <row r="5359" spans="1:5" x14ac:dyDescent="0.35">
      <c r="A5359" s="40">
        <v>43693</v>
      </c>
      <c r="B5359" s="38">
        <v>1.59</v>
      </c>
      <c r="C5359" s="13" t="s">
        <v>247</v>
      </c>
      <c r="D5359" s="36">
        <v>1333.22</v>
      </c>
      <c r="E5359" s="43" t="s">
        <v>3596</v>
      </c>
    </row>
    <row r="5360" spans="1:5" x14ac:dyDescent="0.35">
      <c r="A5360" s="40">
        <v>43692</v>
      </c>
      <c r="B5360" s="38">
        <v>-12.81</v>
      </c>
      <c r="C5360" s="13" t="s">
        <v>874</v>
      </c>
      <c r="D5360" s="36">
        <v>1433.01</v>
      </c>
      <c r="E5360" s="43" t="s">
        <v>3596</v>
      </c>
    </row>
    <row r="5361" spans="1:5" x14ac:dyDescent="0.35">
      <c r="A5361" s="40">
        <v>43692</v>
      </c>
      <c r="B5361" s="38">
        <v>-10.3</v>
      </c>
      <c r="C5361" s="13" t="s">
        <v>873</v>
      </c>
      <c r="D5361" s="36">
        <v>1422.71</v>
      </c>
      <c r="E5361" s="43" t="s">
        <v>3596</v>
      </c>
    </row>
    <row r="5362" spans="1:5" x14ac:dyDescent="0.35">
      <c r="A5362" s="40">
        <v>43692</v>
      </c>
      <c r="B5362" s="38">
        <v>-12.5</v>
      </c>
      <c r="C5362" s="13" t="s">
        <v>871</v>
      </c>
      <c r="D5362" s="36">
        <v>1377.03</v>
      </c>
      <c r="E5362" s="43" t="s">
        <v>3596</v>
      </c>
    </row>
    <row r="5363" spans="1:5" x14ac:dyDescent="0.35">
      <c r="A5363" s="40">
        <v>43692</v>
      </c>
      <c r="B5363" s="38">
        <v>-33.18</v>
      </c>
      <c r="C5363" s="13" t="s">
        <v>872</v>
      </c>
      <c r="D5363" s="36">
        <v>1389.53</v>
      </c>
      <c r="E5363" s="43" t="s">
        <v>3596</v>
      </c>
    </row>
    <row r="5364" spans="1:5" x14ac:dyDescent="0.35">
      <c r="A5364" s="40">
        <v>43692</v>
      </c>
      <c r="B5364" s="38">
        <v>-45.4</v>
      </c>
      <c r="C5364" s="13" t="s">
        <v>870</v>
      </c>
      <c r="D5364" s="36">
        <v>1331.63</v>
      </c>
      <c r="E5364" s="43" t="s">
        <v>3596</v>
      </c>
    </row>
    <row r="5365" spans="1:5" x14ac:dyDescent="0.35">
      <c r="A5365" s="40">
        <v>43691</v>
      </c>
      <c r="B5365" s="38">
        <v>-0.5</v>
      </c>
      <c r="C5365" s="13" t="s">
        <v>4</v>
      </c>
      <c r="D5365" s="36">
        <v>1495.82</v>
      </c>
      <c r="E5365" s="43" t="s">
        <v>3596</v>
      </c>
    </row>
    <row r="5366" spans="1:5" x14ac:dyDescent="0.35">
      <c r="A5366" s="40">
        <v>43691</v>
      </c>
      <c r="B5366" s="38">
        <v>-23.79</v>
      </c>
      <c r="C5366" s="13" t="s">
        <v>878</v>
      </c>
      <c r="D5366" s="36">
        <v>1591.62</v>
      </c>
      <c r="E5366" s="43" t="s">
        <v>3596</v>
      </c>
    </row>
    <row r="5367" spans="1:5" x14ac:dyDescent="0.35">
      <c r="A5367" s="40">
        <v>43691</v>
      </c>
      <c r="B5367" s="38">
        <v>-59.5</v>
      </c>
      <c r="C5367" s="13" t="s">
        <v>877</v>
      </c>
      <c r="D5367" s="36">
        <v>1532.12</v>
      </c>
      <c r="E5367" s="43" t="s">
        <v>3596</v>
      </c>
    </row>
    <row r="5368" spans="1:5" x14ac:dyDescent="0.35">
      <c r="A5368" s="40">
        <v>43691</v>
      </c>
      <c r="B5368" s="38">
        <v>-40</v>
      </c>
      <c r="C5368" s="13" t="s">
        <v>880</v>
      </c>
      <c r="D5368" s="36">
        <v>1719.08</v>
      </c>
      <c r="E5368" s="43" t="s">
        <v>3596</v>
      </c>
    </row>
    <row r="5369" spans="1:5" x14ac:dyDescent="0.35">
      <c r="A5369" s="40">
        <v>43691</v>
      </c>
      <c r="B5369" s="38">
        <v>-103.67</v>
      </c>
      <c r="C5369" s="13" t="s">
        <v>879</v>
      </c>
      <c r="D5369" s="36">
        <v>1615.41</v>
      </c>
      <c r="E5369" s="43" t="s">
        <v>3596</v>
      </c>
    </row>
    <row r="5370" spans="1:5" x14ac:dyDescent="0.35">
      <c r="A5370" s="40">
        <v>43691</v>
      </c>
      <c r="B5370" s="38">
        <v>-50</v>
      </c>
      <c r="C5370" s="13" t="s">
        <v>947</v>
      </c>
      <c r="D5370" s="36">
        <v>1445.82</v>
      </c>
      <c r="E5370" s="43" t="s">
        <v>3596</v>
      </c>
    </row>
    <row r="5371" spans="1:5" x14ac:dyDescent="0.35">
      <c r="A5371" s="40">
        <v>43691</v>
      </c>
      <c r="B5371" s="38">
        <v>-29.3</v>
      </c>
      <c r="C5371" s="13" t="s">
        <v>876</v>
      </c>
      <c r="D5371" s="36">
        <v>1502.82</v>
      </c>
      <c r="E5371" s="43" t="s">
        <v>3596</v>
      </c>
    </row>
    <row r="5372" spans="1:5" x14ac:dyDescent="0.35">
      <c r="A5372" s="40">
        <v>43691</v>
      </c>
      <c r="B5372" s="38">
        <v>-6.5</v>
      </c>
      <c r="C5372" s="13" t="s">
        <v>875</v>
      </c>
      <c r="D5372" s="36">
        <v>1496.32</v>
      </c>
      <c r="E5372" s="43" t="s">
        <v>3596</v>
      </c>
    </row>
    <row r="5373" spans="1:5" x14ac:dyDescent="0.35">
      <c r="A5373" s="40">
        <v>43690</v>
      </c>
      <c r="B5373" s="38">
        <v>-1.58</v>
      </c>
      <c r="C5373" s="13" t="s">
        <v>4</v>
      </c>
      <c r="D5373" s="36">
        <v>1795.87</v>
      </c>
      <c r="E5373" s="43" t="s">
        <v>3596</v>
      </c>
    </row>
    <row r="5374" spans="1:5" x14ac:dyDescent="0.35">
      <c r="A5374" s="40">
        <v>43690</v>
      </c>
      <c r="B5374" s="38">
        <v>-51.5</v>
      </c>
      <c r="C5374" s="13" t="s">
        <v>883</v>
      </c>
      <c r="D5374" s="36">
        <v>1808.45</v>
      </c>
      <c r="E5374" s="43" t="s">
        <v>3596</v>
      </c>
    </row>
    <row r="5375" spans="1:5" x14ac:dyDescent="0.35">
      <c r="A5375" s="40">
        <v>43690</v>
      </c>
      <c r="B5375" s="38">
        <v>-20.399999999999999</v>
      </c>
      <c r="C5375" s="13" t="s">
        <v>953</v>
      </c>
      <c r="D5375" s="36">
        <v>1759.08</v>
      </c>
      <c r="E5375" s="43" t="s">
        <v>3596</v>
      </c>
    </row>
    <row r="5376" spans="1:5" x14ac:dyDescent="0.35">
      <c r="A5376" s="40">
        <v>43690</v>
      </c>
      <c r="B5376" s="38">
        <v>-11</v>
      </c>
      <c r="C5376" s="13" t="s">
        <v>882</v>
      </c>
      <c r="D5376" s="36">
        <v>1797.45</v>
      </c>
      <c r="E5376" s="43" t="s">
        <v>3596</v>
      </c>
    </row>
    <row r="5377" spans="1:5" x14ac:dyDescent="0.35">
      <c r="A5377" s="40">
        <v>43690</v>
      </c>
      <c r="B5377" s="38">
        <v>-14.5</v>
      </c>
      <c r="C5377" s="13" t="s">
        <v>885</v>
      </c>
      <c r="D5377" s="36">
        <v>1867.39</v>
      </c>
      <c r="E5377" s="43" t="s">
        <v>3596</v>
      </c>
    </row>
    <row r="5378" spans="1:5" x14ac:dyDescent="0.35">
      <c r="A5378" s="40">
        <v>43690</v>
      </c>
      <c r="B5378" s="38">
        <v>-4.59</v>
      </c>
      <c r="C5378" s="13" t="s">
        <v>1</v>
      </c>
      <c r="D5378" s="36">
        <v>1779.48</v>
      </c>
      <c r="E5378" s="43" t="s">
        <v>3596</v>
      </c>
    </row>
    <row r="5379" spans="1:5" x14ac:dyDescent="0.35">
      <c r="A5379" s="40">
        <v>43690</v>
      </c>
      <c r="B5379" s="38">
        <v>-3.8</v>
      </c>
      <c r="C5379" s="13" t="s">
        <v>11</v>
      </c>
      <c r="D5379" s="36">
        <v>1792.07</v>
      </c>
      <c r="E5379" s="43" t="s">
        <v>3596</v>
      </c>
    </row>
    <row r="5380" spans="1:5" x14ac:dyDescent="0.35">
      <c r="A5380" s="40">
        <v>43690</v>
      </c>
      <c r="B5380" s="38">
        <v>-7.44</v>
      </c>
      <c r="C5380" s="13" t="s">
        <v>884</v>
      </c>
      <c r="D5380" s="36">
        <v>1859.95</v>
      </c>
      <c r="E5380" s="43" t="s">
        <v>3596</v>
      </c>
    </row>
    <row r="5381" spans="1:5" x14ac:dyDescent="0.35">
      <c r="A5381" s="40">
        <v>43690</v>
      </c>
      <c r="B5381" s="38">
        <v>-8</v>
      </c>
      <c r="C5381" s="13" t="s">
        <v>881</v>
      </c>
      <c r="D5381" s="36">
        <v>1784.07</v>
      </c>
      <c r="E5381" s="43" t="s">
        <v>3596</v>
      </c>
    </row>
    <row r="5382" spans="1:5" x14ac:dyDescent="0.35">
      <c r="A5382" s="40">
        <v>43690</v>
      </c>
      <c r="B5382" s="38">
        <v>-483.32</v>
      </c>
      <c r="C5382" s="13" t="s">
        <v>3643</v>
      </c>
      <c r="D5382" s="36">
        <v>1881.89</v>
      </c>
      <c r="E5382" s="43" t="s">
        <v>3596</v>
      </c>
    </row>
    <row r="5383" spans="1:5" x14ac:dyDescent="0.35">
      <c r="A5383" s="40">
        <v>43689</v>
      </c>
      <c r="B5383" s="38">
        <v>-13.5</v>
      </c>
      <c r="C5383" s="13" t="s">
        <v>886</v>
      </c>
      <c r="D5383" s="36">
        <v>2365.21</v>
      </c>
      <c r="E5383" s="43" t="s">
        <v>3596</v>
      </c>
    </row>
    <row r="5384" spans="1:5" x14ac:dyDescent="0.35">
      <c r="A5384" s="40">
        <v>43689</v>
      </c>
      <c r="B5384" s="38">
        <v>-20</v>
      </c>
      <c r="C5384" s="13" t="s">
        <v>887</v>
      </c>
      <c r="D5384" s="36">
        <v>2378.71</v>
      </c>
      <c r="E5384" s="43" t="s">
        <v>3596</v>
      </c>
    </row>
    <row r="5385" spans="1:5" x14ac:dyDescent="0.35">
      <c r="A5385" s="40">
        <v>43688</v>
      </c>
      <c r="B5385" s="38">
        <v>-23.7</v>
      </c>
      <c r="C5385" s="13" t="s">
        <v>954</v>
      </c>
      <c r="D5385" s="36">
        <v>2398.71</v>
      </c>
      <c r="E5385" s="43" t="s">
        <v>3596</v>
      </c>
    </row>
    <row r="5386" spans="1:5" x14ac:dyDescent="0.35">
      <c r="A5386" s="40">
        <v>43687</v>
      </c>
      <c r="B5386" s="38">
        <v>-100</v>
      </c>
      <c r="C5386" s="13" t="s">
        <v>1711</v>
      </c>
      <c r="D5386" s="36">
        <v>2424.91</v>
      </c>
      <c r="E5386" s="43" t="s">
        <v>3596</v>
      </c>
    </row>
    <row r="5387" spans="1:5" x14ac:dyDescent="0.35">
      <c r="A5387" s="40">
        <v>43687</v>
      </c>
      <c r="B5387" s="38">
        <v>-9</v>
      </c>
      <c r="C5387" s="13" t="s">
        <v>888</v>
      </c>
      <c r="D5387" s="36">
        <v>2624.91</v>
      </c>
      <c r="E5387" s="43" t="s">
        <v>3596</v>
      </c>
    </row>
    <row r="5388" spans="1:5" x14ac:dyDescent="0.35">
      <c r="A5388" s="40">
        <v>43687</v>
      </c>
      <c r="B5388" s="38">
        <v>-2.5</v>
      </c>
      <c r="C5388" s="13" t="s">
        <v>24</v>
      </c>
      <c r="D5388" s="36">
        <v>2422.41</v>
      </c>
      <c r="E5388" s="43" t="s">
        <v>3596</v>
      </c>
    </row>
    <row r="5389" spans="1:5" x14ac:dyDescent="0.35">
      <c r="A5389" s="40">
        <v>43687</v>
      </c>
      <c r="B5389" s="38">
        <v>-100</v>
      </c>
      <c r="C5389" s="13" t="s">
        <v>946</v>
      </c>
      <c r="D5389" s="36">
        <v>2524.91</v>
      </c>
      <c r="E5389" s="43" t="s">
        <v>3596</v>
      </c>
    </row>
    <row r="5390" spans="1:5" x14ac:dyDescent="0.35">
      <c r="A5390" s="40">
        <v>43686</v>
      </c>
      <c r="B5390" s="38">
        <v>-1.76</v>
      </c>
      <c r="C5390" s="13" t="s">
        <v>4</v>
      </c>
      <c r="D5390" s="36">
        <v>2706.91</v>
      </c>
      <c r="E5390" s="43" t="s">
        <v>3596</v>
      </c>
    </row>
    <row r="5391" spans="1:5" x14ac:dyDescent="0.35">
      <c r="A5391" s="40">
        <v>43686</v>
      </c>
      <c r="B5391" s="38">
        <v>-73</v>
      </c>
      <c r="C5391" s="13" t="s">
        <v>37</v>
      </c>
      <c r="D5391" s="36">
        <v>2633.91</v>
      </c>
      <c r="E5391" s="43" t="s">
        <v>3596</v>
      </c>
    </row>
    <row r="5392" spans="1:5" x14ac:dyDescent="0.35">
      <c r="A5392" s="40">
        <v>43685</v>
      </c>
      <c r="B5392" s="38">
        <v>-0.5</v>
      </c>
      <c r="C5392" s="13" t="s">
        <v>4</v>
      </c>
      <c r="D5392" s="36">
        <v>2724.07</v>
      </c>
      <c r="E5392" s="43" t="s">
        <v>3596</v>
      </c>
    </row>
    <row r="5393" spans="1:5" x14ac:dyDescent="0.35">
      <c r="A5393" s="40">
        <v>43685</v>
      </c>
      <c r="B5393" s="38">
        <v>-55.5</v>
      </c>
      <c r="C5393" s="13" t="s">
        <v>889</v>
      </c>
      <c r="D5393" s="36">
        <v>2724.57</v>
      </c>
      <c r="E5393" s="43" t="s">
        <v>3596</v>
      </c>
    </row>
    <row r="5394" spans="1:5" x14ac:dyDescent="0.35">
      <c r="A5394" s="40">
        <v>43685</v>
      </c>
      <c r="B5394" s="38">
        <v>-40</v>
      </c>
      <c r="C5394" s="13" t="s">
        <v>890</v>
      </c>
      <c r="D5394" s="36">
        <v>2780.07</v>
      </c>
      <c r="E5394" s="43" t="s">
        <v>3596</v>
      </c>
    </row>
    <row r="5395" spans="1:5" x14ac:dyDescent="0.35">
      <c r="A5395" s="40">
        <v>43685</v>
      </c>
      <c r="B5395" s="38">
        <v>-500</v>
      </c>
      <c r="C5395" s="13" t="s">
        <v>945</v>
      </c>
      <c r="D5395" s="36">
        <v>2820.07</v>
      </c>
      <c r="E5395" s="43" t="s">
        <v>3596</v>
      </c>
    </row>
    <row r="5396" spans="1:5" x14ac:dyDescent="0.35">
      <c r="A5396" s="40">
        <v>43685</v>
      </c>
      <c r="B5396" s="38">
        <v>-15.4</v>
      </c>
      <c r="C5396" s="13" t="s">
        <v>11</v>
      </c>
      <c r="D5396" s="36">
        <v>2708.67</v>
      </c>
      <c r="E5396" s="43" t="s">
        <v>3596</v>
      </c>
    </row>
    <row r="5397" spans="1:5" x14ac:dyDescent="0.35">
      <c r="A5397" s="40">
        <v>43684</v>
      </c>
      <c r="B5397" s="38">
        <v>-5.9</v>
      </c>
      <c r="C5397" s="13" t="s">
        <v>13</v>
      </c>
      <c r="D5397" s="36">
        <v>3320.07</v>
      </c>
      <c r="E5397" s="43" t="s">
        <v>3596</v>
      </c>
    </row>
    <row r="5398" spans="1:5" x14ac:dyDescent="0.35">
      <c r="A5398" s="40">
        <v>43683</v>
      </c>
      <c r="B5398" s="38">
        <v>-35</v>
      </c>
      <c r="C5398" s="13" t="s">
        <v>891</v>
      </c>
      <c r="D5398" s="36">
        <v>3330.72</v>
      </c>
      <c r="E5398" s="43" t="s">
        <v>3596</v>
      </c>
    </row>
    <row r="5399" spans="1:5" x14ac:dyDescent="0.35">
      <c r="A5399" s="40">
        <v>43683</v>
      </c>
      <c r="B5399" s="38">
        <v>-12.5</v>
      </c>
      <c r="C5399" s="13" t="s">
        <v>892</v>
      </c>
      <c r="D5399" s="36">
        <v>3365.72</v>
      </c>
      <c r="E5399" s="43" t="s">
        <v>3596</v>
      </c>
    </row>
    <row r="5400" spans="1:5" x14ac:dyDescent="0.35">
      <c r="A5400" s="40">
        <v>43683</v>
      </c>
      <c r="B5400" s="38">
        <v>-4.75</v>
      </c>
      <c r="C5400" s="13" t="s">
        <v>1</v>
      </c>
      <c r="D5400" s="36">
        <v>3325.97</v>
      </c>
      <c r="E5400" s="43" t="s">
        <v>3596</v>
      </c>
    </row>
    <row r="5401" spans="1:5" x14ac:dyDescent="0.35">
      <c r="A5401" s="40">
        <v>43682</v>
      </c>
      <c r="B5401" s="38">
        <v>-0.51</v>
      </c>
      <c r="C5401" s="13" t="s">
        <v>4</v>
      </c>
      <c r="D5401" s="36">
        <v>3401.11</v>
      </c>
      <c r="E5401" s="43" t="s">
        <v>3596</v>
      </c>
    </row>
    <row r="5402" spans="1:5" x14ac:dyDescent="0.35">
      <c r="A5402" s="40">
        <v>43682</v>
      </c>
      <c r="B5402" s="38">
        <v>-4.99</v>
      </c>
      <c r="C5402" s="13" t="s">
        <v>1</v>
      </c>
      <c r="D5402" s="36">
        <v>3378.22</v>
      </c>
      <c r="E5402" s="43" t="s">
        <v>3596</v>
      </c>
    </row>
    <row r="5403" spans="1:5" x14ac:dyDescent="0.35">
      <c r="A5403" s="40">
        <v>43682</v>
      </c>
      <c r="B5403" s="38">
        <v>-17.899999999999999</v>
      </c>
      <c r="C5403" s="13" t="s">
        <v>11</v>
      </c>
      <c r="D5403" s="36">
        <v>3383.21</v>
      </c>
      <c r="E5403" s="43" t="s">
        <v>3596</v>
      </c>
    </row>
    <row r="5404" spans="1:5" x14ac:dyDescent="0.35">
      <c r="A5404" s="40">
        <v>43680</v>
      </c>
      <c r="B5404" s="38">
        <v>-12.5</v>
      </c>
      <c r="C5404" s="13" t="s">
        <v>893</v>
      </c>
      <c r="D5404" s="36">
        <v>3478.23</v>
      </c>
      <c r="E5404" s="43" t="s">
        <v>3596</v>
      </c>
    </row>
    <row r="5405" spans="1:5" x14ac:dyDescent="0.35">
      <c r="A5405" s="40">
        <v>43680</v>
      </c>
      <c r="B5405" s="38">
        <v>-100</v>
      </c>
      <c r="C5405" s="13" t="s">
        <v>946</v>
      </c>
      <c r="D5405" s="36">
        <v>3490.73</v>
      </c>
      <c r="E5405" s="43" t="s">
        <v>3596</v>
      </c>
    </row>
    <row r="5406" spans="1:5" x14ac:dyDescent="0.35">
      <c r="A5406" s="40">
        <v>43680</v>
      </c>
      <c r="B5406" s="38">
        <v>-76.61</v>
      </c>
      <c r="C5406" s="13" t="s">
        <v>773</v>
      </c>
      <c r="D5406" s="36">
        <v>3401.62</v>
      </c>
      <c r="E5406" s="43" t="s">
        <v>3596</v>
      </c>
    </row>
    <row r="5407" spans="1:5" x14ac:dyDescent="0.35">
      <c r="A5407" s="40">
        <v>43679</v>
      </c>
      <c r="B5407" s="38">
        <v>-40</v>
      </c>
      <c r="C5407" s="13" t="s">
        <v>894</v>
      </c>
      <c r="D5407" s="36">
        <v>3606.73</v>
      </c>
      <c r="E5407" s="43" t="s">
        <v>3596</v>
      </c>
    </row>
    <row r="5408" spans="1:5" x14ac:dyDescent="0.35">
      <c r="A5408" s="40">
        <v>43679</v>
      </c>
      <c r="B5408" s="38">
        <v>-16</v>
      </c>
      <c r="C5408" s="13" t="s">
        <v>11</v>
      </c>
      <c r="D5408" s="36">
        <v>3590.73</v>
      </c>
      <c r="E5408" s="43" t="s">
        <v>3596</v>
      </c>
    </row>
    <row r="5409" spans="1:5" x14ac:dyDescent="0.35">
      <c r="A5409" s="40">
        <v>43678</v>
      </c>
      <c r="B5409" s="38">
        <v>-0.69</v>
      </c>
      <c r="C5409" s="13" t="s">
        <v>4</v>
      </c>
      <c r="D5409" s="36">
        <v>3864.43</v>
      </c>
      <c r="E5409" s="43" t="s">
        <v>3596</v>
      </c>
    </row>
    <row r="5410" spans="1:5" x14ac:dyDescent="0.35">
      <c r="A5410" s="40">
        <v>43678</v>
      </c>
      <c r="B5410" s="38">
        <v>-26</v>
      </c>
      <c r="C5410" s="13" t="s">
        <v>897</v>
      </c>
      <c r="D5410" s="36">
        <v>3865.12</v>
      </c>
      <c r="E5410" s="43" t="s">
        <v>3596</v>
      </c>
    </row>
    <row r="5411" spans="1:5" x14ac:dyDescent="0.35">
      <c r="A5411" s="40">
        <v>43678</v>
      </c>
      <c r="B5411" s="38">
        <v>-20</v>
      </c>
      <c r="C5411" s="13" t="s">
        <v>3385</v>
      </c>
      <c r="D5411" s="36">
        <v>3922.83</v>
      </c>
      <c r="E5411" s="43" t="s">
        <v>3596</v>
      </c>
    </row>
    <row r="5412" spans="1:5" x14ac:dyDescent="0.35">
      <c r="A5412" s="40">
        <v>43678</v>
      </c>
      <c r="B5412" s="38">
        <v>-10.5</v>
      </c>
      <c r="C5412" s="13" t="s">
        <v>899</v>
      </c>
      <c r="D5412" s="36">
        <v>3912.33</v>
      </c>
      <c r="E5412" s="43" t="s">
        <v>3596</v>
      </c>
    </row>
    <row r="5413" spans="1:5" x14ac:dyDescent="0.35">
      <c r="A5413" s="40">
        <v>43678</v>
      </c>
      <c r="B5413" s="38">
        <v>-45.4</v>
      </c>
      <c r="C5413" s="13" t="s">
        <v>895</v>
      </c>
      <c r="D5413" s="36">
        <v>3646.73</v>
      </c>
      <c r="E5413" s="43" t="s">
        <v>3596</v>
      </c>
    </row>
    <row r="5414" spans="1:5" x14ac:dyDescent="0.35">
      <c r="A5414" s="40">
        <v>43678</v>
      </c>
      <c r="B5414" s="38">
        <v>-172.3</v>
      </c>
      <c r="C5414" s="13" t="s">
        <v>896</v>
      </c>
      <c r="D5414" s="36">
        <v>3692.13</v>
      </c>
      <c r="E5414" s="43" t="s">
        <v>3596</v>
      </c>
    </row>
    <row r="5415" spans="1:5" x14ac:dyDescent="0.35">
      <c r="A5415" s="40">
        <v>43678</v>
      </c>
      <c r="B5415" s="38">
        <v>-21.21</v>
      </c>
      <c r="C5415" s="13" t="s">
        <v>898</v>
      </c>
      <c r="D5415" s="36">
        <v>3891.12</v>
      </c>
      <c r="E5415" s="43" t="s">
        <v>3596</v>
      </c>
    </row>
    <row r="5416" spans="1:5" x14ac:dyDescent="0.35">
      <c r="A5416" s="40">
        <v>43677</v>
      </c>
      <c r="B5416" s="38">
        <v>-9</v>
      </c>
      <c r="C5416" s="13" t="s">
        <v>4</v>
      </c>
      <c r="D5416" s="36">
        <v>2815.05</v>
      </c>
      <c r="E5416" s="43" t="s">
        <v>3596</v>
      </c>
    </row>
    <row r="5417" spans="1:5" x14ac:dyDescent="0.35">
      <c r="A5417" s="40">
        <v>43677</v>
      </c>
      <c r="B5417" s="38">
        <v>-26.82</v>
      </c>
      <c r="C5417" s="13" t="s">
        <v>900</v>
      </c>
      <c r="D5417" s="36">
        <v>2824.05</v>
      </c>
      <c r="E5417" s="43" t="s">
        <v>3596</v>
      </c>
    </row>
    <row r="5418" spans="1:5" x14ac:dyDescent="0.35">
      <c r="A5418" s="40">
        <v>43677</v>
      </c>
      <c r="B5418" s="38">
        <v>1182.02</v>
      </c>
      <c r="C5418" s="13" t="s">
        <v>10</v>
      </c>
      <c r="D5418" s="36">
        <v>3942.83</v>
      </c>
      <c r="E5418" s="43" t="s">
        <v>3596</v>
      </c>
    </row>
    <row r="5419" spans="1:5" x14ac:dyDescent="0.35">
      <c r="A5419" s="40">
        <v>43677</v>
      </c>
      <c r="B5419" s="38">
        <v>-3.19</v>
      </c>
      <c r="C5419" s="13" t="s">
        <v>1</v>
      </c>
      <c r="D5419" s="36">
        <v>2760.81</v>
      </c>
      <c r="E5419" s="43" t="s">
        <v>3596</v>
      </c>
    </row>
    <row r="5420" spans="1:5" x14ac:dyDescent="0.35">
      <c r="A5420" s="40">
        <v>43677</v>
      </c>
      <c r="B5420" s="38">
        <v>-24.75</v>
      </c>
      <c r="C5420" s="13" t="s">
        <v>773</v>
      </c>
      <c r="D5420" s="36">
        <v>2764</v>
      </c>
      <c r="E5420" s="43" t="s">
        <v>3596</v>
      </c>
    </row>
    <row r="5421" spans="1:5" x14ac:dyDescent="0.35">
      <c r="A5421" s="40">
        <v>43677</v>
      </c>
      <c r="B5421" s="38">
        <v>-12.3</v>
      </c>
      <c r="C5421" s="13" t="s">
        <v>11</v>
      </c>
      <c r="D5421" s="36">
        <v>2802.75</v>
      </c>
      <c r="E5421" s="43" t="s">
        <v>3596</v>
      </c>
    </row>
    <row r="5422" spans="1:5" x14ac:dyDescent="0.35">
      <c r="A5422" s="40">
        <v>43677</v>
      </c>
      <c r="B5422" s="38">
        <v>-14</v>
      </c>
      <c r="C5422" s="13" t="s">
        <v>171</v>
      </c>
      <c r="D5422" s="36">
        <v>2788.75</v>
      </c>
      <c r="E5422" s="43" t="s">
        <v>3596</v>
      </c>
    </row>
    <row r="5423" spans="1:5" x14ac:dyDescent="0.35">
      <c r="A5423" s="40">
        <v>43676</v>
      </c>
      <c r="B5423" s="38">
        <v>-0.55000000000000004</v>
      </c>
      <c r="C5423" s="13" t="s">
        <v>4</v>
      </c>
      <c r="D5423" s="36">
        <v>2870.87</v>
      </c>
      <c r="E5423" s="43" t="s">
        <v>3596</v>
      </c>
    </row>
    <row r="5424" spans="1:5" x14ac:dyDescent="0.35">
      <c r="A5424" s="40">
        <v>43676</v>
      </c>
      <c r="B5424" s="38">
        <v>-15</v>
      </c>
      <c r="C5424" s="13" t="s">
        <v>901</v>
      </c>
      <c r="D5424" s="36">
        <v>2871.42</v>
      </c>
      <c r="E5424" s="43" t="s">
        <v>3596</v>
      </c>
    </row>
    <row r="5425" spans="1:5" x14ac:dyDescent="0.35">
      <c r="A5425" s="40">
        <v>43676</v>
      </c>
      <c r="B5425" s="38">
        <v>-37.4</v>
      </c>
      <c r="C5425" s="13" t="s">
        <v>903</v>
      </c>
      <c r="D5425" s="36">
        <v>2889.62</v>
      </c>
      <c r="E5425" s="43" t="s">
        <v>3596</v>
      </c>
    </row>
    <row r="5426" spans="1:5" x14ac:dyDescent="0.35">
      <c r="A5426" s="40">
        <v>43676</v>
      </c>
      <c r="B5426" s="38">
        <v>-10.5</v>
      </c>
      <c r="C5426" s="13" t="s">
        <v>904</v>
      </c>
      <c r="D5426" s="36">
        <v>2927.02</v>
      </c>
      <c r="E5426" s="43" t="s">
        <v>3596</v>
      </c>
    </row>
    <row r="5427" spans="1:5" x14ac:dyDescent="0.35">
      <c r="A5427" s="40">
        <v>43676</v>
      </c>
      <c r="B5427" s="38">
        <v>-20</v>
      </c>
      <c r="C5427" s="13" t="s">
        <v>955</v>
      </c>
      <c r="D5427" s="36">
        <v>2850.87</v>
      </c>
      <c r="E5427" s="43" t="s">
        <v>3596</v>
      </c>
    </row>
    <row r="5428" spans="1:5" x14ac:dyDescent="0.35">
      <c r="A5428" s="40">
        <v>43676</v>
      </c>
      <c r="B5428" s="38">
        <v>-3.2</v>
      </c>
      <c r="C5428" s="13" t="s">
        <v>902</v>
      </c>
      <c r="D5428" s="36">
        <v>2886.42</v>
      </c>
      <c r="E5428" s="43" t="s">
        <v>3596</v>
      </c>
    </row>
    <row r="5429" spans="1:5" x14ac:dyDescent="0.35">
      <c r="A5429" s="40">
        <v>43675</v>
      </c>
      <c r="B5429" s="38">
        <v>-26.14</v>
      </c>
      <c r="C5429" s="13" t="s">
        <v>837</v>
      </c>
      <c r="D5429" s="36">
        <v>2943.7</v>
      </c>
      <c r="E5429" s="43" t="s">
        <v>3596</v>
      </c>
    </row>
    <row r="5430" spans="1:5" x14ac:dyDescent="0.35">
      <c r="A5430" s="40">
        <v>43675</v>
      </c>
      <c r="B5430" s="38">
        <v>-6.18</v>
      </c>
      <c r="C5430" s="13" t="s">
        <v>773</v>
      </c>
      <c r="D5430" s="36">
        <v>2937.52</v>
      </c>
      <c r="E5430" s="43" t="s">
        <v>3596</v>
      </c>
    </row>
    <row r="5431" spans="1:5" x14ac:dyDescent="0.35">
      <c r="A5431" s="40">
        <v>43674</v>
      </c>
      <c r="B5431" s="38">
        <v>-76.95</v>
      </c>
      <c r="C5431" s="13" t="s">
        <v>905</v>
      </c>
      <c r="D5431" s="36">
        <v>2969.84</v>
      </c>
      <c r="E5431" s="43" t="s">
        <v>3596</v>
      </c>
    </row>
    <row r="5432" spans="1:5" x14ac:dyDescent="0.35">
      <c r="A5432" s="40">
        <v>43673</v>
      </c>
      <c r="B5432" s="38">
        <v>-8.9</v>
      </c>
      <c r="C5432" s="13" t="s">
        <v>908</v>
      </c>
      <c r="D5432" s="36">
        <v>3144.78</v>
      </c>
      <c r="E5432" s="43" t="s">
        <v>3596</v>
      </c>
    </row>
    <row r="5433" spans="1:5" x14ac:dyDescent="0.35">
      <c r="A5433" s="40">
        <v>43673</v>
      </c>
      <c r="B5433" s="38">
        <v>-20</v>
      </c>
      <c r="C5433" s="13" t="s">
        <v>906</v>
      </c>
      <c r="D5433" s="36">
        <v>3046.79</v>
      </c>
      <c r="E5433" s="43" t="s">
        <v>3596</v>
      </c>
    </row>
    <row r="5434" spans="1:5" x14ac:dyDescent="0.35">
      <c r="A5434" s="40">
        <v>43673</v>
      </c>
      <c r="B5434" s="38">
        <v>-75</v>
      </c>
      <c r="C5434" s="13" t="s">
        <v>947</v>
      </c>
      <c r="D5434" s="36">
        <v>3066.79</v>
      </c>
      <c r="E5434" s="43" t="s">
        <v>3596</v>
      </c>
    </row>
    <row r="5435" spans="1:5" x14ac:dyDescent="0.35">
      <c r="A5435" s="40">
        <v>43673</v>
      </c>
      <c r="B5435" s="38">
        <v>-100</v>
      </c>
      <c r="C5435" s="13" t="s">
        <v>946</v>
      </c>
      <c r="D5435" s="36">
        <v>3153.68</v>
      </c>
      <c r="E5435" s="43" t="s">
        <v>3596</v>
      </c>
    </row>
    <row r="5436" spans="1:5" x14ac:dyDescent="0.35">
      <c r="A5436" s="40">
        <v>43673</v>
      </c>
      <c r="B5436" s="38">
        <v>-2.99</v>
      </c>
      <c r="C5436" s="13" t="s">
        <v>907</v>
      </c>
      <c r="D5436" s="36">
        <v>3141.79</v>
      </c>
      <c r="E5436" s="43" t="s">
        <v>3596</v>
      </c>
    </row>
    <row r="5437" spans="1:5" x14ac:dyDescent="0.35">
      <c r="A5437" s="40">
        <v>43672</v>
      </c>
      <c r="B5437" s="38">
        <v>-1.35</v>
      </c>
      <c r="C5437" s="13" t="s">
        <v>4</v>
      </c>
      <c r="D5437" s="36">
        <v>3325.05</v>
      </c>
      <c r="E5437" s="43" t="s">
        <v>3596</v>
      </c>
    </row>
    <row r="5438" spans="1:5" x14ac:dyDescent="0.35">
      <c r="A5438" s="40">
        <v>43672</v>
      </c>
      <c r="B5438" s="38">
        <v>-40</v>
      </c>
      <c r="C5438" s="13" t="s">
        <v>910</v>
      </c>
      <c r="D5438" s="36">
        <v>3338.9</v>
      </c>
      <c r="E5438" s="43" t="s">
        <v>3596</v>
      </c>
    </row>
    <row r="5439" spans="1:5" x14ac:dyDescent="0.35">
      <c r="A5439" s="40">
        <v>43672</v>
      </c>
      <c r="B5439" s="38">
        <v>-12.5</v>
      </c>
      <c r="C5439" s="13" t="s">
        <v>909</v>
      </c>
      <c r="D5439" s="36">
        <v>3326.4</v>
      </c>
      <c r="E5439" s="43" t="s">
        <v>3596</v>
      </c>
    </row>
    <row r="5440" spans="1:5" x14ac:dyDescent="0.35">
      <c r="A5440" s="40">
        <v>43672</v>
      </c>
      <c r="B5440" s="38">
        <v>-37.07</v>
      </c>
      <c r="C5440" s="13" t="s">
        <v>262</v>
      </c>
      <c r="D5440" s="36">
        <v>3253.68</v>
      </c>
      <c r="E5440" s="43" t="s">
        <v>3596</v>
      </c>
    </row>
    <row r="5441" spans="1:5" x14ac:dyDescent="0.35">
      <c r="A5441" s="40">
        <v>43672</v>
      </c>
      <c r="B5441" s="38">
        <v>-13.8</v>
      </c>
      <c r="C5441" s="13" t="s">
        <v>100</v>
      </c>
      <c r="D5441" s="36">
        <v>3290.75</v>
      </c>
      <c r="E5441" s="43" t="s">
        <v>3596</v>
      </c>
    </row>
    <row r="5442" spans="1:5" x14ac:dyDescent="0.35">
      <c r="A5442" s="40">
        <v>43672</v>
      </c>
      <c r="B5442" s="38">
        <v>-6</v>
      </c>
      <c r="C5442" s="13" t="s">
        <v>100</v>
      </c>
      <c r="D5442" s="36">
        <v>3304.55</v>
      </c>
      <c r="E5442" s="43" t="s">
        <v>3596</v>
      </c>
    </row>
    <row r="5443" spans="1:5" x14ac:dyDescent="0.35">
      <c r="A5443" s="40">
        <v>43672</v>
      </c>
      <c r="B5443" s="38">
        <v>-14.5</v>
      </c>
      <c r="C5443" s="13" t="s">
        <v>11</v>
      </c>
      <c r="D5443" s="36">
        <v>3310.55</v>
      </c>
      <c r="E5443" s="43" t="s">
        <v>3596</v>
      </c>
    </row>
    <row r="5444" spans="1:5" x14ac:dyDescent="0.35">
      <c r="A5444" s="40">
        <v>43671</v>
      </c>
      <c r="B5444" s="38">
        <v>-500</v>
      </c>
      <c r="C5444" s="13" t="s">
        <v>945</v>
      </c>
      <c r="D5444" s="36">
        <v>3400.95</v>
      </c>
      <c r="E5444" s="43" t="s">
        <v>3596</v>
      </c>
    </row>
    <row r="5445" spans="1:5" x14ac:dyDescent="0.35">
      <c r="A5445" s="40">
        <v>43671</v>
      </c>
      <c r="B5445" s="38">
        <v>-22.05</v>
      </c>
      <c r="C5445" s="13" t="s">
        <v>911</v>
      </c>
      <c r="D5445" s="36">
        <v>3378.9</v>
      </c>
      <c r="E5445" s="43" t="s">
        <v>3596</v>
      </c>
    </row>
    <row r="5446" spans="1:5" x14ac:dyDescent="0.35">
      <c r="A5446" s="40">
        <v>43670</v>
      </c>
      <c r="B5446" s="38">
        <v>-23.5</v>
      </c>
      <c r="C5446" s="13" t="s">
        <v>13</v>
      </c>
      <c r="D5446" s="36">
        <v>2718.7</v>
      </c>
      <c r="E5446" s="43" t="s">
        <v>3596</v>
      </c>
    </row>
    <row r="5447" spans="1:5" x14ac:dyDescent="0.35">
      <c r="A5447" s="40">
        <v>43670</v>
      </c>
      <c r="B5447" s="38">
        <v>-1.64</v>
      </c>
      <c r="C5447" s="13" t="s">
        <v>4</v>
      </c>
      <c r="D5447" s="36">
        <v>2757.2</v>
      </c>
      <c r="E5447" s="43" t="s">
        <v>3596</v>
      </c>
    </row>
    <row r="5448" spans="1:5" x14ac:dyDescent="0.35">
      <c r="A5448" s="40">
        <v>43670</v>
      </c>
      <c r="B5448" s="38">
        <v>-16.2</v>
      </c>
      <c r="C5448" s="13" t="s">
        <v>913</v>
      </c>
      <c r="D5448" s="36">
        <v>2774.33</v>
      </c>
      <c r="E5448" s="43" t="s">
        <v>3596</v>
      </c>
    </row>
    <row r="5449" spans="1:5" x14ac:dyDescent="0.35">
      <c r="A5449" s="40">
        <v>43670</v>
      </c>
      <c r="B5449" s="38">
        <v>-3</v>
      </c>
      <c r="C5449" s="13" t="s">
        <v>914</v>
      </c>
      <c r="D5449" s="36">
        <v>2790.53</v>
      </c>
      <c r="E5449" s="43" t="s">
        <v>3596</v>
      </c>
    </row>
    <row r="5450" spans="1:5" x14ac:dyDescent="0.35">
      <c r="A5450" s="40">
        <v>43670</v>
      </c>
      <c r="B5450" s="38">
        <v>-15.49</v>
      </c>
      <c r="C5450" s="13" t="s">
        <v>912</v>
      </c>
      <c r="D5450" s="36">
        <v>2758.84</v>
      </c>
      <c r="E5450" s="43" t="s">
        <v>3596</v>
      </c>
    </row>
    <row r="5451" spans="1:5" x14ac:dyDescent="0.35">
      <c r="A5451" s="40">
        <v>43670</v>
      </c>
      <c r="B5451" s="38">
        <v>1182.25</v>
      </c>
      <c r="C5451" s="13" t="s">
        <v>10</v>
      </c>
      <c r="D5451" s="36">
        <v>3900.95</v>
      </c>
      <c r="E5451" s="43" t="s">
        <v>3596</v>
      </c>
    </row>
    <row r="5452" spans="1:5" x14ac:dyDescent="0.35">
      <c r="A5452" s="40">
        <v>43670</v>
      </c>
      <c r="B5452" s="38">
        <v>-15</v>
      </c>
      <c r="C5452" s="13" t="s">
        <v>11</v>
      </c>
      <c r="D5452" s="36">
        <v>2742.2</v>
      </c>
      <c r="E5452" s="43" t="s">
        <v>3596</v>
      </c>
    </row>
    <row r="5453" spans="1:5" x14ac:dyDescent="0.35">
      <c r="A5453" s="40">
        <v>43669</v>
      </c>
      <c r="B5453" s="38">
        <v>-11.15</v>
      </c>
      <c r="C5453" s="13" t="s">
        <v>13</v>
      </c>
      <c r="D5453" s="36">
        <v>2833.53</v>
      </c>
      <c r="E5453" s="43" t="s">
        <v>3596</v>
      </c>
    </row>
    <row r="5454" spans="1:5" x14ac:dyDescent="0.35">
      <c r="A5454" s="40">
        <v>43669</v>
      </c>
      <c r="B5454" s="38">
        <v>-0.38</v>
      </c>
      <c r="C5454" s="13" t="s">
        <v>4</v>
      </c>
      <c r="D5454" s="36">
        <v>2844.68</v>
      </c>
      <c r="E5454" s="43" t="s">
        <v>3596</v>
      </c>
    </row>
    <row r="5455" spans="1:5" x14ac:dyDescent="0.35">
      <c r="A5455" s="40">
        <v>43669</v>
      </c>
      <c r="B5455" s="38">
        <v>-15.82</v>
      </c>
      <c r="C5455" s="13" t="s">
        <v>915</v>
      </c>
      <c r="D5455" s="36">
        <v>2845.06</v>
      </c>
      <c r="E5455" s="43" t="s">
        <v>3596</v>
      </c>
    </row>
    <row r="5456" spans="1:5" x14ac:dyDescent="0.35">
      <c r="A5456" s="40">
        <v>43669</v>
      </c>
      <c r="B5456" s="38">
        <v>-8.9</v>
      </c>
      <c r="C5456" s="13" t="s">
        <v>916</v>
      </c>
      <c r="D5456" s="36">
        <v>2860.88</v>
      </c>
      <c r="E5456" s="43" t="s">
        <v>3596</v>
      </c>
    </row>
    <row r="5457" spans="1:5" x14ac:dyDescent="0.35">
      <c r="A5457" s="40">
        <v>43669</v>
      </c>
      <c r="B5457" s="38">
        <v>-40</v>
      </c>
      <c r="C5457" s="13" t="s">
        <v>3388</v>
      </c>
      <c r="D5457" s="36">
        <v>2793.53</v>
      </c>
      <c r="E5457" s="43" t="s">
        <v>3596</v>
      </c>
    </row>
    <row r="5458" spans="1:5" x14ac:dyDescent="0.35">
      <c r="A5458" s="40">
        <v>43669</v>
      </c>
      <c r="B5458" s="38">
        <v>-9.14</v>
      </c>
      <c r="C5458" s="13" t="s">
        <v>917</v>
      </c>
      <c r="D5458" s="36">
        <v>2869.78</v>
      </c>
      <c r="E5458" s="43" t="s">
        <v>3596</v>
      </c>
    </row>
    <row r="5459" spans="1:5" x14ac:dyDescent="0.35">
      <c r="A5459" s="40">
        <v>43669</v>
      </c>
      <c r="B5459" s="38">
        <v>-27.43</v>
      </c>
      <c r="C5459" s="13" t="s">
        <v>917</v>
      </c>
      <c r="D5459" s="36">
        <v>2878.92</v>
      </c>
      <c r="E5459" s="43" t="s">
        <v>3596</v>
      </c>
    </row>
    <row r="5460" spans="1:5" x14ac:dyDescent="0.35">
      <c r="A5460" s="40">
        <v>43669</v>
      </c>
      <c r="B5460" s="38">
        <v>-9.14</v>
      </c>
      <c r="C5460" s="13" t="s">
        <v>917</v>
      </c>
      <c r="D5460" s="36">
        <v>2906.35</v>
      </c>
      <c r="E5460" s="43" t="s">
        <v>3596</v>
      </c>
    </row>
    <row r="5461" spans="1:5" x14ac:dyDescent="0.35">
      <c r="A5461" s="40">
        <v>43669</v>
      </c>
      <c r="B5461" s="38">
        <v>-9.14</v>
      </c>
      <c r="C5461" s="13" t="s">
        <v>917</v>
      </c>
      <c r="D5461" s="36">
        <v>2915.49</v>
      </c>
      <c r="E5461" s="43" t="s">
        <v>3596</v>
      </c>
    </row>
    <row r="5462" spans="1:5" x14ac:dyDescent="0.35">
      <c r="A5462" s="40">
        <v>43668</v>
      </c>
      <c r="B5462" s="38">
        <v>-15.8</v>
      </c>
      <c r="C5462" s="13" t="s">
        <v>13</v>
      </c>
      <c r="D5462" s="36">
        <v>2924.63</v>
      </c>
      <c r="E5462" s="43" t="s">
        <v>3596</v>
      </c>
    </row>
    <row r="5463" spans="1:5" x14ac:dyDescent="0.35">
      <c r="A5463" s="40">
        <v>43668</v>
      </c>
      <c r="B5463" s="38">
        <v>-1</v>
      </c>
      <c r="C5463" s="13" t="s">
        <v>4</v>
      </c>
      <c r="D5463" s="36">
        <v>2940.43</v>
      </c>
      <c r="E5463" s="43" t="s">
        <v>3596</v>
      </c>
    </row>
    <row r="5464" spans="1:5" x14ac:dyDescent="0.35">
      <c r="A5464" s="40">
        <v>43667</v>
      </c>
      <c r="B5464" s="38">
        <v>-18.27</v>
      </c>
      <c r="C5464" s="13" t="s">
        <v>477</v>
      </c>
      <c r="D5464" s="36">
        <v>3004.23</v>
      </c>
      <c r="E5464" s="43" t="s">
        <v>3596</v>
      </c>
    </row>
    <row r="5465" spans="1:5" x14ac:dyDescent="0.35">
      <c r="A5465" s="40">
        <v>43667</v>
      </c>
      <c r="B5465" s="38">
        <v>-43</v>
      </c>
      <c r="C5465" s="13" t="s">
        <v>947</v>
      </c>
      <c r="D5465" s="36">
        <v>2961.23</v>
      </c>
      <c r="E5465" s="43" t="s">
        <v>3596</v>
      </c>
    </row>
    <row r="5466" spans="1:5" x14ac:dyDescent="0.35">
      <c r="A5466" s="40">
        <v>43667</v>
      </c>
      <c r="B5466" s="38">
        <v>-19.8</v>
      </c>
      <c r="C5466" s="13" t="s">
        <v>312</v>
      </c>
      <c r="D5466" s="36">
        <v>2941.43</v>
      </c>
      <c r="E5466" s="43" t="s">
        <v>3596</v>
      </c>
    </row>
    <row r="5467" spans="1:5" x14ac:dyDescent="0.35">
      <c r="A5467" s="40">
        <v>43666</v>
      </c>
      <c r="B5467" s="38">
        <v>-100</v>
      </c>
      <c r="C5467" s="13" t="s">
        <v>946</v>
      </c>
      <c r="D5467" s="36">
        <v>3037.7</v>
      </c>
      <c r="E5467" s="43" t="s">
        <v>3596</v>
      </c>
    </row>
    <row r="5468" spans="1:5" x14ac:dyDescent="0.35">
      <c r="A5468" s="40">
        <v>43666</v>
      </c>
      <c r="B5468" s="38">
        <v>-15.2</v>
      </c>
      <c r="C5468" s="13" t="s">
        <v>918</v>
      </c>
      <c r="D5468" s="36">
        <v>3022.5</v>
      </c>
      <c r="E5468" s="43" t="s">
        <v>3596</v>
      </c>
    </row>
    <row r="5469" spans="1:5" x14ac:dyDescent="0.35">
      <c r="A5469" s="40">
        <v>43665</v>
      </c>
      <c r="B5469" s="38">
        <v>-0.88</v>
      </c>
      <c r="C5469" s="13" t="s">
        <v>4</v>
      </c>
      <c r="D5469" s="36">
        <v>2064.4499999999998</v>
      </c>
      <c r="E5469" s="43" t="s">
        <v>3596</v>
      </c>
    </row>
    <row r="5470" spans="1:5" x14ac:dyDescent="0.35">
      <c r="A5470" s="40">
        <v>43665</v>
      </c>
      <c r="B5470" s="38">
        <v>-40</v>
      </c>
      <c r="C5470" s="13" t="s">
        <v>920</v>
      </c>
      <c r="D5470" s="36">
        <v>2093.5500000000002</v>
      </c>
      <c r="E5470" s="43" t="s">
        <v>3596</v>
      </c>
    </row>
    <row r="5471" spans="1:5" x14ac:dyDescent="0.35">
      <c r="A5471" s="40">
        <v>43665</v>
      </c>
      <c r="B5471" s="38">
        <v>1182.25</v>
      </c>
      <c r="C5471" s="13" t="s">
        <v>10</v>
      </c>
      <c r="D5471" s="36">
        <v>3137.7</v>
      </c>
      <c r="E5471" s="43" t="s">
        <v>3596</v>
      </c>
    </row>
    <row r="5472" spans="1:5" x14ac:dyDescent="0.35">
      <c r="A5472" s="40">
        <v>43665</v>
      </c>
      <c r="B5472" s="38">
        <v>-28.22</v>
      </c>
      <c r="C5472" s="13" t="s">
        <v>919</v>
      </c>
      <c r="D5472" s="36">
        <v>2065.33</v>
      </c>
      <c r="E5472" s="43" t="s">
        <v>3596</v>
      </c>
    </row>
    <row r="5473" spans="1:5" x14ac:dyDescent="0.35">
      <c r="A5473" s="40">
        <v>43665</v>
      </c>
      <c r="B5473" s="38">
        <v>-100</v>
      </c>
      <c r="C5473" s="13" t="s">
        <v>947</v>
      </c>
      <c r="D5473" s="36">
        <v>1964.45</v>
      </c>
      <c r="E5473" s="43" t="s">
        <v>3596</v>
      </c>
    </row>
    <row r="5474" spans="1:5" x14ac:dyDescent="0.35">
      <c r="A5474" s="40">
        <v>43665</v>
      </c>
      <c r="B5474" s="38">
        <v>-9</v>
      </c>
      <c r="C5474" s="13" t="s">
        <v>11</v>
      </c>
      <c r="D5474" s="36">
        <v>1955.45</v>
      </c>
      <c r="E5474" s="43" t="s">
        <v>3596</v>
      </c>
    </row>
    <row r="5475" spans="1:5" x14ac:dyDescent="0.35">
      <c r="A5475" s="40">
        <v>43664</v>
      </c>
      <c r="B5475" s="38">
        <v>-22.5</v>
      </c>
      <c r="C5475" s="13" t="s">
        <v>312</v>
      </c>
      <c r="D5475" s="36">
        <v>2178.9499999999998</v>
      </c>
      <c r="E5475" s="43" t="s">
        <v>3596</v>
      </c>
    </row>
    <row r="5476" spans="1:5" x14ac:dyDescent="0.35">
      <c r="A5476" s="40">
        <v>43664</v>
      </c>
      <c r="B5476" s="38">
        <v>-45.4</v>
      </c>
      <c r="C5476" s="13" t="s">
        <v>921</v>
      </c>
      <c r="D5476" s="36">
        <v>2133.5500000000002</v>
      </c>
      <c r="E5476" s="43" t="s">
        <v>3596</v>
      </c>
    </row>
    <row r="5477" spans="1:5" x14ac:dyDescent="0.35">
      <c r="A5477" s="40">
        <v>43663</v>
      </c>
      <c r="B5477" s="38">
        <v>-1.43</v>
      </c>
      <c r="C5477" s="13" t="s">
        <v>4</v>
      </c>
      <c r="D5477" s="36">
        <v>2201.4499999999998</v>
      </c>
      <c r="E5477" s="43" t="s">
        <v>3596</v>
      </c>
    </row>
    <row r="5478" spans="1:5" x14ac:dyDescent="0.35">
      <c r="A5478" s="40">
        <v>43663</v>
      </c>
      <c r="B5478" s="38">
        <v>-69</v>
      </c>
      <c r="C5478" s="13" t="s">
        <v>926</v>
      </c>
      <c r="D5478" s="36">
        <v>2306.38</v>
      </c>
      <c r="E5478" s="43" t="s">
        <v>3596</v>
      </c>
    </row>
    <row r="5479" spans="1:5" x14ac:dyDescent="0.35">
      <c r="A5479" s="40">
        <v>43663</v>
      </c>
      <c r="B5479" s="38">
        <v>-65</v>
      </c>
      <c r="C5479" s="13" t="s">
        <v>924</v>
      </c>
      <c r="D5479" s="36">
        <v>2235.38</v>
      </c>
      <c r="E5479" s="43" t="s">
        <v>3596</v>
      </c>
    </row>
    <row r="5480" spans="1:5" x14ac:dyDescent="0.35">
      <c r="A5480" s="40">
        <v>43663</v>
      </c>
      <c r="B5480" s="38">
        <v>-6</v>
      </c>
      <c r="C5480" s="13" t="s">
        <v>925</v>
      </c>
      <c r="D5480" s="36">
        <v>2300.38</v>
      </c>
      <c r="E5480" s="43" t="s">
        <v>3596</v>
      </c>
    </row>
    <row r="5481" spans="1:5" x14ac:dyDescent="0.35">
      <c r="A5481" s="40">
        <v>43663</v>
      </c>
      <c r="B5481" s="38">
        <v>-23</v>
      </c>
      <c r="C5481" s="13" t="s">
        <v>923</v>
      </c>
      <c r="D5481" s="36">
        <v>2212.38</v>
      </c>
      <c r="E5481" s="43" t="s">
        <v>3596</v>
      </c>
    </row>
    <row r="5482" spans="1:5" x14ac:dyDescent="0.35">
      <c r="A5482" s="40">
        <v>43663</v>
      </c>
      <c r="B5482" s="38">
        <v>-9.5</v>
      </c>
      <c r="C5482" s="13" t="s">
        <v>922</v>
      </c>
      <c r="D5482" s="36">
        <v>2202.88</v>
      </c>
      <c r="E5482" s="43" t="s">
        <v>3596</v>
      </c>
    </row>
    <row r="5483" spans="1:5" x14ac:dyDescent="0.35">
      <c r="A5483" s="40">
        <v>43662</v>
      </c>
      <c r="B5483" s="38">
        <v>-6.51</v>
      </c>
      <c r="C5483" s="13" t="s">
        <v>4</v>
      </c>
      <c r="D5483" s="36">
        <v>2384.2800000000002</v>
      </c>
      <c r="E5483" s="43" t="s">
        <v>3596</v>
      </c>
    </row>
    <row r="5484" spans="1:5" x14ac:dyDescent="0.35">
      <c r="A5484" s="40">
        <v>43662</v>
      </c>
      <c r="B5484" s="38">
        <v>-3.5</v>
      </c>
      <c r="C5484" s="13" t="s">
        <v>927</v>
      </c>
      <c r="D5484" s="36">
        <v>2390.79</v>
      </c>
      <c r="E5484" s="43" t="s">
        <v>3596</v>
      </c>
    </row>
    <row r="5485" spans="1:5" x14ac:dyDescent="0.35">
      <c r="A5485" s="40">
        <v>43662</v>
      </c>
      <c r="B5485" s="38">
        <v>-8.9</v>
      </c>
      <c r="C5485" s="13" t="s">
        <v>11</v>
      </c>
      <c r="D5485" s="36">
        <v>2375.38</v>
      </c>
      <c r="E5485" s="43" t="s">
        <v>3596</v>
      </c>
    </row>
    <row r="5486" spans="1:5" x14ac:dyDescent="0.35">
      <c r="A5486" s="40">
        <v>43661</v>
      </c>
      <c r="B5486" s="38">
        <v>-1.21</v>
      </c>
      <c r="C5486" s="13" t="s">
        <v>4</v>
      </c>
      <c r="D5486" s="36">
        <v>2403.19</v>
      </c>
      <c r="E5486" s="43" t="s">
        <v>3596</v>
      </c>
    </row>
    <row r="5487" spans="1:5" x14ac:dyDescent="0.35">
      <c r="A5487" s="40">
        <v>43661</v>
      </c>
      <c r="B5487" s="38">
        <v>-8.9</v>
      </c>
      <c r="C5487" s="13" t="s">
        <v>11</v>
      </c>
      <c r="D5487" s="36">
        <v>2394.29</v>
      </c>
      <c r="E5487" s="43" t="s">
        <v>3596</v>
      </c>
    </row>
    <row r="5488" spans="1:5" x14ac:dyDescent="0.35">
      <c r="A5488" s="40">
        <v>43660</v>
      </c>
      <c r="B5488" s="38">
        <v>20</v>
      </c>
      <c r="C5488" s="13" t="s">
        <v>1246</v>
      </c>
      <c r="D5488" s="36">
        <v>2378.4</v>
      </c>
      <c r="E5488" s="43" t="s">
        <v>3596</v>
      </c>
    </row>
    <row r="5489" spans="1:5" x14ac:dyDescent="0.35">
      <c r="A5489" s="40">
        <v>43660</v>
      </c>
      <c r="B5489" s="38">
        <v>26</v>
      </c>
      <c r="C5489" s="13" t="s">
        <v>1243</v>
      </c>
      <c r="D5489" s="36">
        <v>2404.4</v>
      </c>
      <c r="E5489" s="43" t="s">
        <v>3596</v>
      </c>
    </row>
    <row r="5490" spans="1:5" x14ac:dyDescent="0.35">
      <c r="A5490" s="40">
        <v>43660</v>
      </c>
      <c r="B5490" s="38">
        <v>-17.8</v>
      </c>
      <c r="C5490" s="13" t="s">
        <v>312</v>
      </c>
      <c r="D5490" s="36">
        <v>2358.4</v>
      </c>
      <c r="E5490" s="43" t="s">
        <v>3596</v>
      </c>
    </row>
    <row r="5491" spans="1:5" x14ac:dyDescent="0.35">
      <c r="A5491" s="40">
        <v>43659</v>
      </c>
      <c r="B5491" s="38">
        <v>-50</v>
      </c>
      <c r="C5491" s="13" t="s">
        <v>1710</v>
      </c>
      <c r="D5491" s="36">
        <v>2378.6999999999998</v>
      </c>
      <c r="E5491" s="43" t="s">
        <v>3596</v>
      </c>
    </row>
    <row r="5492" spans="1:5" x14ac:dyDescent="0.35">
      <c r="A5492" s="40">
        <v>43659</v>
      </c>
      <c r="B5492" s="38">
        <v>-40</v>
      </c>
      <c r="C5492" s="13" t="s">
        <v>930</v>
      </c>
      <c r="D5492" s="36">
        <v>2477.71</v>
      </c>
      <c r="E5492" s="43" t="s">
        <v>3596</v>
      </c>
    </row>
    <row r="5493" spans="1:5" x14ac:dyDescent="0.35">
      <c r="A5493" s="40">
        <v>43659</v>
      </c>
      <c r="B5493" s="38">
        <v>-3.5</v>
      </c>
      <c r="C5493" s="13" t="s">
        <v>928</v>
      </c>
      <c r="D5493" s="36">
        <v>2466.21</v>
      </c>
      <c r="E5493" s="43" t="s">
        <v>3596</v>
      </c>
    </row>
    <row r="5494" spans="1:5" x14ac:dyDescent="0.35">
      <c r="A5494" s="40">
        <v>43659</v>
      </c>
      <c r="B5494" s="38">
        <v>-2.5</v>
      </c>
      <c r="C5494" s="13" t="s">
        <v>24</v>
      </c>
      <c r="D5494" s="36">
        <v>2376.1999999999998</v>
      </c>
      <c r="E5494" s="43" t="s">
        <v>3596</v>
      </c>
    </row>
    <row r="5495" spans="1:5" x14ac:dyDescent="0.35">
      <c r="A5495" s="40">
        <v>43659</v>
      </c>
      <c r="B5495" s="38">
        <v>-15.52</v>
      </c>
      <c r="C5495" s="13" t="s">
        <v>1</v>
      </c>
      <c r="D5495" s="36">
        <v>2428.6999999999998</v>
      </c>
      <c r="E5495" s="43" t="s">
        <v>3596</v>
      </c>
    </row>
    <row r="5496" spans="1:5" x14ac:dyDescent="0.35">
      <c r="A5496" s="40">
        <v>43659</v>
      </c>
      <c r="B5496" s="38">
        <v>-10</v>
      </c>
      <c r="C5496" s="13" t="s">
        <v>837</v>
      </c>
      <c r="D5496" s="36">
        <v>2456.21</v>
      </c>
      <c r="E5496" s="43" t="s">
        <v>3596</v>
      </c>
    </row>
    <row r="5497" spans="1:5" x14ac:dyDescent="0.35">
      <c r="A5497" s="40">
        <v>43659</v>
      </c>
      <c r="B5497" s="38">
        <v>-100</v>
      </c>
      <c r="C5497" s="13" t="s">
        <v>946</v>
      </c>
      <c r="D5497" s="36">
        <v>2517.71</v>
      </c>
      <c r="E5497" s="43" t="s">
        <v>3596</v>
      </c>
    </row>
    <row r="5498" spans="1:5" x14ac:dyDescent="0.35">
      <c r="A5498" s="40">
        <v>43659</v>
      </c>
      <c r="B5498" s="38">
        <v>-11.99</v>
      </c>
      <c r="C5498" s="13" t="s">
        <v>773</v>
      </c>
      <c r="D5498" s="36">
        <v>2444.2199999999998</v>
      </c>
      <c r="E5498" s="43" t="s">
        <v>3596</v>
      </c>
    </row>
    <row r="5499" spans="1:5" x14ac:dyDescent="0.35">
      <c r="A5499" s="40">
        <v>43659</v>
      </c>
      <c r="B5499" s="38">
        <v>-8</v>
      </c>
      <c r="C5499" s="13" t="s">
        <v>929</v>
      </c>
      <c r="D5499" s="36">
        <v>2469.71</v>
      </c>
      <c r="E5499" s="43" t="s">
        <v>3596</v>
      </c>
    </row>
    <row r="5500" spans="1:5" x14ac:dyDescent="0.35">
      <c r="A5500" s="40">
        <v>43658</v>
      </c>
      <c r="B5500" s="38">
        <v>-1.48</v>
      </c>
      <c r="C5500" s="13" t="s">
        <v>4</v>
      </c>
      <c r="D5500" s="36">
        <v>2606.61</v>
      </c>
      <c r="E5500" s="43" t="s">
        <v>3596</v>
      </c>
    </row>
    <row r="5501" spans="1:5" x14ac:dyDescent="0.35">
      <c r="A5501" s="40">
        <v>43658</v>
      </c>
      <c r="B5501" s="38">
        <v>20</v>
      </c>
      <c r="C5501" s="13" t="s">
        <v>1239</v>
      </c>
      <c r="D5501" s="36">
        <v>2617.71</v>
      </c>
      <c r="E5501" s="43" t="s">
        <v>3596</v>
      </c>
    </row>
    <row r="5502" spans="1:5" x14ac:dyDescent="0.35">
      <c r="A5502" s="40">
        <v>43658</v>
      </c>
      <c r="B5502" s="38">
        <v>-8.9</v>
      </c>
      <c r="C5502" s="13" t="s">
        <v>11</v>
      </c>
      <c r="D5502" s="36">
        <v>2597.71</v>
      </c>
      <c r="E5502" s="43" t="s">
        <v>3596</v>
      </c>
    </row>
    <row r="5503" spans="1:5" x14ac:dyDescent="0.35">
      <c r="A5503" s="40">
        <v>43657</v>
      </c>
      <c r="B5503" s="38">
        <v>-1.59</v>
      </c>
      <c r="C5503" s="13" t="s">
        <v>4</v>
      </c>
      <c r="D5503" s="36">
        <v>5200.09</v>
      </c>
      <c r="E5503" s="43" t="s">
        <v>3596</v>
      </c>
    </row>
    <row r="5504" spans="1:5" x14ac:dyDescent="0.35">
      <c r="A5504" s="40">
        <v>43657</v>
      </c>
      <c r="B5504" s="38">
        <v>-20</v>
      </c>
      <c r="C5504" s="13" t="s">
        <v>1712</v>
      </c>
      <c r="D5504" s="36">
        <v>5135.59</v>
      </c>
      <c r="E5504" s="43" t="s">
        <v>3596</v>
      </c>
    </row>
    <row r="5505" spans="1:5" x14ac:dyDescent="0.35">
      <c r="A5505" s="40">
        <v>43657</v>
      </c>
      <c r="B5505" s="38">
        <v>-500</v>
      </c>
      <c r="C5505" s="13" t="s">
        <v>945</v>
      </c>
      <c r="D5505" s="36">
        <v>5201.68</v>
      </c>
      <c r="E5505" s="43" t="s">
        <v>3596</v>
      </c>
    </row>
    <row r="5506" spans="1:5" x14ac:dyDescent="0.35">
      <c r="A5506" s="40">
        <v>43657</v>
      </c>
      <c r="B5506" s="38">
        <v>-2.5</v>
      </c>
      <c r="C5506" s="13" t="s">
        <v>24</v>
      </c>
      <c r="D5506" s="36">
        <v>5133.09</v>
      </c>
      <c r="E5506" s="43" t="s">
        <v>3596</v>
      </c>
    </row>
    <row r="5507" spans="1:5" x14ac:dyDescent="0.35">
      <c r="A5507" s="40">
        <v>43657</v>
      </c>
      <c r="B5507" s="38">
        <v>-5</v>
      </c>
      <c r="C5507" s="13" t="s">
        <v>887</v>
      </c>
      <c r="D5507" s="36">
        <v>5108.09</v>
      </c>
      <c r="E5507" s="43" t="s">
        <v>3596</v>
      </c>
    </row>
    <row r="5508" spans="1:5" x14ac:dyDescent="0.35">
      <c r="A5508" s="40">
        <v>43657</v>
      </c>
      <c r="B5508" s="38">
        <v>1500</v>
      </c>
      <c r="C5508" s="13" t="s">
        <v>946</v>
      </c>
      <c r="D5508" s="36">
        <v>2608.09</v>
      </c>
      <c r="E5508" s="43" t="s">
        <v>3596</v>
      </c>
    </row>
    <row r="5509" spans="1:5" x14ac:dyDescent="0.35">
      <c r="A5509" s="40">
        <v>43657</v>
      </c>
      <c r="B5509" s="38">
        <v>-20</v>
      </c>
      <c r="C5509" s="13" t="s">
        <v>802</v>
      </c>
      <c r="D5509" s="36">
        <v>5113.09</v>
      </c>
      <c r="E5509" s="43" t="s">
        <v>3596</v>
      </c>
    </row>
    <row r="5510" spans="1:5" x14ac:dyDescent="0.35">
      <c r="A5510" s="40">
        <v>43657</v>
      </c>
      <c r="B5510" s="38">
        <v>-20</v>
      </c>
      <c r="C5510" s="13" t="s">
        <v>802</v>
      </c>
      <c r="D5510" s="36">
        <v>5155.59</v>
      </c>
      <c r="E5510" s="43" t="s">
        <v>3596</v>
      </c>
    </row>
    <row r="5511" spans="1:5" x14ac:dyDescent="0.35">
      <c r="A5511" s="40">
        <v>43657</v>
      </c>
      <c r="B5511" s="38">
        <v>-4.5</v>
      </c>
      <c r="C5511" s="13" t="s">
        <v>802</v>
      </c>
      <c r="D5511" s="36">
        <v>5175.59</v>
      </c>
      <c r="E5511" s="43" t="s">
        <v>3596</v>
      </c>
    </row>
    <row r="5512" spans="1:5" x14ac:dyDescent="0.35">
      <c r="A5512" s="40">
        <v>43657</v>
      </c>
      <c r="B5512" s="38">
        <v>-20</v>
      </c>
      <c r="C5512" s="13" t="s">
        <v>802</v>
      </c>
      <c r="D5512" s="36">
        <v>5180.09</v>
      </c>
      <c r="E5512" s="43" t="s">
        <v>3596</v>
      </c>
    </row>
    <row r="5513" spans="1:5" x14ac:dyDescent="0.35">
      <c r="A5513" s="40">
        <v>43657</v>
      </c>
      <c r="B5513" s="38">
        <v>-4000</v>
      </c>
      <c r="C5513" s="13" t="s">
        <v>1222</v>
      </c>
      <c r="D5513" s="36">
        <v>1108.0899999999999</v>
      </c>
      <c r="E5513" s="43" t="s">
        <v>3596</v>
      </c>
    </row>
    <row r="5514" spans="1:5" x14ac:dyDescent="0.35">
      <c r="A5514" s="40">
        <v>43656</v>
      </c>
      <c r="B5514" s="38">
        <v>-1.49</v>
      </c>
      <c r="C5514" s="13" t="s">
        <v>4</v>
      </c>
      <c r="D5514" s="36">
        <v>4591.7299999999996</v>
      </c>
      <c r="E5514" s="43" t="s">
        <v>3596</v>
      </c>
    </row>
    <row r="5515" spans="1:5" x14ac:dyDescent="0.35">
      <c r="A5515" s="40">
        <v>43656</v>
      </c>
      <c r="B5515" s="38">
        <v>-68.5</v>
      </c>
      <c r="C5515" s="13" t="s">
        <v>931</v>
      </c>
      <c r="D5515" s="36">
        <v>4593.22</v>
      </c>
      <c r="E5515" s="43" t="s">
        <v>3596</v>
      </c>
    </row>
    <row r="5516" spans="1:5" x14ac:dyDescent="0.35">
      <c r="A5516" s="40">
        <v>43656</v>
      </c>
      <c r="B5516" s="38">
        <v>1219.07</v>
      </c>
      <c r="C5516" s="13" t="s">
        <v>10</v>
      </c>
      <c r="D5516" s="36">
        <v>5701.68</v>
      </c>
      <c r="E5516" s="43" t="s">
        <v>3596</v>
      </c>
    </row>
    <row r="5517" spans="1:5" x14ac:dyDescent="0.35">
      <c r="A5517" s="40">
        <v>43656</v>
      </c>
      <c r="B5517" s="38">
        <v>-25.72</v>
      </c>
      <c r="C5517" s="13" t="s">
        <v>773</v>
      </c>
      <c r="D5517" s="36">
        <v>4557.1099999999997</v>
      </c>
      <c r="E5517" s="43" t="s">
        <v>3596</v>
      </c>
    </row>
    <row r="5518" spans="1:5" x14ac:dyDescent="0.35">
      <c r="A5518" s="40">
        <v>43656</v>
      </c>
      <c r="B5518" s="38">
        <v>-74.5</v>
      </c>
      <c r="C5518" s="13" t="s">
        <v>37</v>
      </c>
      <c r="D5518" s="36">
        <v>4482.6099999999997</v>
      </c>
      <c r="E5518" s="43" t="s">
        <v>3596</v>
      </c>
    </row>
    <row r="5519" spans="1:5" x14ac:dyDescent="0.35">
      <c r="A5519" s="40">
        <v>43656</v>
      </c>
      <c r="B5519" s="38">
        <v>-8.9</v>
      </c>
      <c r="C5519" s="13" t="s">
        <v>11</v>
      </c>
      <c r="D5519" s="36">
        <v>4582.83</v>
      </c>
      <c r="E5519" s="43" t="s">
        <v>3596</v>
      </c>
    </row>
    <row r="5520" spans="1:5" x14ac:dyDescent="0.35">
      <c r="A5520" s="40">
        <v>43655</v>
      </c>
      <c r="B5520" s="38">
        <v>-40</v>
      </c>
      <c r="C5520" s="13" t="s">
        <v>934</v>
      </c>
      <c r="D5520" s="36">
        <v>4691.3100000000004</v>
      </c>
      <c r="E5520" s="43" t="s">
        <v>3596</v>
      </c>
    </row>
    <row r="5521" spans="1:5" x14ac:dyDescent="0.35">
      <c r="A5521" s="40">
        <v>43655</v>
      </c>
      <c r="B5521" s="38">
        <v>-12.5</v>
      </c>
      <c r="C5521" s="13" t="s">
        <v>933</v>
      </c>
      <c r="D5521" s="36">
        <v>4678.8100000000004</v>
      </c>
      <c r="E5521" s="43" t="s">
        <v>3596</v>
      </c>
    </row>
    <row r="5522" spans="1:5" x14ac:dyDescent="0.35">
      <c r="A5522" s="40">
        <v>43655</v>
      </c>
      <c r="B5522" s="38">
        <v>-9.5</v>
      </c>
      <c r="C5522" s="13" t="s">
        <v>932</v>
      </c>
      <c r="D5522" s="36">
        <v>4669.3100000000004</v>
      </c>
      <c r="E5522" s="43" t="s">
        <v>3596</v>
      </c>
    </row>
    <row r="5523" spans="1:5" x14ac:dyDescent="0.35">
      <c r="A5523" s="40">
        <v>43655</v>
      </c>
      <c r="B5523" s="38">
        <v>-7.59</v>
      </c>
      <c r="C5523" s="13" t="s">
        <v>1</v>
      </c>
      <c r="D5523" s="36">
        <v>4661.72</v>
      </c>
      <c r="E5523" s="43" t="s">
        <v>3596</v>
      </c>
    </row>
    <row r="5524" spans="1:5" x14ac:dyDescent="0.35">
      <c r="A5524" s="40">
        <v>43654</v>
      </c>
      <c r="B5524" s="38">
        <v>-8.5</v>
      </c>
      <c r="C5524" s="13" t="s">
        <v>13</v>
      </c>
      <c r="D5524" s="36">
        <v>4731.3100000000004</v>
      </c>
      <c r="E5524" s="43" t="s">
        <v>3596</v>
      </c>
    </row>
    <row r="5525" spans="1:5" x14ac:dyDescent="0.35">
      <c r="A5525" s="40">
        <v>43654</v>
      </c>
      <c r="B5525" s="38">
        <v>-0.75</v>
      </c>
      <c r="C5525" s="13" t="s">
        <v>4</v>
      </c>
      <c r="D5525" s="36">
        <v>4748.71</v>
      </c>
      <c r="E5525" s="43" t="s">
        <v>3596</v>
      </c>
    </row>
    <row r="5526" spans="1:5" x14ac:dyDescent="0.35">
      <c r="A5526" s="40">
        <v>43654</v>
      </c>
      <c r="B5526" s="38">
        <v>-8.9</v>
      </c>
      <c r="C5526" s="13" t="s">
        <v>11</v>
      </c>
      <c r="D5526" s="36">
        <v>4739.8100000000004</v>
      </c>
      <c r="E5526" s="43" t="s">
        <v>3596</v>
      </c>
    </row>
    <row r="5527" spans="1:5" x14ac:dyDescent="0.35">
      <c r="A5527" s="40">
        <v>43653</v>
      </c>
      <c r="B5527" s="38">
        <v>16</v>
      </c>
      <c r="C5527" s="13" t="s">
        <v>1239</v>
      </c>
      <c r="D5527" s="36">
        <v>4749.46</v>
      </c>
      <c r="E5527" s="43" t="s">
        <v>3596</v>
      </c>
    </row>
    <row r="5528" spans="1:5" x14ac:dyDescent="0.35">
      <c r="A5528" s="40">
        <v>43652</v>
      </c>
      <c r="B5528" s="38">
        <v>-28.3</v>
      </c>
      <c r="C5528" s="13" t="s">
        <v>935</v>
      </c>
      <c r="D5528" s="36">
        <v>4733.46</v>
      </c>
      <c r="E5528" s="43" t="s">
        <v>3596</v>
      </c>
    </row>
    <row r="5529" spans="1:5" x14ac:dyDescent="0.35">
      <c r="A5529" s="40">
        <v>43652</v>
      </c>
      <c r="B5529" s="38">
        <v>-100</v>
      </c>
      <c r="C5529" s="13" t="s">
        <v>946</v>
      </c>
      <c r="D5529" s="36">
        <v>4761.76</v>
      </c>
      <c r="E5529" s="43" t="s">
        <v>3596</v>
      </c>
    </row>
    <row r="5530" spans="1:5" x14ac:dyDescent="0.35">
      <c r="A5530" s="40">
        <v>43651</v>
      </c>
      <c r="B5530" s="38">
        <v>-33.590000000000003</v>
      </c>
      <c r="C5530" s="13" t="s">
        <v>13</v>
      </c>
      <c r="D5530" s="36">
        <v>4929.6099999999997</v>
      </c>
      <c r="E5530" s="43" t="s">
        <v>3596</v>
      </c>
    </row>
    <row r="5531" spans="1:5" x14ac:dyDescent="0.35">
      <c r="A5531" s="40">
        <v>43651</v>
      </c>
      <c r="B5531" s="38">
        <v>-1</v>
      </c>
      <c r="C5531" s="13" t="s">
        <v>4</v>
      </c>
      <c r="D5531" s="36">
        <v>4963.2</v>
      </c>
      <c r="E5531" s="43" t="s">
        <v>3596</v>
      </c>
    </row>
    <row r="5532" spans="1:5" x14ac:dyDescent="0.35">
      <c r="A5532" s="40">
        <v>43651</v>
      </c>
      <c r="B5532" s="38">
        <v>-17.850000000000001</v>
      </c>
      <c r="C5532" s="13" t="s">
        <v>960</v>
      </c>
      <c r="D5532" s="36">
        <v>4861.76</v>
      </c>
      <c r="E5532" s="43" t="s">
        <v>3596</v>
      </c>
    </row>
    <row r="5533" spans="1:5" x14ac:dyDescent="0.35">
      <c r="A5533" s="40">
        <v>43651</v>
      </c>
      <c r="B5533" s="38">
        <v>-25</v>
      </c>
      <c r="C5533" s="13" t="s">
        <v>947</v>
      </c>
      <c r="D5533" s="36">
        <v>4879.6099999999997</v>
      </c>
      <c r="E5533" s="43" t="s">
        <v>3596</v>
      </c>
    </row>
    <row r="5534" spans="1:5" x14ac:dyDescent="0.35">
      <c r="A5534" s="40">
        <v>43651</v>
      </c>
      <c r="B5534" s="38">
        <v>-25</v>
      </c>
      <c r="C5534" s="13" t="s">
        <v>947</v>
      </c>
      <c r="D5534" s="36">
        <v>4904.6099999999997</v>
      </c>
      <c r="E5534" s="43" t="s">
        <v>3596</v>
      </c>
    </row>
    <row r="5535" spans="1:5" x14ac:dyDescent="0.35">
      <c r="A5535" s="40">
        <v>43650</v>
      </c>
      <c r="B5535" s="38">
        <v>-6</v>
      </c>
      <c r="C5535" s="13" t="s">
        <v>4</v>
      </c>
      <c r="D5535" s="36">
        <v>5022.6000000000004</v>
      </c>
      <c r="E5535" s="43" t="s">
        <v>3596</v>
      </c>
    </row>
    <row r="5536" spans="1:5" x14ac:dyDescent="0.35">
      <c r="A5536" s="40">
        <v>43650</v>
      </c>
      <c r="B5536" s="38">
        <v>-13</v>
      </c>
      <c r="C5536" s="13" t="s">
        <v>947</v>
      </c>
      <c r="D5536" s="36">
        <v>5009.6000000000004</v>
      </c>
      <c r="E5536" s="43" t="s">
        <v>3596</v>
      </c>
    </row>
    <row r="5537" spans="1:5" x14ac:dyDescent="0.35">
      <c r="A5537" s="40">
        <v>43650</v>
      </c>
      <c r="B5537" s="38">
        <v>-33.18</v>
      </c>
      <c r="C5537" s="13" t="s">
        <v>937</v>
      </c>
      <c r="D5537" s="36">
        <v>5028.6000000000004</v>
      </c>
      <c r="E5537" s="43" t="s">
        <v>3596</v>
      </c>
    </row>
    <row r="5538" spans="1:5" x14ac:dyDescent="0.35">
      <c r="A5538" s="40">
        <v>43650</v>
      </c>
      <c r="B5538" s="38">
        <v>-45.4</v>
      </c>
      <c r="C5538" s="13" t="s">
        <v>936</v>
      </c>
      <c r="D5538" s="36">
        <v>4964.2</v>
      </c>
      <c r="E5538" s="43" t="s">
        <v>3596</v>
      </c>
    </row>
    <row r="5539" spans="1:5" x14ac:dyDescent="0.35">
      <c r="A5539" s="40">
        <v>43649</v>
      </c>
      <c r="B5539" s="38">
        <v>-0.87</v>
      </c>
      <c r="C5539" s="13" t="s">
        <v>4</v>
      </c>
      <c r="D5539" s="36">
        <v>3805.1</v>
      </c>
      <c r="E5539" s="43" t="s">
        <v>3596</v>
      </c>
    </row>
    <row r="5540" spans="1:5" x14ac:dyDescent="0.35">
      <c r="A5540" s="40">
        <v>43649</v>
      </c>
      <c r="B5540" s="38">
        <v>-9</v>
      </c>
      <c r="C5540" s="13" t="s">
        <v>938</v>
      </c>
      <c r="D5540" s="36">
        <v>3805.97</v>
      </c>
      <c r="E5540" s="43" t="s">
        <v>3596</v>
      </c>
    </row>
    <row r="5541" spans="1:5" x14ac:dyDescent="0.35">
      <c r="A5541" s="40">
        <v>43649</v>
      </c>
      <c r="B5541" s="38">
        <v>-9</v>
      </c>
      <c r="C5541" s="13" t="s">
        <v>938</v>
      </c>
      <c r="D5541" s="36">
        <v>3814.97</v>
      </c>
      <c r="E5541" s="43" t="s">
        <v>3596</v>
      </c>
    </row>
    <row r="5542" spans="1:5" x14ac:dyDescent="0.35">
      <c r="A5542" s="40">
        <v>43649</v>
      </c>
      <c r="B5542" s="38">
        <v>1265.58</v>
      </c>
      <c r="C5542" s="13" t="s">
        <v>10</v>
      </c>
      <c r="D5542" s="36">
        <v>5061.78</v>
      </c>
      <c r="E5542" s="43" t="s">
        <v>3596</v>
      </c>
    </row>
    <row r="5543" spans="1:5" x14ac:dyDescent="0.35">
      <c r="A5543" s="40">
        <v>43649</v>
      </c>
      <c r="B5543" s="38">
        <v>-8.9</v>
      </c>
      <c r="C5543" s="13" t="s">
        <v>11</v>
      </c>
      <c r="D5543" s="36">
        <v>3796.2</v>
      </c>
      <c r="E5543" s="43" t="s">
        <v>3596</v>
      </c>
    </row>
    <row r="5544" spans="1:5" x14ac:dyDescent="0.35">
      <c r="A5544" s="40">
        <v>43648</v>
      </c>
      <c r="B5544" s="38">
        <v>-0.57999999999999996</v>
      </c>
      <c r="C5544" s="13" t="s">
        <v>4</v>
      </c>
      <c r="D5544" s="36">
        <v>3832.87</v>
      </c>
      <c r="E5544" s="43" t="s">
        <v>3596</v>
      </c>
    </row>
    <row r="5545" spans="1:5" x14ac:dyDescent="0.35">
      <c r="A5545" s="40">
        <v>43648</v>
      </c>
      <c r="B5545" s="38">
        <v>-10.33</v>
      </c>
      <c r="C5545" s="13" t="s">
        <v>942</v>
      </c>
      <c r="D5545" s="36">
        <v>4061.14</v>
      </c>
      <c r="E5545" s="43" t="s">
        <v>3596</v>
      </c>
    </row>
    <row r="5546" spans="1:5" x14ac:dyDescent="0.35">
      <c r="A5546" s="40">
        <v>43648</v>
      </c>
      <c r="B5546" s="38">
        <v>-40</v>
      </c>
      <c r="C5546" s="13" t="s">
        <v>943</v>
      </c>
      <c r="D5546" s="36">
        <v>4071.47</v>
      </c>
      <c r="E5546" s="43" t="s">
        <v>3596</v>
      </c>
    </row>
    <row r="5547" spans="1:5" x14ac:dyDescent="0.35">
      <c r="A5547" s="40">
        <v>43648</v>
      </c>
      <c r="B5547" s="38">
        <v>-12.5</v>
      </c>
      <c r="C5547" s="13" t="s">
        <v>939</v>
      </c>
      <c r="D5547" s="36">
        <v>3833.45</v>
      </c>
      <c r="E5547" s="43" t="s">
        <v>3596</v>
      </c>
    </row>
    <row r="5548" spans="1:5" x14ac:dyDescent="0.35">
      <c r="A5548" s="40">
        <v>43648</v>
      </c>
      <c r="B5548" s="38">
        <v>-203.23</v>
      </c>
      <c r="C5548" s="13" t="s">
        <v>940</v>
      </c>
      <c r="D5548" s="36">
        <v>3845.95</v>
      </c>
      <c r="E5548" s="43" t="s">
        <v>3596</v>
      </c>
    </row>
    <row r="5549" spans="1:5" x14ac:dyDescent="0.35">
      <c r="A5549" s="40">
        <v>43648</v>
      </c>
      <c r="B5549" s="38">
        <v>-8.9</v>
      </c>
      <c r="C5549" s="13" t="s">
        <v>11</v>
      </c>
      <c r="D5549" s="36">
        <v>3823.97</v>
      </c>
      <c r="E5549" s="43" t="s">
        <v>3596</v>
      </c>
    </row>
    <row r="5550" spans="1:5" x14ac:dyDescent="0.35">
      <c r="A5550" s="40">
        <v>43648</v>
      </c>
      <c r="B5550" s="38">
        <v>-11.96</v>
      </c>
      <c r="C5550" s="13" t="s">
        <v>941</v>
      </c>
      <c r="D5550" s="36">
        <v>4049.18</v>
      </c>
      <c r="E5550" s="43" t="s">
        <v>3596</v>
      </c>
    </row>
    <row r="5551" spans="1:5" x14ac:dyDescent="0.35">
      <c r="A5551" s="40">
        <v>43647</v>
      </c>
      <c r="B5551" s="38">
        <v>-0.99</v>
      </c>
      <c r="C5551" s="13" t="s">
        <v>4</v>
      </c>
      <c r="D5551" s="36">
        <v>4292.67</v>
      </c>
      <c r="E5551" s="43" t="s">
        <v>3596</v>
      </c>
    </row>
    <row r="5552" spans="1:5" x14ac:dyDescent="0.35">
      <c r="A5552" s="40">
        <v>43647</v>
      </c>
      <c r="B5552" s="38">
        <v>-172.3</v>
      </c>
      <c r="C5552" s="13" t="s">
        <v>944</v>
      </c>
      <c r="D5552" s="36">
        <v>4111.47</v>
      </c>
      <c r="E5552" s="43" t="s">
        <v>3596</v>
      </c>
    </row>
    <row r="5553" spans="1:5" x14ac:dyDescent="0.35">
      <c r="A5553" s="40">
        <v>43647</v>
      </c>
      <c r="B5553" s="38">
        <v>-8.9</v>
      </c>
      <c r="C5553" s="13" t="s">
        <v>11</v>
      </c>
      <c r="D5553" s="36">
        <v>4283.7700000000004</v>
      </c>
      <c r="E5553" s="43" t="s">
        <v>3596</v>
      </c>
    </row>
    <row r="5554" spans="1:5" x14ac:dyDescent="0.35">
      <c r="A5554" s="40">
        <v>43645</v>
      </c>
      <c r="B5554" s="38">
        <v>-72.53</v>
      </c>
      <c r="C5554" s="13" t="s">
        <v>1</v>
      </c>
      <c r="D5554" s="36">
        <v>4314.66</v>
      </c>
      <c r="E5554" s="43" t="s">
        <v>3596</v>
      </c>
    </row>
    <row r="5555" spans="1:5" x14ac:dyDescent="0.35">
      <c r="A5555" s="40">
        <v>43645</v>
      </c>
      <c r="B5555" s="38">
        <v>-100</v>
      </c>
      <c r="C5555" s="13" t="s">
        <v>946</v>
      </c>
      <c r="D5555" s="36">
        <v>4395.1899999999996</v>
      </c>
      <c r="E5555" s="43" t="s">
        <v>3596</v>
      </c>
    </row>
    <row r="5556" spans="1:5" x14ac:dyDescent="0.35">
      <c r="A5556" s="40">
        <v>43645</v>
      </c>
      <c r="B5556" s="38">
        <v>-8</v>
      </c>
      <c r="C5556" s="13" t="s">
        <v>2</v>
      </c>
      <c r="D5556" s="36">
        <v>4387.1899999999996</v>
      </c>
      <c r="E5556" s="43" t="s">
        <v>3596</v>
      </c>
    </row>
    <row r="5557" spans="1:5" x14ac:dyDescent="0.35">
      <c r="A5557" s="40">
        <v>43645</v>
      </c>
      <c r="B5557" s="38">
        <v>-21</v>
      </c>
      <c r="C5557" s="13" t="s">
        <v>0</v>
      </c>
      <c r="D5557" s="36">
        <v>4293.66</v>
      </c>
      <c r="E5557" s="43" t="s">
        <v>3596</v>
      </c>
    </row>
    <row r="5558" spans="1:5" x14ac:dyDescent="0.35">
      <c r="A5558" s="40">
        <v>43644</v>
      </c>
      <c r="B5558" s="38">
        <v>-0.92</v>
      </c>
      <c r="C5558" s="13" t="s">
        <v>4</v>
      </c>
      <c r="D5558" s="36">
        <v>4706.6000000000004</v>
      </c>
      <c r="E5558" s="43" t="s">
        <v>3596</v>
      </c>
    </row>
    <row r="5559" spans="1:5" x14ac:dyDescent="0.35">
      <c r="A5559" s="40">
        <v>43644</v>
      </c>
      <c r="B5559" s="38">
        <v>-100</v>
      </c>
      <c r="C5559" s="13" t="s">
        <v>1713</v>
      </c>
      <c r="D5559" s="36">
        <v>4495.1899999999996</v>
      </c>
      <c r="E5559" s="43" t="s">
        <v>3596</v>
      </c>
    </row>
    <row r="5560" spans="1:5" x14ac:dyDescent="0.35">
      <c r="A5560" s="40">
        <v>43644</v>
      </c>
      <c r="B5560" s="38">
        <v>-27.41</v>
      </c>
      <c r="C5560" s="13" t="s">
        <v>3</v>
      </c>
      <c r="D5560" s="36">
        <v>4679.1899999999996</v>
      </c>
      <c r="E5560" s="43" t="s">
        <v>3596</v>
      </c>
    </row>
    <row r="5561" spans="1:5" x14ac:dyDescent="0.35">
      <c r="A5561" s="40">
        <v>43644</v>
      </c>
      <c r="B5561" s="38">
        <v>-8</v>
      </c>
      <c r="C5561" s="13" t="s">
        <v>5</v>
      </c>
      <c r="D5561" s="36">
        <v>4707.5200000000004</v>
      </c>
      <c r="E5561" s="43" t="s">
        <v>3596</v>
      </c>
    </row>
    <row r="5562" spans="1:5" x14ac:dyDescent="0.35">
      <c r="A5562" s="40">
        <v>43644</v>
      </c>
      <c r="B5562" s="38">
        <v>-84</v>
      </c>
      <c r="C5562" s="13" t="s">
        <v>0</v>
      </c>
      <c r="D5562" s="36">
        <v>4595.1899999999996</v>
      </c>
      <c r="E5562" s="43" t="s">
        <v>3596</v>
      </c>
    </row>
    <row r="5563" spans="1:5" x14ac:dyDescent="0.35">
      <c r="A5563" s="40">
        <v>43643</v>
      </c>
      <c r="B5563" s="38">
        <v>-16.16</v>
      </c>
      <c r="C5563" s="13" t="s">
        <v>7</v>
      </c>
      <c r="D5563" s="36">
        <v>4665.5200000000004</v>
      </c>
      <c r="E5563" s="43" t="s">
        <v>3596</v>
      </c>
    </row>
    <row r="5564" spans="1:5" x14ac:dyDescent="0.35">
      <c r="A5564" s="40">
        <v>43643</v>
      </c>
      <c r="B5564" s="38">
        <v>-8.08</v>
      </c>
      <c r="C5564" s="13" t="s">
        <v>7</v>
      </c>
      <c r="D5564" s="36">
        <v>4681.68</v>
      </c>
      <c r="E5564" s="43" t="s">
        <v>3596</v>
      </c>
    </row>
    <row r="5565" spans="1:5" x14ac:dyDescent="0.35">
      <c r="A5565" s="40">
        <v>43643</v>
      </c>
      <c r="B5565" s="38">
        <v>-6.57</v>
      </c>
      <c r="C5565" s="13" t="s">
        <v>7</v>
      </c>
      <c r="D5565" s="36">
        <v>4689.76</v>
      </c>
      <c r="E5565" s="43" t="s">
        <v>3596</v>
      </c>
    </row>
    <row r="5566" spans="1:5" x14ac:dyDescent="0.35">
      <c r="A5566" s="40">
        <v>43643</v>
      </c>
      <c r="B5566" s="38">
        <v>-40</v>
      </c>
      <c r="C5566" s="13" t="s">
        <v>9</v>
      </c>
      <c r="D5566" s="36">
        <v>4799.66</v>
      </c>
      <c r="E5566" s="43" t="s">
        <v>3596</v>
      </c>
    </row>
    <row r="5567" spans="1:5" x14ac:dyDescent="0.35">
      <c r="A5567" s="40">
        <v>43643</v>
      </c>
      <c r="B5567" s="38">
        <v>-500</v>
      </c>
      <c r="C5567" s="13" t="s">
        <v>945</v>
      </c>
      <c r="D5567" s="36">
        <v>4839.66</v>
      </c>
      <c r="E5567" s="43" t="s">
        <v>3596</v>
      </c>
    </row>
    <row r="5568" spans="1:5" x14ac:dyDescent="0.35">
      <c r="A5568" s="40">
        <v>43643</v>
      </c>
      <c r="B5568" s="38">
        <v>-30.35</v>
      </c>
      <c r="C5568" s="13" t="s">
        <v>8</v>
      </c>
      <c r="D5568" s="36">
        <v>4696.33</v>
      </c>
      <c r="E5568" s="43" t="s">
        <v>3596</v>
      </c>
    </row>
    <row r="5569" spans="1:5" x14ac:dyDescent="0.35">
      <c r="A5569" s="40">
        <v>43643</v>
      </c>
      <c r="B5569" s="38">
        <v>-72.98</v>
      </c>
      <c r="C5569" s="13" t="s">
        <v>8</v>
      </c>
      <c r="D5569" s="36">
        <v>4726.68</v>
      </c>
      <c r="E5569" s="43" t="s">
        <v>3596</v>
      </c>
    </row>
    <row r="5570" spans="1:5" x14ac:dyDescent="0.35">
      <c r="A5570" s="40">
        <v>43643</v>
      </c>
      <c r="B5570" s="38">
        <v>-50</v>
      </c>
      <c r="C5570" s="13" t="s">
        <v>312</v>
      </c>
      <c r="D5570" s="36">
        <v>4715.5200000000004</v>
      </c>
      <c r="E5570" s="43" t="s">
        <v>3596</v>
      </c>
    </row>
    <row r="5571" spans="1:5" x14ac:dyDescent="0.35">
      <c r="A5571" s="40">
        <v>43643</v>
      </c>
      <c r="B5571" s="38">
        <v>100</v>
      </c>
      <c r="C5571" s="13" t="s">
        <v>6</v>
      </c>
      <c r="D5571" s="36">
        <v>4765.5200000000004</v>
      </c>
      <c r="E5571" s="43" t="s">
        <v>3596</v>
      </c>
    </row>
    <row r="5572" spans="1:5" x14ac:dyDescent="0.35">
      <c r="A5572" s="40">
        <v>43642</v>
      </c>
      <c r="B5572" s="38">
        <v>-0.78</v>
      </c>
      <c r="C5572" s="13" t="s">
        <v>4</v>
      </c>
      <c r="D5572" s="36">
        <v>3101.07</v>
      </c>
      <c r="E5572" s="43" t="s">
        <v>3596</v>
      </c>
    </row>
    <row r="5573" spans="1:5" x14ac:dyDescent="0.35">
      <c r="A5573" s="40">
        <v>43642</v>
      </c>
      <c r="B5573" s="38">
        <v>2247.4899999999998</v>
      </c>
      <c r="C5573" s="13" t="s">
        <v>10</v>
      </c>
      <c r="D5573" s="36">
        <v>5339.66</v>
      </c>
      <c r="E5573" s="43" t="s">
        <v>3596</v>
      </c>
    </row>
    <row r="5574" spans="1:5" x14ac:dyDescent="0.35">
      <c r="A5574" s="40">
        <v>43642</v>
      </c>
      <c r="B5574" s="38">
        <v>-23.63</v>
      </c>
      <c r="C5574" s="13" t="s">
        <v>12</v>
      </c>
      <c r="D5574" s="36">
        <v>3101.85</v>
      </c>
      <c r="E5574" s="43" t="s">
        <v>3596</v>
      </c>
    </row>
    <row r="5575" spans="1:5" x14ac:dyDescent="0.35">
      <c r="A5575" s="40">
        <v>43642</v>
      </c>
      <c r="B5575" s="38">
        <v>-23</v>
      </c>
      <c r="C5575" s="13" t="s">
        <v>12</v>
      </c>
      <c r="D5575" s="36">
        <v>3125.48</v>
      </c>
      <c r="E5575" s="43" t="s">
        <v>3596</v>
      </c>
    </row>
    <row r="5576" spans="1:5" x14ac:dyDescent="0.35">
      <c r="A5576" s="40">
        <v>43642</v>
      </c>
      <c r="B5576" s="38">
        <v>-20</v>
      </c>
      <c r="C5576" s="13" t="s">
        <v>12</v>
      </c>
      <c r="D5576" s="36">
        <v>3148.48</v>
      </c>
      <c r="E5576" s="43" t="s">
        <v>3596</v>
      </c>
    </row>
    <row r="5577" spans="1:5" x14ac:dyDescent="0.35">
      <c r="A5577" s="40">
        <v>43642</v>
      </c>
      <c r="B5577" s="38">
        <v>-10.1</v>
      </c>
      <c r="C5577" s="13" t="s">
        <v>12</v>
      </c>
      <c r="D5577" s="36">
        <v>3168.48</v>
      </c>
      <c r="E5577" s="43" t="s">
        <v>3596</v>
      </c>
    </row>
    <row r="5578" spans="1:5" x14ac:dyDescent="0.35">
      <c r="A5578" s="40">
        <v>43642</v>
      </c>
      <c r="B5578" s="38">
        <v>-8.9</v>
      </c>
      <c r="C5578" s="13" t="s">
        <v>11</v>
      </c>
      <c r="D5578" s="36">
        <v>3092.17</v>
      </c>
      <c r="E5578" s="43" t="s">
        <v>3596</v>
      </c>
    </row>
    <row r="5579" spans="1:5" x14ac:dyDescent="0.35">
      <c r="A5579" s="40">
        <v>43641</v>
      </c>
      <c r="B5579" s="38">
        <v>-5.7</v>
      </c>
      <c r="C5579" s="13" t="s">
        <v>13</v>
      </c>
      <c r="D5579" s="36">
        <v>3178.58</v>
      </c>
      <c r="E5579" s="43" t="s">
        <v>3596</v>
      </c>
    </row>
    <row r="5580" spans="1:5" x14ac:dyDescent="0.35">
      <c r="A5580" s="40">
        <v>43641</v>
      </c>
      <c r="B5580" s="38">
        <v>-1.05</v>
      </c>
      <c r="C5580" s="13" t="s">
        <v>4</v>
      </c>
      <c r="D5580" s="36">
        <v>3184.28</v>
      </c>
      <c r="E5580" s="43" t="s">
        <v>3596</v>
      </c>
    </row>
    <row r="5581" spans="1:5" x14ac:dyDescent="0.35">
      <c r="A5581" s="40">
        <v>43640</v>
      </c>
      <c r="B5581" s="38">
        <v>-38.979999999999997</v>
      </c>
      <c r="C5581" s="13" t="s">
        <v>13</v>
      </c>
      <c r="D5581" s="36">
        <v>3245.33</v>
      </c>
      <c r="E5581" s="43" t="s">
        <v>3596</v>
      </c>
    </row>
    <row r="5582" spans="1:5" x14ac:dyDescent="0.35">
      <c r="A5582" s="40">
        <v>43640</v>
      </c>
      <c r="B5582" s="38">
        <v>-60</v>
      </c>
      <c r="C5582" s="13" t="s">
        <v>947</v>
      </c>
      <c r="D5582" s="36">
        <v>3185.33</v>
      </c>
      <c r="E5582" s="43" t="s">
        <v>3596</v>
      </c>
    </row>
    <row r="5583" spans="1:5" x14ac:dyDescent="0.35">
      <c r="A5583" s="40">
        <v>43638</v>
      </c>
      <c r="B5583" s="38">
        <v>-19.75</v>
      </c>
      <c r="C5583" s="13" t="s">
        <v>15</v>
      </c>
      <c r="D5583" s="36">
        <v>3315.71</v>
      </c>
      <c r="E5583" s="43" t="s">
        <v>3596</v>
      </c>
    </row>
    <row r="5584" spans="1:5" x14ac:dyDescent="0.35">
      <c r="A5584" s="40">
        <v>43638</v>
      </c>
      <c r="B5584" s="38">
        <v>-31.4</v>
      </c>
      <c r="C5584" s="13" t="s">
        <v>14</v>
      </c>
      <c r="D5584" s="36">
        <v>3284.31</v>
      </c>
      <c r="E5584" s="43" t="s">
        <v>3596</v>
      </c>
    </row>
    <row r="5585" spans="1:5" x14ac:dyDescent="0.35">
      <c r="A5585" s="40">
        <v>43638</v>
      </c>
      <c r="B5585" s="38">
        <v>-100</v>
      </c>
      <c r="C5585" s="13" t="s">
        <v>946</v>
      </c>
      <c r="D5585" s="36">
        <v>3345.36</v>
      </c>
      <c r="E5585" s="43" t="s">
        <v>3596</v>
      </c>
    </row>
    <row r="5586" spans="1:5" x14ac:dyDescent="0.35">
      <c r="A5586" s="40">
        <v>43638</v>
      </c>
      <c r="B5586" s="38">
        <v>-9.9</v>
      </c>
      <c r="C5586" s="13" t="s">
        <v>16</v>
      </c>
      <c r="D5586" s="36">
        <v>3335.46</v>
      </c>
      <c r="E5586" s="43" t="s">
        <v>3596</v>
      </c>
    </row>
    <row r="5587" spans="1:5" x14ac:dyDescent="0.35">
      <c r="A5587" s="40">
        <v>43637</v>
      </c>
      <c r="B5587" s="38">
        <v>-19.75</v>
      </c>
      <c r="C5587" s="13" t="s">
        <v>15</v>
      </c>
      <c r="D5587" s="36">
        <v>3445.36</v>
      </c>
      <c r="E5587" s="43" t="s">
        <v>3596</v>
      </c>
    </row>
    <row r="5588" spans="1:5" x14ac:dyDescent="0.35">
      <c r="A5588" s="40">
        <v>43637</v>
      </c>
      <c r="B5588" s="38">
        <v>-14.45</v>
      </c>
      <c r="C5588" s="13" t="s">
        <v>14</v>
      </c>
      <c r="D5588" s="36">
        <v>3465.11</v>
      </c>
      <c r="E5588" s="43" t="s">
        <v>3596</v>
      </c>
    </row>
    <row r="5589" spans="1:5" x14ac:dyDescent="0.35">
      <c r="A5589" s="40">
        <v>43637</v>
      </c>
      <c r="B5589" s="38">
        <v>-9.5</v>
      </c>
      <c r="C5589" s="13" t="s">
        <v>18</v>
      </c>
      <c r="D5589" s="36">
        <v>3492.81</v>
      </c>
      <c r="E5589" s="43" t="s">
        <v>3596</v>
      </c>
    </row>
    <row r="5590" spans="1:5" x14ac:dyDescent="0.35">
      <c r="A5590" s="40">
        <v>43637</v>
      </c>
      <c r="B5590" s="38">
        <v>-13.25</v>
      </c>
      <c r="C5590" s="13" t="s">
        <v>17</v>
      </c>
      <c r="D5590" s="36">
        <v>3479.56</v>
      </c>
      <c r="E5590" s="43" t="s">
        <v>3596</v>
      </c>
    </row>
    <row r="5591" spans="1:5" x14ac:dyDescent="0.35">
      <c r="A5591" s="40">
        <v>43636</v>
      </c>
      <c r="B5591" s="38">
        <v>-0.71</v>
      </c>
      <c r="C5591" s="13" t="s">
        <v>4</v>
      </c>
      <c r="D5591" s="36">
        <v>3597.71</v>
      </c>
      <c r="E5591" s="43" t="s">
        <v>3596</v>
      </c>
    </row>
    <row r="5592" spans="1:5" x14ac:dyDescent="0.35">
      <c r="A5592" s="40">
        <v>43636</v>
      </c>
      <c r="B5592" s="38">
        <v>-50</v>
      </c>
      <c r="C5592" s="13" t="s">
        <v>20</v>
      </c>
      <c r="D5592" s="36">
        <v>3547.71</v>
      </c>
      <c r="E5592" s="43" t="s">
        <v>3596</v>
      </c>
    </row>
    <row r="5593" spans="1:5" x14ac:dyDescent="0.35">
      <c r="A5593" s="40">
        <v>43636</v>
      </c>
      <c r="B5593" s="38">
        <v>-10</v>
      </c>
      <c r="C5593" s="13" t="s">
        <v>22</v>
      </c>
      <c r="D5593" s="36">
        <v>3607.32</v>
      </c>
      <c r="E5593" s="43" t="s">
        <v>3596</v>
      </c>
    </row>
    <row r="5594" spans="1:5" x14ac:dyDescent="0.35">
      <c r="A5594" s="40">
        <v>43636</v>
      </c>
      <c r="B5594" s="38">
        <v>-45.4</v>
      </c>
      <c r="C5594" s="13" t="s">
        <v>19</v>
      </c>
      <c r="D5594" s="36">
        <v>3502.31</v>
      </c>
      <c r="E5594" s="43" t="s">
        <v>3596</v>
      </c>
    </row>
    <row r="5595" spans="1:5" x14ac:dyDescent="0.35">
      <c r="A5595" s="40">
        <v>43636</v>
      </c>
      <c r="B5595" s="38">
        <v>-8.9</v>
      </c>
      <c r="C5595" s="13" t="s">
        <v>21</v>
      </c>
      <c r="D5595" s="36">
        <v>3598.42</v>
      </c>
      <c r="E5595" s="43" t="s">
        <v>3596</v>
      </c>
    </row>
    <row r="5596" spans="1:5" x14ac:dyDescent="0.35">
      <c r="A5596" s="40">
        <v>43635</v>
      </c>
      <c r="B5596" s="38">
        <v>-4.24</v>
      </c>
      <c r="C5596" s="13" t="s">
        <v>13</v>
      </c>
      <c r="D5596" s="36">
        <v>1709.82</v>
      </c>
      <c r="E5596" s="43" t="s">
        <v>3596</v>
      </c>
    </row>
    <row r="5597" spans="1:5" x14ac:dyDescent="0.35">
      <c r="A5597" s="40">
        <v>43635</v>
      </c>
      <c r="B5597" s="38">
        <v>-8.01</v>
      </c>
      <c r="C5597" s="13" t="s">
        <v>4</v>
      </c>
      <c r="D5597" s="36">
        <v>1614.06</v>
      </c>
      <c r="E5597" s="43" t="s">
        <v>3596</v>
      </c>
    </row>
    <row r="5598" spans="1:5" x14ac:dyDescent="0.35">
      <c r="A5598" s="40">
        <v>43635</v>
      </c>
      <c r="B5598" s="38">
        <v>-150</v>
      </c>
      <c r="C5598" s="13" t="s">
        <v>1710</v>
      </c>
      <c r="D5598" s="36">
        <v>1559.82</v>
      </c>
      <c r="E5598" s="43" t="s">
        <v>3596</v>
      </c>
    </row>
    <row r="5599" spans="1:5" x14ac:dyDescent="0.35">
      <c r="A5599" s="40">
        <v>43635</v>
      </c>
      <c r="B5599" s="38">
        <v>100</v>
      </c>
      <c r="C5599" s="13" t="s">
        <v>1669</v>
      </c>
      <c r="D5599" s="36">
        <v>1714.06</v>
      </c>
      <c r="E5599" s="43" t="s">
        <v>3596</v>
      </c>
    </row>
    <row r="5600" spans="1:5" x14ac:dyDescent="0.35">
      <c r="A5600" s="40">
        <v>43635</v>
      </c>
      <c r="B5600" s="38">
        <v>-2.5</v>
      </c>
      <c r="C5600" s="13" t="s">
        <v>24</v>
      </c>
      <c r="D5600" s="36">
        <v>1557.32</v>
      </c>
      <c r="E5600" s="43" t="s">
        <v>3596</v>
      </c>
    </row>
    <row r="5601" spans="1:5" x14ac:dyDescent="0.35">
      <c r="A5601" s="40">
        <v>43635</v>
      </c>
      <c r="B5601" s="38">
        <v>2060</v>
      </c>
      <c r="C5601" s="13" t="s">
        <v>23</v>
      </c>
      <c r="D5601" s="36">
        <v>3617.32</v>
      </c>
      <c r="E5601" s="43" t="s">
        <v>3596</v>
      </c>
    </row>
    <row r="5602" spans="1:5" x14ac:dyDescent="0.35">
      <c r="A5602" s="40">
        <v>43635</v>
      </c>
      <c r="B5602" s="38">
        <v>-12.5</v>
      </c>
      <c r="C5602" s="13" t="s">
        <v>25</v>
      </c>
      <c r="D5602" s="36">
        <v>1622.07</v>
      </c>
      <c r="E5602" s="43" t="s">
        <v>3596</v>
      </c>
    </row>
    <row r="5603" spans="1:5" x14ac:dyDescent="0.35">
      <c r="A5603" s="40">
        <v>43634</v>
      </c>
      <c r="B5603" s="38">
        <v>-10</v>
      </c>
      <c r="C5603" s="13" t="s">
        <v>27</v>
      </c>
      <c r="D5603" s="36">
        <v>1643.47</v>
      </c>
      <c r="E5603" s="43" t="s">
        <v>3596</v>
      </c>
    </row>
    <row r="5604" spans="1:5" x14ac:dyDescent="0.35">
      <c r="A5604" s="40">
        <v>43634</v>
      </c>
      <c r="B5604" s="38">
        <v>-8.9</v>
      </c>
      <c r="C5604" s="13" t="s">
        <v>26</v>
      </c>
      <c r="D5604" s="36">
        <v>1634.57</v>
      </c>
      <c r="E5604" s="43" t="s">
        <v>3596</v>
      </c>
    </row>
    <row r="5605" spans="1:5" x14ac:dyDescent="0.35">
      <c r="A5605" s="40">
        <v>43633</v>
      </c>
      <c r="B5605" s="38">
        <v>-0.97</v>
      </c>
      <c r="C5605" s="13" t="s">
        <v>4</v>
      </c>
      <c r="D5605" s="36">
        <v>1653.41</v>
      </c>
      <c r="E5605" s="43" t="s">
        <v>3596</v>
      </c>
    </row>
    <row r="5606" spans="1:5" x14ac:dyDescent="0.35">
      <c r="A5606" s="40">
        <v>43633</v>
      </c>
      <c r="B5606" s="38">
        <v>0.06</v>
      </c>
      <c r="C5606" s="13" t="s">
        <v>28</v>
      </c>
      <c r="D5606" s="36">
        <v>1653.47</v>
      </c>
      <c r="E5606" s="43" t="s">
        <v>3596</v>
      </c>
    </row>
    <row r="5607" spans="1:5" x14ac:dyDescent="0.35">
      <c r="A5607" s="40">
        <v>43632</v>
      </c>
      <c r="B5607" s="38">
        <v>-19</v>
      </c>
      <c r="C5607" s="13" t="s">
        <v>957</v>
      </c>
      <c r="D5607" s="36">
        <v>1654.38</v>
      </c>
      <c r="E5607" s="43" t="s">
        <v>3596</v>
      </c>
    </row>
    <row r="5608" spans="1:5" x14ac:dyDescent="0.35">
      <c r="A5608" s="40">
        <v>43631</v>
      </c>
      <c r="B5608" s="38">
        <v>-45.35</v>
      </c>
      <c r="C5608" s="13" t="s">
        <v>1</v>
      </c>
      <c r="D5608" s="36">
        <v>1673.38</v>
      </c>
      <c r="E5608" s="43" t="s">
        <v>3596</v>
      </c>
    </row>
    <row r="5609" spans="1:5" x14ac:dyDescent="0.35">
      <c r="A5609" s="40">
        <v>43631</v>
      </c>
      <c r="B5609" s="38">
        <v>-100</v>
      </c>
      <c r="C5609" s="13" t="s">
        <v>946</v>
      </c>
      <c r="D5609" s="36">
        <v>1718.73</v>
      </c>
      <c r="E5609" s="43" t="s">
        <v>3596</v>
      </c>
    </row>
    <row r="5610" spans="1:5" x14ac:dyDescent="0.35">
      <c r="A5610" s="40">
        <v>43630</v>
      </c>
      <c r="B5610" s="38">
        <v>-20.88</v>
      </c>
      <c r="C5610" s="13" t="s">
        <v>13</v>
      </c>
      <c r="D5610" s="36">
        <v>636.48</v>
      </c>
      <c r="E5610" s="43" t="s">
        <v>3596</v>
      </c>
    </row>
    <row r="5611" spans="1:5" x14ac:dyDescent="0.35">
      <c r="A5611" s="40">
        <v>43630</v>
      </c>
      <c r="B5611" s="38">
        <v>-22.33</v>
      </c>
      <c r="C5611" s="13" t="s">
        <v>30</v>
      </c>
      <c r="D5611" s="36">
        <v>666.26</v>
      </c>
      <c r="E5611" s="43" t="s">
        <v>3596</v>
      </c>
    </row>
    <row r="5612" spans="1:5" x14ac:dyDescent="0.35">
      <c r="A5612" s="40">
        <v>43630</v>
      </c>
      <c r="B5612" s="38">
        <v>1182.25</v>
      </c>
      <c r="C5612" s="13" t="s">
        <v>10</v>
      </c>
      <c r="D5612" s="36">
        <v>1818.73</v>
      </c>
      <c r="E5612" s="43" t="s">
        <v>3596</v>
      </c>
    </row>
    <row r="5613" spans="1:5" x14ac:dyDescent="0.35">
      <c r="A5613" s="40">
        <v>43630</v>
      </c>
      <c r="B5613" s="38">
        <v>-8.9</v>
      </c>
      <c r="C5613" s="13" t="s">
        <v>29</v>
      </c>
      <c r="D5613" s="36">
        <v>657.36</v>
      </c>
      <c r="E5613" s="43" t="s">
        <v>3596</v>
      </c>
    </row>
    <row r="5614" spans="1:5" x14ac:dyDescent="0.35">
      <c r="A5614" s="40">
        <v>43629</v>
      </c>
      <c r="B5614" s="38">
        <v>-500</v>
      </c>
      <c r="C5614" s="13" t="s">
        <v>945</v>
      </c>
      <c r="D5614" s="36">
        <v>746.07</v>
      </c>
      <c r="E5614" s="43" t="s">
        <v>3596</v>
      </c>
    </row>
    <row r="5615" spans="1:5" x14ac:dyDescent="0.35">
      <c r="A5615" s="40">
        <v>43629</v>
      </c>
      <c r="B5615" s="38">
        <v>-18.98</v>
      </c>
      <c r="C5615" s="13" t="s">
        <v>33</v>
      </c>
      <c r="D5615" s="36">
        <v>727.09</v>
      </c>
      <c r="E5615" s="43" t="s">
        <v>3596</v>
      </c>
    </row>
    <row r="5616" spans="1:5" x14ac:dyDescent="0.35">
      <c r="A5616" s="40">
        <v>43629</v>
      </c>
      <c r="B5616" s="38">
        <v>-9</v>
      </c>
      <c r="C5616" s="13" t="s">
        <v>32</v>
      </c>
      <c r="D5616" s="36">
        <v>718.09</v>
      </c>
      <c r="E5616" s="43" t="s">
        <v>3596</v>
      </c>
    </row>
    <row r="5617" spans="1:5" x14ac:dyDescent="0.35">
      <c r="A5617" s="40">
        <v>43629</v>
      </c>
      <c r="B5617" s="38">
        <v>-21.5</v>
      </c>
      <c r="C5617" s="13" t="s">
        <v>31</v>
      </c>
      <c r="D5617" s="36">
        <v>688.59</v>
      </c>
      <c r="E5617" s="43" t="s">
        <v>3596</v>
      </c>
    </row>
    <row r="5618" spans="1:5" x14ac:dyDescent="0.35">
      <c r="A5618" s="40">
        <v>43629</v>
      </c>
      <c r="B5618" s="38">
        <v>-4</v>
      </c>
      <c r="C5618" s="13" t="s">
        <v>31</v>
      </c>
      <c r="D5618" s="36">
        <v>710.09</v>
      </c>
      <c r="E5618" s="43" t="s">
        <v>3596</v>
      </c>
    </row>
    <row r="5619" spans="1:5" x14ac:dyDescent="0.35">
      <c r="A5619" s="40">
        <v>43629</v>
      </c>
      <c r="B5619" s="38">
        <v>-4</v>
      </c>
      <c r="C5619" s="13" t="s">
        <v>31</v>
      </c>
      <c r="D5619" s="36">
        <v>714.09</v>
      </c>
      <c r="E5619" s="43" t="s">
        <v>3596</v>
      </c>
    </row>
    <row r="5620" spans="1:5" x14ac:dyDescent="0.35">
      <c r="A5620" s="40">
        <v>43628</v>
      </c>
      <c r="B5620" s="38">
        <v>-8</v>
      </c>
      <c r="C5620" s="13" t="s">
        <v>13</v>
      </c>
      <c r="D5620" s="36">
        <v>1246.07</v>
      </c>
      <c r="E5620" s="43" t="s">
        <v>3596</v>
      </c>
    </row>
    <row r="5621" spans="1:5" x14ac:dyDescent="0.35">
      <c r="A5621" s="40">
        <v>43628</v>
      </c>
      <c r="B5621" s="38">
        <v>-50</v>
      </c>
      <c r="C5621" s="13" t="s">
        <v>34</v>
      </c>
      <c r="D5621" s="36">
        <v>1254.07</v>
      </c>
      <c r="E5621" s="43" t="s">
        <v>3596</v>
      </c>
    </row>
    <row r="5622" spans="1:5" x14ac:dyDescent="0.35">
      <c r="A5622" s="40">
        <v>43628</v>
      </c>
      <c r="B5622" s="38">
        <v>-15</v>
      </c>
      <c r="C5622" s="13" t="s">
        <v>947</v>
      </c>
      <c r="D5622" s="36">
        <v>1304.07</v>
      </c>
      <c r="E5622" s="43" t="s">
        <v>3596</v>
      </c>
    </row>
    <row r="5623" spans="1:5" x14ac:dyDescent="0.35">
      <c r="A5623" s="40">
        <v>43628</v>
      </c>
      <c r="B5623" s="38">
        <v>200</v>
      </c>
      <c r="C5623" s="13" t="s">
        <v>35</v>
      </c>
      <c r="D5623" s="36">
        <v>1319.07</v>
      </c>
      <c r="E5623" s="43" t="s">
        <v>3596</v>
      </c>
    </row>
    <row r="5624" spans="1:5" x14ac:dyDescent="0.35">
      <c r="A5624" s="40">
        <v>43627</v>
      </c>
      <c r="B5624" s="38">
        <v>-11.35</v>
      </c>
      <c r="C5624" s="13" t="s">
        <v>1</v>
      </c>
      <c r="D5624" s="36">
        <v>1119.07</v>
      </c>
      <c r="E5624" s="43" t="s">
        <v>3596</v>
      </c>
    </row>
    <row r="5625" spans="1:5" x14ac:dyDescent="0.35">
      <c r="A5625" s="40">
        <v>43627</v>
      </c>
      <c r="B5625" s="38">
        <v>-8.9</v>
      </c>
      <c r="C5625" s="13" t="s">
        <v>36</v>
      </c>
      <c r="D5625" s="36">
        <v>1130.42</v>
      </c>
      <c r="E5625" s="43" t="s">
        <v>3596</v>
      </c>
    </row>
    <row r="5626" spans="1:5" x14ac:dyDescent="0.35">
      <c r="A5626" s="40">
        <v>43626</v>
      </c>
      <c r="B5626" s="38">
        <v>-22.33</v>
      </c>
      <c r="C5626" s="13" t="s">
        <v>38</v>
      </c>
      <c r="D5626" s="36">
        <v>1213.32</v>
      </c>
      <c r="E5626" s="43" t="s">
        <v>3596</v>
      </c>
    </row>
    <row r="5627" spans="1:5" x14ac:dyDescent="0.35">
      <c r="A5627" s="40">
        <v>43626</v>
      </c>
      <c r="B5627" s="38">
        <v>-19.5</v>
      </c>
      <c r="C5627" s="13" t="s">
        <v>39</v>
      </c>
      <c r="D5627" s="36">
        <v>1235.6500000000001</v>
      </c>
      <c r="E5627" s="43" t="s">
        <v>3596</v>
      </c>
    </row>
    <row r="5628" spans="1:5" x14ac:dyDescent="0.35">
      <c r="A5628" s="40">
        <v>43626</v>
      </c>
      <c r="B5628" s="38">
        <v>-10</v>
      </c>
      <c r="C5628" s="13" t="s">
        <v>39</v>
      </c>
      <c r="D5628" s="36">
        <v>1255.1500000000001</v>
      </c>
      <c r="E5628" s="43" t="s">
        <v>3596</v>
      </c>
    </row>
    <row r="5629" spans="1:5" x14ac:dyDescent="0.35">
      <c r="A5629" s="40">
        <v>43626</v>
      </c>
      <c r="B5629" s="38">
        <v>-74</v>
      </c>
      <c r="C5629" s="13" t="s">
        <v>37</v>
      </c>
      <c r="D5629" s="36">
        <v>1139.32</v>
      </c>
      <c r="E5629" s="43" t="s">
        <v>3596</v>
      </c>
    </row>
    <row r="5630" spans="1:5" x14ac:dyDescent="0.35">
      <c r="A5630" s="40">
        <v>43624</v>
      </c>
      <c r="B5630" s="38">
        <v>-48.74</v>
      </c>
      <c r="C5630" s="13" t="s">
        <v>40</v>
      </c>
      <c r="D5630" s="36">
        <v>1265.1500000000001</v>
      </c>
      <c r="E5630" s="43" t="s">
        <v>3596</v>
      </c>
    </row>
    <row r="5631" spans="1:5" x14ac:dyDescent="0.35">
      <c r="A5631" s="40">
        <v>43624</v>
      </c>
      <c r="B5631" s="38">
        <v>-200</v>
      </c>
      <c r="C5631" s="13" t="s">
        <v>43</v>
      </c>
      <c r="D5631" s="36">
        <v>1430</v>
      </c>
      <c r="E5631" s="43" t="s">
        <v>3596</v>
      </c>
    </row>
    <row r="5632" spans="1:5" x14ac:dyDescent="0.35">
      <c r="A5632" s="40">
        <v>43624</v>
      </c>
      <c r="B5632" s="38">
        <v>-100</v>
      </c>
      <c r="C5632" s="13" t="s">
        <v>946</v>
      </c>
      <c r="D5632" s="36">
        <v>1321.1</v>
      </c>
      <c r="E5632" s="43" t="s">
        <v>3596</v>
      </c>
    </row>
    <row r="5633" spans="1:5" x14ac:dyDescent="0.35">
      <c r="A5633" s="40">
        <v>43624</v>
      </c>
      <c r="B5633" s="38">
        <v>-7.21</v>
      </c>
      <c r="C5633" s="13" t="s">
        <v>41</v>
      </c>
      <c r="D5633" s="36">
        <v>1313.89</v>
      </c>
      <c r="E5633" s="43" t="s">
        <v>3596</v>
      </c>
    </row>
    <row r="5634" spans="1:5" x14ac:dyDescent="0.35">
      <c r="A5634" s="40">
        <v>43624</v>
      </c>
      <c r="B5634" s="38">
        <v>-8.9</v>
      </c>
      <c r="C5634" s="13" t="s">
        <v>42</v>
      </c>
      <c r="D5634" s="36">
        <v>1421.1</v>
      </c>
      <c r="E5634" s="43" t="s">
        <v>3596</v>
      </c>
    </row>
    <row r="5635" spans="1:5" x14ac:dyDescent="0.35">
      <c r="A5635" s="40">
        <v>43623</v>
      </c>
      <c r="B5635" s="38">
        <v>-1.1399999999999999</v>
      </c>
      <c r="C5635" s="13" t="s">
        <v>4</v>
      </c>
      <c r="D5635" s="36">
        <v>1637.5</v>
      </c>
      <c r="E5635" s="43" t="s">
        <v>3596</v>
      </c>
    </row>
    <row r="5636" spans="1:5" x14ac:dyDescent="0.35">
      <c r="A5636" s="40">
        <v>43623</v>
      </c>
      <c r="B5636" s="38">
        <v>-7.5</v>
      </c>
      <c r="C5636" s="13" t="s">
        <v>1</v>
      </c>
      <c r="D5636" s="36">
        <v>1630</v>
      </c>
      <c r="E5636" s="43" t="s">
        <v>3596</v>
      </c>
    </row>
    <row r="5637" spans="1:5" x14ac:dyDescent="0.35">
      <c r="A5637" s="40">
        <v>43623</v>
      </c>
      <c r="B5637" s="38">
        <v>-10</v>
      </c>
      <c r="C5637" s="13" t="s">
        <v>45</v>
      </c>
      <c r="D5637" s="36">
        <v>1647.64</v>
      </c>
      <c r="E5637" s="43" t="s">
        <v>3596</v>
      </c>
    </row>
    <row r="5638" spans="1:5" x14ac:dyDescent="0.35">
      <c r="A5638" s="40">
        <v>43623</v>
      </c>
      <c r="B5638" s="38">
        <v>-9</v>
      </c>
      <c r="C5638" s="13" t="s">
        <v>44</v>
      </c>
      <c r="D5638" s="36">
        <v>1638.64</v>
      </c>
      <c r="E5638" s="43" t="s">
        <v>3596</v>
      </c>
    </row>
    <row r="5639" spans="1:5" x14ac:dyDescent="0.35">
      <c r="A5639" s="40">
        <v>43622</v>
      </c>
      <c r="B5639" s="38">
        <v>-7.31</v>
      </c>
      <c r="C5639" s="13" t="s">
        <v>4</v>
      </c>
      <c r="D5639" s="36">
        <v>1703.04</v>
      </c>
      <c r="E5639" s="43" t="s">
        <v>3596</v>
      </c>
    </row>
    <row r="5640" spans="1:5" x14ac:dyDescent="0.35">
      <c r="A5640" s="40">
        <v>43622</v>
      </c>
      <c r="B5640" s="38">
        <v>-40.47</v>
      </c>
      <c r="C5640" s="13" t="s">
        <v>47</v>
      </c>
      <c r="D5640" s="36">
        <v>1710.35</v>
      </c>
      <c r="E5640" s="43" t="s">
        <v>3596</v>
      </c>
    </row>
    <row r="5641" spans="1:5" x14ac:dyDescent="0.35">
      <c r="A5641" s="40">
        <v>43622</v>
      </c>
      <c r="B5641" s="38">
        <v>-25.2</v>
      </c>
      <c r="C5641" s="13" t="s">
        <v>48</v>
      </c>
      <c r="D5641" s="36">
        <v>1750.82</v>
      </c>
      <c r="E5641" s="43" t="s">
        <v>3596</v>
      </c>
    </row>
    <row r="5642" spans="1:5" x14ac:dyDescent="0.35">
      <c r="A5642" s="40">
        <v>43622</v>
      </c>
      <c r="B5642" s="38">
        <v>-45.4</v>
      </c>
      <c r="C5642" s="13" t="s">
        <v>46</v>
      </c>
      <c r="D5642" s="36">
        <v>1657.64</v>
      </c>
      <c r="E5642" s="43" t="s">
        <v>3596</v>
      </c>
    </row>
    <row r="5643" spans="1:5" x14ac:dyDescent="0.35">
      <c r="A5643" s="40">
        <v>43621</v>
      </c>
      <c r="B5643" s="38">
        <v>-2.14</v>
      </c>
      <c r="C5643" s="13" t="s">
        <v>4</v>
      </c>
      <c r="D5643" s="36">
        <v>607.04</v>
      </c>
      <c r="E5643" s="43" t="s">
        <v>3596</v>
      </c>
    </row>
    <row r="5644" spans="1:5" x14ac:dyDescent="0.35">
      <c r="A5644" s="40">
        <v>43621</v>
      </c>
      <c r="B5644" s="38">
        <v>-52.7</v>
      </c>
      <c r="C5644" s="13" t="s">
        <v>52</v>
      </c>
      <c r="D5644" s="36">
        <v>935.31</v>
      </c>
      <c r="E5644" s="43" t="s">
        <v>3596</v>
      </c>
    </row>
    <row r="5645" spans="1:5" x14ac:dyDescent="0.35">
      <c r="A5645" s="40">
        <v>43621</v>
      </c>
      <c r="B5645" s="38">
        <v>-14</v>
      </c>
      <c r="C5645" s="13" t="s">
        <v>53</v>
      </c>
      <c r="D5645" s="36">
        <v>988.01</v>
      </c>
      <c r="E5645" s="43" t="s">
        <v>3596</v>
      </c>
    </row>
    <row r="5646" spans="1:5" x14ac:dyDescent="0.35">
      <c r="A5646" s="40">
        <v>43621</v>
      </c>
      <c r="B5646" s="38">
        <v>1182.25</v>
      </c>
      <c r="C5646" s="13" t="s">
        <v>10</v>
      </c>
      <c r="D5646" s="36">
        <v>1776.02</v>
      </c>
      <c r="E5646" s="43" t="s">
        <v>3596</v>
      </c>
    </row>
    <row r="5647" spans="1:5" x14ac:dyDescent="0.35">
      <c r="A5647" s="40">
        <v>43621</v>
      </c>
      <c r="B5647" s="38">
        <v>4.95</v>
      </c>
      <c r="C5647" s="13" t="s">
        <v>55</v>
      </c>
      <c r="D5647" s="36">
        <v>1015.31</v>
      </c>
      <c r="E5647" s="43" t="s">
        <v>3596</v>
      </c>
    </row>
    <row r="5648" spans="1:5" x14ac:dyDescent="0.35">
      <c r="A5648" s="40">
        <v>43621</v>
      </c>
      <c r="B5648" s="38">
        <v>-13.27</v>
      </c>
      <c r="C5648" s="13" t="s">
        <v>1</v>
      </c>
      <c r="D5648" s="36">
        <v>593.77</v>
      </c>
      <c r="E5648" s="43" t="s">
        <v>3596</v>
      </c>
    </row>
    <row r="5649" spans="1:5" x14ac:dyDescent="0.35">
      <c r="A5649" s="40">
        <v>43621</v>
      </c>
      <c r="B5649" s="38">
        <v>-249</v>
      </c>
      <c r="C5649" s="13" t="s">
        <v>51</v>
      </c>
      <c r="D5649" s="36">
        <v>686.31</v>
      </c>
      <c r="E5649" s="43" t="s">
        <v>3596</v>
      </c>
    </row>
    <row r="5650" spans="1:5" x14ac:dyDescent="0.35">
      <c r="A5650" s="40">
        <v>43621</v>
      </c>
      <c r="B5650" s="38">
        <v>-70.63</v>
      </c>
      <c r="C5650" s="13" t="s">
        <v>49</v>
      </c>
      <c r="D5650" s="36">
        <v>609.17999999999995</v>
      </c>
      <c r="E5650" s="43" t="s">
        <v>3596</v>
      </c>
    </row>
    <row r="5651" spans="1:5" x14ac:dyDescent="0.35">
      <c r="A5651" s="40">
        <v>43621</v>
      </c>
      <c r="B5651" s="38">
        <v>-13.3</v>
      </c>
      <c r="C5651" s="13" t="s">
        <v>54</v>
      </c>
      <c r="D5651" s="36">
        <v>1002.01</v>
      </c>
      <c r="E5651" s="43" t="s">
        <v>3596</v>
      </c>
    </row>
    <row r="5652" spans="1:5" x14ac:dyDescent="0.35">
      <c r="A5652" s="40">
        <v>43621</v>
      </c>
      <c r="B5652" s="38">
        <v>-6.5</v>
      </c>
      <c r="C5652" s="13" t="s">
        <v>50</v>
      </c>
      <c r="D5652" s="36">
        <v>679.81</v>
      </c>
      <c r="E5652" s="43" t="s">
        <v>3596</v>
      </c>
    </row>
    <row r="5653" spans="1:5" x14ac:dyDescent="0.35">
      <c r="A5653" s="40">
        <v>43620</v>
      </c>
      <c r="B5653" s="38">
        <v>-3.45</v>
      </c>
      <c r="C5653" s="13" t="s">
        <v>4</v>
      </c>
      <c r="D5653" s="36">
        <v>1010.36</v>
      </c>
      <c r="E5653" s="43" t="s">
        <v>3596</v>
      </c>
    </row>
    <row r="5654" spans="1:5" x14ac:dyDescent="0.35">
      <c r="A5654" s="40">
        <v>43620</v>
      </c>
      <c r="B5654" s="38">
        <v>-50</v>
      </c>
      <c r="C5654" s="13" t="s">
        <v>20</v>
      </c>
      <c r="D5654" s="36">
        <v>1013.81</v>
      </c>
      <c r="E5654" s="43" t="s">
        <v>3596</v>
      </c>
    </row>
    <row r="5655" spans="1:5" x14ac:dyDescent="0.35">
      <c r="A5655" s="40">
        <v>43620</v>
      </c>
      <c r="B5655" s="38">
        <v>-12.25</v>
      </c>
      <c r="C5655" s="13" t="s">
        <v>56</v>
      </c>
      <c r="D5655" s="36">
        <v>1063.81</v>
      </c>
      <c r="E5655" s="43" t="s">
        <v>3596</v>
      </c>
    </row>
    <row r="5656" spans="1:5" x14ac:dyDescent="0.35">
      <c r="A5656" s="40">
        <v>43620</v>
      </c>
      <c r="B5656" s="38">
        <v>-10</v>
      </c>
      <c r="C5656" s="13" t="s">
        <v>58</v>
      </c>
      <c r="D5656" s="36">
        <v>1386.06</v>
      </c>
      <c r="E5656" s="43" t="s">
        <v>3596</v>
      </c>
    </row>
    <row r="5657" spans="1:5" x14ac:dyDescent="0.35">
      <c r="A5657" s="40">
        <v>43620</v>
      </c>
      <c r="B5657" s="38">
        <v>-310</v>
      </c>
      <c r="C5657" s="13" t="s">
        <v>57</v>
      </c>
      <c r="D5657" s="36">
        <v>1076.06</v>
      </c>
      <c r="E5657" s="43" t="s">
        <v>3596</v>
      </c>
    </row>
    <row r="5658" spans="1:5" x14ac:dyDescent="0.35">
      <c r="A5658" s="40">
        <v>43619</v>
      </c>
      <c r="B5658" s="38">
        <v>-3.14</v>
      </c>
      <c r="C5658" s="13" t="s">
        <v>4</v>
      </c>
      <c r="D5658" s="36">
        <v>1665.7</v>
      </c>
      <c r="E5658" s="43" t="s">
        <v>3596</v>
      </c>
    </row>
    <row r="5659" spans="1:5" x14ac:dyDescent="0.35">
      <c r="A5659" s="40">
        <v>43619</v>
      </c>
      <c r="B5659" s="38">
        <v>-67</v>
      </c>
      <c r="C5659" s="13" t="s">
        <v>947</v>
      </c>
      <c r="D5659" s="36">
        <v>1396.06</v>
      </c>
      <c r="E5659" s="43" t="s">
        <v>3596</v>
      </c>
    </row>
    <row r="5660" spans="1:5" x14ac:dyDescent="0.35">
      <c r="A5660" s="40">
        <v>43619</v>
      </c>
      <c r="B5660" s="38">
        <v>-172.3</v>
      </c>
      <c r="C5660" s="13" t="s">
        <v>59</v>
      </c>
      <c r="D5660" s="36">
        <v>1463.06</v>
      </c>
      <c r="E5660" s="43" t="s">
        <v>3596</v>
      </c>
    </row>
    <row r="5661" spans="1:5" x14ac:dyDescent="0.35">
      <c r="A5661" s="40">
        <v>43619</v>
      </c>
      <c r="B5661" s="38">
        <v>-30.34</v>
      </c>
      <c r="C5661" s="13" t="s">
        <v>1287</v>
      </c>
      <c r="D5661" s="36">
        <v>1635.36</v>
      </c>
      <c r="E5661" s="43" t="s">
        <v>3596</v>
      </c>
    </row>
    <row r="5662" spans="1:5" x14ac:dyDescent="0.35">
      <c r="A5662" s="40">
        <v>43617</v>
      </c>
      <c r="B5662" s="38">
        <v>-600</v>
      </c>
      <c r="C5662" s="13" t="s">
        <v>1714</v>
      </c>
      <c r="D5662" s="36">
        <v>168.84</v>
      </c>
      <c r="E5662" s="43" t="s">
        <v>3596</v>
      </c>
    </row>
    <row r="5663" spans="1:5" x14ac:dyDescent="0.35">
      <c r="A5663" s="40">
        <v>43617</v>
      </c>
      <c r="B5663" s="38">
        <v>-515</v>
      </c>
      <c r="C5663" s="13" t="s">
        <v>949</v>
      </c>
      <c r="D5663" s="36">
        <v>775.74</v>
      </c>
      <c r="E5663" s="43" t="s">
        <v>3596</v>
      </c>
    </row>
    <row r="5664" spans="1:5" x14ac:dyDescent="0.35">
      <c r="A5664" s="40">
        <v>43617</v>
      </c>
      <c r="B5664" s="38">
        <v>-2.72</v>
      </c>
      <c r="C5664" s="13" t="s">
        <v>62</v>
      </c>
      <c r="D5664" s="36">
        <v>1399.74</v>
      </c>
      <c r="E5664" s="43" t="s">
        <v>3596</v>
      </c>
    </row>
    <row r="5665" spans="1:5" x14ac:dyDescent="0.35">
      <c r="A5665" s="40">
        <v>43617</v>
      </c>
      <c r="B5665" s="38">
        <v>-6.9</v>
      </c>
      <c r="C5665" s="13" t="s">
        <v>60</v>
      </c>
      <c r="D5665" s="36">
        <v>768.84</v>
      </c>
      <c r="E5665" s="43" t="s">
        <v>3596</v>
      </c>
    </row>
    <row r="5666" spans="1:5" x14ac:dyDescent="0.35">
      <c r="A5666" s="40">
        <v>43617</v>
      </c>
      <c r="B5666" s="38">
        <v>-100</v>
      </c>
      <c r="C5666" s="13" t="s">
        <v>946</v>
      </c>
      <c r="D5666" s="36">
        <v>1290.74</v>
      </c>
      <c r="E5666" s="43" t="s">
        <v>3596</v>
      </c>
    </row>
    <row r="5667" spans="1:5" x14ac:dyDescent="0.35">
      <c r="A5667" s="40">
        <v>43617</v>
      </c>
      <c r="B5667" s="38">
        <v>1500</v>
      </c>
      <c r="C5667" s="13" t="s">
        <v>956</v>
      </c>
      <c r="D5667" s="36">
        <v>1668.84</v>
      </c>
      <c r="E5667" s="43" t="s">
        <v>3596</v>
      </c>
    </row>
    <row r="5668" spans="1:5" x14ac:dyDescent="0.35">
      <c r="A5668" s="40">
        <v>43617</v>
      </c>
      <c r="B5668" s="38">
        <v>-9</v>
      </c>
      <c r="C5668" s="13" t="s">
        <v>61</v>
      </c>
      <c r="D5668" s="36">
        <v>1390.74</v>
      </c>
      <c r="E5668" s="43" t="s">
        <v>3596</v>
      </c>
    </row>
    <row r="5669" spans="1:5" x14ac:dyDescent="0.35">
      <c r="A5669" s="40">
        <v>43616</v>
      </c>
      <c r="B5669" s="38">
        <v>-2.14</v>
      </c>
      <c r="C5669" s="13" t="s">
        <v>4</v>
      </c>
      <c r="D5669" s="36">
        <v>1402.46</v>
      </c>
      <c r="E5669" s="43" t="s">
        <v>3596</v>
      </c>
    </row>
    <row r="5670" spans="1:5" x14ac:dyDescent="0.35">
      <c r="A5670" s="40">
        <v>43616</v>
      </c>
      <c r="B5670" s="38">
        <v>-500</v>
      </c>
      <c r="C5670" s="13" t="s">
        <v>945</v>
      </c>
      <c r="D5670" s="36">
        <v>1500.34</v>
      </c>
      <c r="E5670" s="43" t="s">
        <v>3596</v>
      </c>
    </row>
    <row r="5671" spans="1:5" x14ac:dyDescent="0.35">
      <c r="A5671" s="40">
        <v>43616</v>
      </c>
      <c r="B5671" s="38">
        <v>-95.74</v>
      </c>
      <c r="C5671" s="13" t="s">
        <v>63</v>
      </c>
      <c r="D5671" s="36">
        <v>1404.6</v>
      </c>
      <c r="E5671" s="43" t="s">
        <v>3596</v>
      </c>
    </row>
    <row r="5672" spans="1:5" x14ac:dyDescent="0.35">
      <c r="A5672" s="40">
        <v>43615</v>
      </c>
      <c r="B5672" s="38">
        <v>-1.67</v>
      </c>
      <c r="C5672" s="13" t="s">
        <v>4</v>
      </c>
      <c r="D5672" s="36">
        <v>2038.42</v>
      </c>
      <c r="E5672" s="43" t="s">
        <v>3596</v>
      </c>
    </row>
    <row r="5673" spans="1:5" x14ac:dyDescent="0.35">
      <c r="A5673" s="40">
        <v>43615</v>
      </c>
      <c r="B5673" s="38">
        <v>-16.18</v>
      </c>
      <c r="C5673" s="13" t="s">
        <v>66</v>
      </c>
      <c r="D5673" s="36">
        <v>2045.59</v>
      </c>
      <c r="E5673" s="43" t="s">
        <v>3596</v>
      </c>
    </row>
    <row r="5674" spans="1:5" x14ac:dyDescent="0.35">
      <c r="A5674" s="40">
        <v>43615</v>
      </c>
      <c r="B5674" s="38">
        <v>-38.08</v>
      </c>
      <c r="C5674" s="13" t="s">
        <v>64</v>
      </c>
      <c r="D5674" s="36">
        <v>2000.34</v>
      </c>
      <c r="E5674" s="43" t="s">
        <v>3596</v>
      </c>
    </row>
    <row r="5675" spans="1:5" x14ac:dyDescent="0.35">
      <c r="A5675" s="40">
        <v>43615</v>
      </c>
      <c r="B5675" s="38">
        <v>-5.5</v>
      </c>
      <c r="C5675" s="13" t="s">
        <v>65</v>
      </c>
      <c r="D5675" s="36">
        <v>2040.09</v>
      </c>
      <c r="E5675" s="43" t="s">
        <v>3596</v>
      </c>
    </row>
    <row r="5676" spans="1:5" x14ac:dyDescent="0.35">
      <c r="A5676" s="40">
        <v>43615</v>
      </c>
      <c r="B5676" s="38">
        <v>-22.73</v>
      </c>
      <c r="C5676" s="13" t="s">
        <v>69</v>
      </c>
      <c r="D5676" s="36">
        <v>2112.27</v>
      </c>
      <c r="E5676" s="43" t="s">
        <v>3596</v>
      </c>
    </row>
    <row r="5677" spans="1:5" x14ac:dyDescent="0.35">
      <c r="A5677" s="40">
        <v>43615</v>
      </c>
      <c r="B5677" s="38">
        <v>-28.28</v>
      </c>
      <c r="C5677" s="13" t="s">
        <v>68</v>
      </c>
      <c r="D5677" s="36">
        <v>2083.9899999999998</v>
      </c>
      <c r="E5677" s="43" t="s">
        <v>3596</v>
      </c>
    </row>
    <row r="5678" spans="1:5" x14ac:dyDescent="0.35">
      <c r="A5678" s="40">
        <v>43615</v>
      </c>
      <c r="B5678" s="38">
        <v>-22.22</v>
      </c>
      <c r="C5678" s="13" t="s">
        <v>67</v>
      </c>
      <c r="D5678" s="36">
        <v>2061.77</v>
      </c>
      <c r="E5678" s="43" t="s">
        <v>3596</v>
      </c>
    </row>
    <row r="5679" spans="1:5" x14ac:dyDescent="0.35">
      <c r="A5679" s="40">
        <v>43614</v>
      </c>
      <c r="B5679" s="38">
        <v>-1.92</v>
      </c>
      <c r="C5679" s="13" t="s">
        <v>4</v>
      </c>
      <c r="D5679" s="36">
        <v>1021.55</v>
      </c>
      <c r="E5679" s="43" t="s">
        <v>3596</v>
      </c>
    </row>
    <row r="5680" spans="1:5" x14ac:dyDescent="0.35">
      <c r="A5680" s="40">
        <v>43614</v>
      </c>
      <c r="B5680" s="38">
        <v>-30</v>
      </c>
      <c r="C5680" s="13" t="s">
        <v>78</v>
      </c>
      <c r="D5680" s="36">
        <v>1117.96</v>
      </c>
      <c r="E5680" s="43" t="s">
        <v>3596</v>
      </c>
    </row>
    <row r="5681" spans="1:5" x14ac:dyDescent="0.35">
      <c r="A5681" s="40">
        <v>43614</v>
      </c>
      <c r="B5681" s="38">
        <v>-12.11</v>
      </c>
      <c r="C5681" s="13" t="s">
        <v>75</v>
      </c>
      <c r="D5681" s="36">
        <v>1070.97</v>
      </c>
      <c r="E5681" s="43" t="s">
        <v>3596</v>
      </c>
    </row>
    <row r="5682" spans="1:5" x14ac:dyDescent="0.35">
      <c r="A5682" s="40">
        <v>43614</v>
      </c>
      <c r="B5682" s="38">
        <v>-27</v>
      </c>
      <c r="C5682" s="13" t="s">
        <v>76</v>
      </c>
      <c r="D5682" s="36">
        <v>1083.08</v>
      </c>
      <c r="E5682" s="43" t="s">
        <v>3596</v>
      </c>
    </row>
    <row r="5683" spans="1:5" x14ac:dyDescent="0.35">
      <c r="A5683" s="40">
        <v>43614</v>
      </c>
      <c r="B5683" s="38">
        <v>-21.63</v>
      </c>
      <c r="C5683" s="13" t="s">
        <v>79</v>
      </c>
      <c r="D5683" s="36">
        <v>1147.96</v>
      </c>
      <c r="E5683" s="43" t="s">
        <v>3596</v>
      </c>
    </row>
    <row r="5684" spans="1:5" x14ac:dyDescent="0.35">
      <c r="A5684" s="40">
        <v>43614</v>
      </c>
      <c r="B5684" s="38">
        <v>-7.88</v>
      </c>
      <c r="C5684" s="13" t="s">
        <v>77</v>
      </c>
      <c r="D5684" s="36">
        <v>1110.08</v>
      </c>
      <c r="E5684" s="43" t="s">
        <v>3596</v>
      </c>
    </row>
    <row r="5685" spans="1:5" x14ac:dyDescent="0.35">
      <c r="A5685" s="40">
        <v>43614</v>
      </c>
      <c r="B5685" s="38">
        <v>1182.25</v>
      </c>
      <c r="C5685" s="13" t="s">
        <v>10</v>
      </c>
      <c r="D5685" s="36">
        <v>2135</v>
      </c>
      <c r="E5685" s="43" t="s">
        <v>3596</v>
      </c>
    </row>
    <row r="5686" spans="1:5" x14ac:dyDescent="0.35">
      <c r="A5686" s="40">
        <v>43614</v>
      </c>
      <c r="B5686" s="38">
        <v>-20</v>
      </c>
      <c r="C5686" s="13" t="s">
        <v>73</v>
      </c>
      <c r="D5686" s="36">
        <v>1041.97</v>
      </c>
      <c r="E5686" s="43" t="s">
        <v>3596</v>
      </c>
    </row>
    <row r="5687" spans="1:5" x14ac:dyDescent="0.35">
      <c r="A5687" s="40">
        <v>43614</v>
      </c>
      <c r="B5687" s="38">
        <v>-68.8</v>
      </c>
      <c r="C5687" s="13" t="s">
        <v>70</v>
      </c>
      <c r="D5687" s="36">
        <v>952.75</v>
      </c>
      <c r="E5687" s="43" t="s">
        <v>3596</v>
      </c>
    </row>
    <row r="5688" spans="1:5" x14ac:dyDescent="0.35">
      <c r="A5688" s="40">
        <v>43614</v>
      </c>
      <c r="B5688" s="38">
        <v>-9</v>
      </c>
      <c r="C5688" s="13" t="s">
        <v>72</v>
      </c>
      <c r="D5688" s="36">
        <v>1032.97</v>
      </c>
      <c r="E5688" s="43" t="s">
        <v>3596</v>
      </c>
    </row>
    <row r="5689" spans="1:5" x14ac:dyDescent="0.35">
      <c r="A5689" s="40">
        <v>43614</v>
      </c>
      <c r="B5689" s="38">
        <v>-9.5</v>
      </c>
      <c r="C5689" s="13" t="s">
        <v>71</v>
      </c>
      <c r="D5689" s="36">
        <v>1023.47</v>
      </c>
      <c r="E5689" s="43" t="s">
        <v>3596</v>
      </c>
    </row>
    <row r="5690" spans="1:5" x14ac:dyDescent="0.35">
      <c r="A5690" s="40">
        <v>43614</v>
      </c>
      <c r="B5690" s="38">
        <v>-9</v>
      </c>
      <c r="C5690" s="13" t="s">
        <v>74</v>
      </c>
      <c r="D5690" s="36">
        <v>1061.97</v>
      </c>
      <c r="E5690" s="43" t="s">
        <v>3596</v>
      </c>
    </row>
    <row r="5691" spans="1:5" x14ac:dyDescent="0.35">
      <c r="A5691" s="40">
        <v>43613</v>
      </c>
      <c r="B5691" s="38">
        <v>-7.76</v>
      </c>
      <c r="C5691" s="13" t="s">
        <v>4</v>
      </c>
      <c r="D5691" s="36">
        <v>1169.5899999999999</v>
      </c>
      <c r="E5691" s="43" t="s">
        <v>3596</v>
      </c>
    </row>
    <row r="5692" spans="1:5" x14ac:dyDescent="0.35">
      <c r="A5692" s="40">
        <v>43613</v>
      </c>
      <c r="B5692" s="38">
        <v>-7.14</v>
      </c>
      <c r="C5692" s="13" t="s">
        <v>80</v>
      </c>
      <c r="D5692" s="36">
        <v>1177.3499999999999</v>
      </c>
      <c r="E5692" s="43" t="s">
        <v>3596</v>
      </c>
    </row>
    <row r="5693" spans="1:5" x14ac:dyDescent="0.35">
      <c r="A5693" s="40">
        <v>43612</v>
      </c>
      <c r="B5693" s="38">
        <v>-1.1399999999999999</v>
      </c>
      <c r="C5693" s="13" t="s">
        <v>4</v>
      </c>
      <c r="D5693" s="36">
        <v>1197.3499999999999</v>
      </c>
      <c r="E5693" s="43" t="s">
        <v>3596</v>
      </c>
    </row>
    <row r="5694" spans="1:5" x14ac:dyDescent="0.35">
      <c r="A5694" s="40">
        <v>43612</v>
      </c>
      <c r="B5694" s="38">
        <v>-12.86</v>
      </c>
      <c r="C5694" s="13" t="s">
        <v>81</v>
      </c>
      <c r="D5694" s="36">
        <v>1184.49</v>
      </c>
      <c r="E5694" s="43" t="s">
        <v>3596</v>
      </c>
    </row>
    <row r="5695" spans="1:5" x14ac:dyDescent="0.35">
      <c r="A5695" s="40">
        <v>43611</v>
      </c>
      <c r="B5695" s="38">
        <v>-5.0599999999999996</v>
      </c>
      <c r="C5695" s="13" t="s">
        <v>82</v>
      </c>
      <c r="D5695" s="36">
        <v>1198.49</v>
      </c>
      <c r="E5695" s="43" t="s">
        <v>3596</v>
      </c>
    </row>
    <row r="5696" spans="1:5" x14ac:dyDescent="0.35">
      <c r="A5696" s="40">
        <v>43610</v>
      </c>
      <c r="B5696" s="38">
        <v>-11</v>
      </c>
      <c r="C5696" s="13" t="s">
        <v>3626</v>
      </c>
      <c r="D5696" s="36">
        <v>1970.6</v>
      </c>
      <c r="E5696" s="43" t="s">
        <v>3596</v>
      </c>
    </row>
    <row r="5697" spans="1:5" x14ac:dyDescent="0.35">
      <c r="A5697" s="40">
        <v>43610</v>
      </c>
      <c r="B5697" s="38">
        <v>-50</v>
      </c>
      <c r="C5697" s="13" t="s">
        <v>1715</v>
      </c>
      <c r="D5697" s="36">
        <v>1222.55</v>
      </c>
      <c r="E5697" s="43" t="s">
        <v>3596</v>
      </c>
    </row>
    <row r="5698" spans="1:5" x14ac:dyDescent="0.35">
      <c r="A5698" s="40">
        <v>43610</v>
      </c>
      <c r="B5698" s="38">
        <v>-50</v>
      </c>
      <c r="C5698" s="13" t="s">
        <v>1714</v>
      </c>
      <c r="D5698" s="36">
        <v>1272.55</v>
      </c>
      <c r="E5698" s="43" t="s">
        <v>3596</v>
      </c>
    </row>
    <row r="5699" spans="1:5" x14ac:dyDescent="0.35">
      <c r="A5699" s="40">
        <v>43610</v>
      </c>
      <c r="B5699" s="38">
        <v>-19</v>
      </c>
      <c r="C5699" s="13" t="s">
        <v>83</v>
      </c>
      <c r="D5699" s="36">
        <v>1203.55</v>
      </c>
      <c r="E5699" s="43" t="s">
        <v>3596</v>
      </c>
    </row>
    <row r="5700" spans="1:5" x14ac:dyDescent="0.35">
      <c r="A5700" s="40">
        <v>43610</v>
      </c>
      <c r="B5700" s="38">
        <v>-515</v>
      </c>
      <c r="C5700" s="13" t="s">
        <v>949</v>
      </c>
      <c r="D5700" s="36">
        <v>1322.55</v>
      </c>
      <c r="E5700" s="43" t="s">
        <v>3596</v>
      </c>
    </row>
    <row r="5701" spans="1:5" x14ac:dyDescent="0.35">
      <c r="A5701" s="40">
        <v>43610</v>
      </c>
      <c r="B5701" s="38">
        <v>-100</v>
      </c>
      <c r="C5701" s="13" t="s">
        <v>946</v>
      </c>
      <c r="D5701" s="36">
        <v>1837.55</v>
      </c>
      <c r="E5701" s="43" t="s">
        <v>3596</v>
      </c>
    </row>
    <row r="5702" spans="1:5" x14ac:dyDescent="0.35">
      <c r="A5702" s="40">
        <v>43610</v>
      </c>
      <c r="B5702" s="38">
        <v>-9</v>
      </c>
      <c r="C5702" s="13" t="s">
        <v>85</v>
      </c>
      <c r="D5702" s="36">
        <v>1961.6</v>
      </c>
      <c r="E5702" s="43" t="s">
        <v>3596</v>
      </c>
    </row>
    <row r="5703" spans="1:5" x14ac:dyDescent="0.35">
      <c r="A5703" s="40">
        <v>43610</v>
      </c>
      <c r="B5703" s="38">
        <v>-24.05</v>
      </c>
      <c r="C5703" s="13" t="s">
        <v>84</v>
      </c>
      <c r="D5703" s="36">
        <v>1937.55</v>
      </c>
      <c r="E5703" s="43" t="s">
        <v>3596</v>
      </c>
    </row>
    <row r="5704" spans="1:5" x14ac:dyDescent="0.35">
      <c r="A5704" s="40">
        <v>43609</v>
      </c>
      <c r="B5704" s="38">
        <v>-1.59</v>
      </c>
      <c r="C5704" s="13" t="s">
        <v>4</v>
      </c>
      <c r="D5704" s="36">
        <v>2084.1</v>
      </c>
      <c r="E5704" s="43" t="s">
        <v>3596</v>
      </c>
    </row>
    <row r="5705" spans="1:5" x14ac:dyDescent="0.35">
      <c r="A5705" s="40">
        <v>43609</v>
      </c>
      <c r="B5705" s="38">
        <v>-50</v>
      </c>
      <c r="C5705" s="13" t="s">
        <v>1716</v>
      </c>
      <c r="D5705" s="36">
        <v>1984.1</v>
      </c>
      <c r="E5705" s="43" t="s">
        <v>3596</v>
      </c>
    </row>
    <row r="5706" spans="1:5" x14ac:dyDescent="0.35">
      <c r="A5706" s="40">
        <v>43609</v>
      </c>
      <c r="B5706" s="38">
        <v>-50</v>
      </c>
      <c r="C5706" s="13" t="s">
        <v>20</v>
      </c>
      <c r="D5706" s="36">
        <v>2034.1</v>
      </c>
      <c r="E5706" s="43" t="s">
        <v>3596</v>
      </c>
    </row>
    <row r="5707" spans="1:5" x14ac:dyDescent="0.35">
      <c r="A5707" s="40">
        <v>43609</v>
      </c>
      <c r="B5707" s="38">
        <v>-2.5</v>
      </c>
      <c r="C5707" s="13" t="s">
        <v>24</v>
      </c>
      <c r="D5707" s="36">
        <v>1981.6</v>
      </c>
      <c r="E5707" s="43" t="s">
        <v>3596</v>
      </c>
    </row>
    <row r="5708" spans="1:5" x14ac:dyDescent="0.35">
      <c r="A5708" s="40">
        <v>43609</v>
      </c>
      <c r="B5708" s="38">
        <v>-14.47</v>
      </c>
      <c r="C5708" s="13" t="s">
        <v>86</v>
      </c>
      <c r="D5708" s="36">
        <v>2085.69</v>
      </c>
      <c r="E5708" s="43" t="s">
        <v>3596</v>
      </c>
    </row>
    <row r="5709" spans="1:5" x14ac:dyDescent="0.35">
      <c r="A5709" s="40">
        <v>43608</v>
      </c>
      <c r="B5709" s="38">
        <v>-1.36</v>
      </c>
      <c r="C5709" s="13" t="s">
        <v>4</v>
      </c>
      <c r="D5709" s="36">
        <v>2145.56</v>
      </c>
      <c r="E5709" s="43" t="s">
        <v>3596</v>
      </c>
    </row>
    <row r="5710" spans="1:5" x14ac:dyDescent="0.35">
      <c r="A5710" s="40">
        <v>43608</v>
      </c>
      <c r="B5710" s="38">
        <v>-22.43</v>
      </c>
      <c r="C5710" s="13" t="s">
        <v>90</v>
      </c>
      <c r="D5710" s="36">
        <v>2189.62</v>
      </c>
      <c r="E5710" s="43" t="s">
        <v>3596</v>
      </c>
    </row>
    <row r="5711" spans="1:5" x14ac:dyDescent="0.35">
      <c r="A5711" s="40">
        <v>43608</v>
      </c>
      <c r="B5711" s="38">
        <v>-33.700000000000003</v>
      </c>
      <c r="C5711" s="13" t="s">
        <v>89</v>
      </c>
      <c r="D5711" s="36">
        <v>2155.92</v>
      </c>
      <c r="E5711" s="43" t="s">
        <v>3596</v>
      </c>
    </row>
    <row r="5712" spans="1:5" x14ac:dyDescent="0.35">
      <c r="A5712" s="40">
        <v>43608</v>
      </c>
      <c r="B5712" s="38">
        <v>-45.4</v>
      </c>
      <c r="C5712" s="13" t="s">
        <v>87</v>
      </c>
      <c r="D5712" s="36">
        <v>2100.16</v>
      </c>
      <c r="E5712" s="43" t="s">
        <v>3596</v>
      </c>
    </row>
    <row r="5713" spans="1:5" x14ac:dyDescent="0.35">
      <c r="A5713" s="40">
        <v>43608</v>
      </c>
      <c r="B5713" s="38">
        <v>-9</v>
      </c>
      <c r="C5713" s="13" t="s">
        <v>88</v>
      </c>
      <c r="D5713" s="36">
        <v>2146.92</v>
      </c>
      <c r="E5713" s="43" t="s">
        <v>3596</v>
      </c>
    </row>
    <row r="5714" spans="1:5" x14ac:dyDescent="0.35">
      <c r="A5714" s="40">
        <v>43607</v>
      </c>
      <c r="B5714" s="38">
        <v>-1.39</v>
      </c>
      <c r="C5714" s="13" t="s">
        <v>92</v>
      </c>
      <c r="D5714" s="36">
        <v>931.8</v>
      </c>
      <c r="E5714" s="43" t="s">
        <v>3596</v>
      </c>
    </row>
    <row r="5715" spans="1:5" x14ac:dyDescent="0.35">
      <c r="A5715" s="40">
        <v>43607</v>
      </c>
      <c r="B5715" s="38">
        <v>1182.25</v>
      </c>
      <c r="C5715" s="13" t="s">
        <v>10</v>
      </c>
      <c r="D5715" s="36">
        <v>2212.0500000000002</v>
      </c>
      <c r="E5715" s="43" t="s">
        <v>3596</v>
      </c>
    </row>
    <row r="5716" spans="1:5" x14ac:dyDescent="0.35">
      <c r="A5716" s="40">
        <v>43607</v>
      </c>
      <c r="B5716" s="38">
        <v>-9.99</v>
      </c>
      <c r="C5716" s="13" t="s">
        <v>95</v>
      </c>
      <c r="D5716" s="36">
        <v>987.18</v>
      </c>
      <c r="E5716" s="43" t="s">
        <v>3596</v>
      </c>
    </row>
    <row r="5717" spans="1:5" x14ac:dyDescent="0.35">
      <c r="A5717" s="40">
        <v>43607</v>
      </c>
      <c r="B5717" s="38">
        <v>-2</v>
      </c>
      <c r="C5717" s="13" t="s">
        <v>91</v>
      </c>
      <c r="D5717" s="36">
        <v>1029.8</v>
      </c>
      <c r="E5717" s="43" t="s">
        <v>3596</v>
      </c>
    </row>
    <row r="5718" spans="1:5" x14ac:dyDescent="0.35">
      <c r="A5718" s="40">
        <v>43607</v>
      </c>
      <c r="B5718" s="38">
        <v>-44.99</v>
      </c>
      <c r="C5718" s="13" t="s">
        <v>93</v>
      </c>
      <c r="D5718" s="36">
        <v>933.19</v>
      </c>
      <c r="E5718" s="43" t="s">
        <v>3596</v>
      </c>
    </row>
    <row r="5719" spans="1:5" x14ac:dyDescent="0.35">
      <c r="A5719" s="40">
        <v>43607</v>
      </c>
      <c r="B5719" s="38">
        <v>100</v>
      </c>
      <c r="C5719" s="13" t="s">
        <v>35</v>
      </c>
      <c r="D5719" s="36">
        <v>1031.8</v>
      </c>
      <c r="E5719" s="43" t="s">
        <v>3596</v>
      </c>
    </row>
    <row r="5720" spans="1:5" x14ac:dyDescent="0.35">
      <c r="A5720" s="40">
        <v>43607</v>
      </c>
      <c r="B5720" s="38">
        <v>-9</v>
      </c>
      <c r="C5720" s="13" t="s">
        <v>94</v>
      </c>
      <c r="D5720" s="36">
        <v>978.18</v>
      </c>
      <c r="E5720" s="43" t="s">
        <v>3596</v>
      </c>
    </row>
    <row r="5721" spans="1:5" x14ac:dyDescent="0.35">
      <c r="A5721" s="40">
        <v>43606</v>
      </c>
      <c r="B5721" s="38">
        <v>-7.53</v>
      </c>
      <c r="C5721" s="13" t="s">
        <v>4</v>
      </c>
      <c r="D5721" s="36">
        <v>997.17</v>
      </c>
      <c r="E5721" s="43" t="s">
        <v>3596</v>
      </c>
    </row>
    <row r="5722" spans="1:5" x14ac:dyDescent="0.35">
      <c r="A5722" s="40">
        <v>43606</v>
      </c>
      <c r="B5722" s="38">
        <v>-12.6</v>
      </c>
      <c r="C5722" s="13" t="s">
        <v>97</v>
      </c>
      <c r="D5722" s="36">
        <v>1013.7</v>
      </c>
      <c r="E5722" s="43" t="s">
        <v>3596</v>
      </c>
    </row>
    <row r="5723" spans="1:5" x14ac:dyDescent="0.35">
      <c r="A5723" s="40">
        <v>43606</v>
      </c>
      <c r="B5723" s="38">
        <v>-41.37</v>
      </c>
      <c r="C5723" s="13" t="s">
        <v>98</v>
      </c>
      <c r="D5723" s="36">
        <v>1026.3</v>
      </c>
      <c r="E5723" s="43" t="s">
        <v>3596</v>
      </c>
    </row>
    <row r="5724" spans="1:5" x14ac:dyDescent="0.35">
      <c r="A5724" s="40">
        <v>43606</v>
      </c>
      <c r="B5724" s="38">
        <v>-8.4700000000000006</v>
      </c>
      <c r="C5724" s="13" t="s">
        <v>99</v>
      </c>
      <c r="D5724" s="36">
        <v>1067.67</v>
      </c>
      <c r="E5724" s="43" t="s">
        <v>3596</v>
      </c>
    </row>
    <row r="5725" spans="1:5" x14ac:dyDescent="0.35">
      <c r="A5725" s="40">
        <v>43606</v>
      </c>
      <c r="B5725" s="38">
        <v>-9</v>
      </c>
      <c r="C5725" s="13" t="s">
        <v>96</v>
      </c>
      <c r="D5725" s="36">
        <v>1004.7</v>
      </c>
      <c r="E5725" s="43" t="s">
        <v>3596</v>
      </c>
    </row>
    <row r="5726" spans="1:5" x14ac:dyDescent="0.35">
      <c r="A5726" s="40">
        <v>43605</v>
      </c>
      <c r="B5726" s="38">
        <v>-8.25</v>
      </c>
      <c r="C5726" s="13" t="s">
        <v>4</v>
      </c>
      <c r="D5726" s="36">
        <v>1087.5899999999999</v>
      </c>
      <c r="E5726" s="43" t="s">
        <v>3596</v>
      </c>
    </row>
    <row r="5727" spans="1:5" x14ac:dyDescent="0.35">
      <c r="A5727" s="40">
        <v>43605</v>
      </c>
      <c r="B5727" s="38">
        <v>-11.45</v>
      </c>
      <c r="C5727" s="13" t="s">
        <v>91</v>
      </c>
      <c r="D5727" s="36">
        <v>1076.1400000000001</v>
      </c>
      <c r="E5727" s="43" t="s">
        <v>3596</v>
      </c>
    </row>
    <row r="5728" spans="1:5" x14ac:dyDescent="0.35">
      <c r="A5728" s="40">
        <v>43604</v>
      </c>
      <c r="B5728" s="38">
        <v>-7.4</v>
      </c>
      <c r="C5728" s="13" t="s">
        <v>100</v>
      </c>
      <c r="D5728" s="36">
        <v>1095.8399999999999</v>
      </c>
      <c r="E5728" s="43" t="s">
        <v>3596</v>
      </c>
    </row>
    <row r="5729" spans="1:5" x14ac:dyDescent="0.35">
      <c r="A5729" s="40">
        <v>43604</v>
      </c>
      <c r="B5729" s="38">
        <v>-7.4</v>
      </c>
      <c r="C5729" s="13" t="s">
        <v>100</v>
      </c>
      <c r="D5729" s="36">
        <v>1103.24</v>
      </c>
      <c r="E5729" s="43" t="s">
        <v>3596</v>
      </c>
    </row>
    <row r="5730" spans="1:5" x14ac:dyDescent="0.35">
      <c r="A5730" s="40">
        <v>43604</v>
      </c>
      <c r="B5730" s="38">
        <v>-1.79</v>
      </c>
      <c r="C5730" s="13" t="s">
        <v>91</v>
      </c>
      <c r="D5730" s="36">
        <v>1110.6400000000001</v>
      </c>
      <c r="E5730" s="43" t="s">
        <v>3596</v>
      </c>
    </row>
    <row r="5731" spans="1:5" x14ac:dyDescent="0.35">
      <c r="A5731" s="40">
        <v>43603</v>
      </c>
      <c r="B5731" s="38">
        <v>-515</v>
      </c>
      <c r="C5731" s="13" t="s">
        <v>949</v>
      </c>
      <c r="D5731" s="36">
        <v>1372.96</v>
      </c>
      <c r="E5731" s="43" t="s">
        <v>3596</v>
      </c>
    </row>
    <row r="5732" spans="1:5" x14ac:dyDescent="0.35">
      <c r="A5732" s="40">
        <v>43603</v>
      </c>
      <c r="B5732" s="38">
        <v>-17.52</v>
      </c>
      <c r="C5732" s="13" t="s">
        <v>104</v>
      </c>
      <c r="D5732" s="36">
        <v>1355.44</v>
      </c>
      <c r="E5732" s="43" t="s">
        <v>3596</v>
      </c>
    </row>
    <row r="5733" spans="1:5" x14ac:dyDescent="0.35">
      <c r="A5733" s="40">
        <v>43603</v>
      </c>
      <c r="B5733" s="38">
        <v>-32</v>
      </c>
      <c r="C5733" s="13" t="s">
        <v>101</v>
      </c>
      <c r="D5733" s="36">
        <v>1112.43</v>
      </c>
      <c r="E5733" s="43" t="s">
        <v>3596</v>
      </c>
    </row>
    <row r="5734" spans="1:5" x14ac:dyDescent="0.35">
      <c r="A5734" s="40">
        <v>43603</v>
      </c>
      <c r="B5734" s="38">
        <v>-7.5</v>
      </c>
      <c r="C5734" s="13" t="s">
        <v>102</v>
      </c>
      <c r="D5734" s="36">
        <v>1144.43</v>
      </c>
      <c r="E5734" s="43" t="s">
        <v>3596</v>
      </c>
    </row>
    <row r="5735" spans="1:5" x14ac:dyDescent="0.35">
      <c r="A5735" s="40">
        <v>43603</v>
      </c>
      <c r="B5735" s="38">
        <v>-100</v>
      </c>
      <c r="C5735" s="13" t="s">
        <v>946</v>
      </c>
      <c r="D5735" s="36">
        <v>1887.96</v>
      </c>
      <c r="E5735" s="43" t="s">
        <v>3596</v>
      </c>
    </row>
    <row r="5736" spans="1:5" x14ac:dyDescent="0.35">
      <c r="A5736" s="40">
        <v>43603</v>
      </c>
      <c r="B5736" s="38">
        <v>-203.51</v>
      </c>
      <c r="C5736" s="13" t="s">
        <v>103</v>
      </c>
      <c r="D5736" s="36">
        <v>1151.93</v>
      </c>
      <c r="E5736" s="43" t="s">
        <v>3596</v>
      </c>
    </row>
    <row r="5737" spans="1:5" x14ac:dyDescent="0.35">
      <c r="A5737" s="40">
        <v>43602</v>
      </c>
      <c r="B5737" s="38">
        <v>-7.04</v>
      </c>
      <c r="C5737" s="13" t="s">
        <v>4</v>
      </c>
      <c r="D5737" s="36">
        <v>2005.63</v>
      </c>
      <c r="E5737" s="43" t="s">
        <v>3596</v>
      </c>
    </row>
    <row r="5738" spans="1:5" x14ac:dyDescent="0.35">
      <c r="A5738" s="40">
        <v>43602</v>
      </c>
      <c r="B5738" s="38">
        <v>-9.9</v>
      </c>
      <c r="C5738" s="13" t="s">
        <v>108</v>
      </c>
      <c r="D5738" s="36">
        <v>2035.3</v>
      </c>
      <c r="E5738" s="43" t="s">
        <v>3596</v>
      </c>
    </row>
    <row r="5739" spans="1:5" x14ac:dyDescent="0.35">
      <c r="A5739" s="40">
        <v>43602</v>
      </c>
      <c r="B5739" s="38">
        <v>-12.3</v>
      </c>
      <c r="C5739" s="13" t="s">
        <v>107</v>
      </c>
      <c r="D5739" s="36">
        <v>2023</v>
      </c>
      <c r="E5739" s="43" t="s">
        <v>3596</v>
      </c>
    </row>
    <row r="5740" spans="1:5" x14ac:dyDescent="0.35">
      <c r="A5740" s="40">
        <v>43602</v>
      </c>
      <c r="B5740" s="38">
        <v>-17.670000000000002</v>
      </c>
      <c r="C5740" s="13" t="s">
        <v>91</v>
      </c>
      <c r="D5740" s="36">
        <v>1987.96</v>
      </c>
      <c r="E5740" s="43" t="s">
        <v>3596</v>
      </c>
    </row>
    <row r="5741" spans="1:5" x14ac:dyDescent="0.35">
      <c r="A5741" s="40">
        <v>43602</v>
      </c>
      <c r="B5741" s="38">
        <v>-1.33</v>
      </c>
      <c r="C5741" s="13" t="s">
        <v>105</v>
      </c>
      <c r="D5741" s="36">
        <v>2012.67</v>
      </c>
      <c r="E5741" s="43" t="s">
        <v>3596</v>
      </c>
    </row>
    <row r="5742" spans="1:5" x14ac:dyDescent="0.35">
      <c r="A5742" s="40">
        <v>43602</v>
      </c>
      <c r="B5742" s="38">
        <v>-9</v>
      </c>
      <c r="C5742" s="13" t="s">
        <v>106</v>
      </c>
      <c r="D5742" s="36">
        <v>2014</v>
      </c>
      <c r="E5742" s="43" t="s">
        <v>3596</v>
      </c>
    </row>
    <row r="5743" spans="1:5" x14ac:dyDescent="0.35">
      <c r="A5743" s="40">
        <v>43601</v>
      </c>
      <c r="B5743" s="38">
        <v>-10.35</v>
      </c>
      <c r="C5743" s="13" t="s">
        <v>3627</v>
      </c>
      <c r="D5743" s="36">
        <v>1802.2</v>
      </c>
      <c r="E5743" s="43" t="s">
        <v>3596</v>
      </c>
    </row>
    <row r="5744" spans="1:5" x14ac:dyDescent="0.35">
      <c r="A5744" s="40">
        <v>43601</v>
      </c>
      <c r="B5744" s="38">
        <v>-7</v>
      </c>
      <c r="C5744" s="13" t="s">
        <v>4</v>
      </c>
      <c r="D5744" s="36">
        <v>2045.2</v>
      </c>
      <c r="E5744" s="43" t="s">
        <v>3596</v>
      </c>
    </row>
    <row r="5745" spans="1:5" x14ac:dyDescent="0.35">
      <c r="A5745" s="40">
        <v>43601</v>
      </c>
      <c r="B5745" s="38">
        <v>-9.9</v>
      </c>
      <c r="C5745" s="13" t="s">
        <v>109</v>
      </c>
      <c r="D5745" s="36">
        <v>1812.55</v>
      </c>
      <c r="E5745" s="43" t="s">
        <v>3596</v>
      </c>
    </row>
    <row r="5746" spans="1:5" x14ac:dyDescent="0.35">
      <c r="A5746" s="40">
        <v>43601</v>
      </c>
      <c r="B5746" s="38">
        <v>250</v>
      </c>
      <c r="C5746" s="13" t="s">
        <v>1683</v>
      </c>
      <c r="D5746" s="36">
        <v>2052.1999999999998</v>
      </c>
      <c r="E5746" s="43" t="s">
        <v>3596</v>
      </c>
    </row>
    <row r="5747" spans="1:5" x14ac:dyDescent="0.35">
      <c r="A5747" s="40">
        <v>43600</v>
      </c>
      <c r="B5747" s="38">
        <v>-7</v>
      </c>
      <c r="C5747" s="13" t="s">
        <v>4</v>
      </c>
      <c r="D5747" s="36">
        <v>677.87</v>
      </c>
      <c r="E5747" s="43" t="s">
        <v>3596</v>
      </c>
    </row>
    <row r="5748" spans="1:5" x14ac:dyDescent="0.35">
      <c r="A5748" s="40">
        <v>43600</v>
      </c>
      <c r="B5748" s="38">
        <v>-32.9</v>
      </c>
      <c r="C5748" s="13" t="s">
        <v>112</v>
      </c>
      <c r="D5748" s="36">
        <v>690.87</v>
      </c>
      <c r="E5748" s="43" t="s">
        <v>3596</v>
      </c>
    </row>
    <row r="5749" spans="1:5" x14ac:dyDescent="0.35">
      <c r="A5749" s="40">
        <v>43600</v>
      </c>
      <c r="B5749" s="38">
        <v>-25.5</v>
      </c>
      <c r="C5749" s="13" t="s">
        <v>113</v>
      </c>
      <c r="D5749" s="36">
        <v>723.77</v>
      </c>
      <c r="E5749" s="43" t="s">
        <v>3596</v>
      </c>
    </row>
    <row r="5750" spans="1:5" x14ac:dyDescent="0.35">
      <c r="A5750" s="40">
        <v>43600</v>
      </c>
      <c r="B5750" s="38">
        <v>-3</v>
      </c>
      <c r="C5750" s="13" t="s">
        <v>111</v>
      </c>
      <c r="D5750" s="36">
        <v>687.87</v>
      </c>
      <c r="E5750" s="43" t="s">
        <v>3596</v>
      </c>
    </row>
    <row r="5751" spans="1:5" x14ac:dyDescent="0.35">
      <c r="A5751" s="40">
        <v>43600</v>
      </c>
      <c r="B5751" s="38">
        <v>1148.57</v>
      </c>
      <c r="C5751" s="13" t="s">
        <v>10</v>
      </c>
      <c r="D5751" s="36">
        <v>1822.45</v>
      </c>
      <c r="E5751" s="43" t="s">
        <v>3596</v>
      </c>
    </row>
    <row r="5752" spans="1:5" x14ac:dyDescent="0.35">
      <c r="A5752" s="40">
        <v>43600</v>
      </c>
      <c r="B5752" s="38">
        <v>-3.99</v>
      </c>
      <c r="C5752" s="13" t="s">
        <v>91</v>
      </c>
      <c r="D5752" s="36">
        <v>673.88</v>
      </c>
      <c r="E5752" s="43" t="s">
        <v>3596</v>
      </c>
    </row>
    <row r="5753" spans="1:5" x14ac:dyDescent="0.35">
      <c r="A5753" s="40">
        <v>43600</v>
      </c>
      <c r="B5753" s="38">
        <v>-3</v>
      </c>
      <c r="C5753" s="13" t="s">
        <v>110</v>
      </c>
      <c r="D5753" s="36">
        <v>684.87</v>
      </c>
      <c r="E5753" s="43" t="s">
        <v>3596</v>
      </c>
    </row>
    <row r="5754" spans="1:5" x14ac:dyDescent="0.35">
      <c r="A5754" s="40">
        <v>43599</v>
      </c>
      <c r="B5754" s="38">
        <v>-7</v>
      </c>
      <c r="C5754" s="13" t="s">
        <v>4</v>
      </c>
      <c r="D5754" s="36">
        <v>799.27</v>
      </c>
      <c r="E5754" s="43" t="s">
        <v>3596</v>
      </c>
    </row>
    <row r="5755" spans="1:5" x14ac:dyDescent="0.35">
      <c r="A5755" s="40">
        <v>43599</v>
      </c>
      <c r="B5755" s="38">
        <v>-50</v>
      </c>
      <c r="C5755" s="13" t="s">
        <v>20</v>
      </c>
      <c r="D5755" s="36">
        <v>749.27</v>
      </c>
      <c r="E5755" s="43" t="s">
        <v>3596</v>
      </c>
    </row>
    <row r="5756" spans="1:5" x14ac:dyDescent="0.35">
      <c r="A5756" s="40">
        <v>43599</v>
      </c>
      <c r="B5756" s="38">
        <v>-8.9</v>
      </c>
      <c r="C5756" s="13" t="s">
        <v>115</v>
      </c>
      <c r="D5756" s="36">
        <v>1038.8800000000001</v>
      </c>
      <c r="E5756" s="43" t="s">
        <v>3596</v>
      </c>
    </row>
    <row r="5757" spans="1:5" x14ac:dyDescent="0.35">
      <c r="A5757" s="40">
        <v>43599</v>
      </c>
      <c r="B5757" s="38">
        <v>-232.61</v>
      </c>
      <c r="C5757" s="13" t="s">
        <v>114</v>
      </c>
      <c r="D5757" s="36">
        <v>806.27</v>
      </c>
      <c r="E5757" s="43" t="s">
        <v>3596</v>
      </c>
    </row>
    <row r="5758" spans="1:5" x14ac:dyDescent="0.35">
      <c r="A5758" s="40">
        <v>43598</v>
      </c>
      <c r="B5758" s="38">
        <v>-7</v>
      </c>
      <c r="C5758" s="13" t="s">
        <v>4</v>
      </c>
      <c r="D5758" s="36">
        <v>1121.78</v>
      </c>
      <c r="E5758" s="43" t="s">
        <v>3596</v>
      </c>
    </row>
    <row r="5759" spans="1:5" x14ac:dyDescent="0.35">
      <c r="A5759" s="40">
        <v>43598</v>
      </c>
      <c r="B5759" s="38">
        <v>-74</v>
      </c>
      <c r="C5759" s="13" t="s">
        <v>37</v>
      </c>
      <c r="D5759" s="36">
        <v>1047.78</v>
      </c>
      <c r="E5759" s="43" t="s">
        <v>3596</v>
      </c>
    </row>
    <row r="5760" spans="1:5" x14ac:dyDescent="0.35">
      <c r="A5760" s="40">
        <v>43597</v>
      </c>
      <c r="B5760" s="38">
        <v>-15</v>
      </c>
      <c r="C5760" s="13" t="s">
        <v>102</v>
      </c>
      <c r="D5760" s="36">
        <v>1128.78</v>
      </c>
      <c r="E5760" s="43" t="s">
        <v>3596</v>
      </c>
    </row>
    <row r="5761" spans="1:5" x14ac:dyDescent="0.35">
      <c r="A5761" s="40">
        <v>43596</v>
      </c>
      <c r="B5761" s="38">
        <v>-629</v>
      </c>
      <c r="C5761" s="13" t="s">
        <v>1286</v>
      </c>
      <c r="D5761" s="36">
        <v>272.77999999999997</v>
      </c>
      <c r="E5761" s="43" t="s">
        <v>3596</v>
      </c>
    </row>
    <row r="5762" spans="1:5" x14ac:dyDescent="0.35">
      <c r="A5762" s="40">
        <v>43596</v>
      </c>
      <c r="B5762" s="38">
        <v>-29</v>
      </c>
      <c r="C5762" s="13" t="s">
        <v>116</v>
      </c>
      <c r="D5762" s="36">
        <v>1143.78</v>
      </c>
      <c r="E5762" s="43" t="s">
        <v>3596</v>
      </c>
    </row>
    <row r="5763" spans="1:5" x14ac:dyDescent="0.35">
      <c r="A5763" s="40">
        <v>43596</v>
      </c>
      <c r="B5763" s="38">
        <v>-515</v>
      </c>
      <c r="C5763" s="13" t="s">
        <v>949</v>
      </c>
      <c r="D5763" s="36">
        <v>1053.57</v>
      </c>
      <c r="E5763" s="43" t="s">
        <v>3596</v>
      </c>
    </row>
    <row r="5764" spans="1:5" x14ac:dyDescent="0.35">
      <c r="A5764" s="40">
        <v>43596</v>
      </c>
      <c r="B5764" s="38">
        <v>-25.29</v>
      </c>
      <c r="C5764" s="13" t="s">
        <v>121</v>
      </c>
      <c r="D5764" s="36">
        <v>1028.28</v>
      </c>
      <c r="E5764" s="43" t="s">
        <v>3596</v>
      </c>
    </row>
    <row r="5765" spans="1:5" x14ac:dyDescent="0.35">
      <c r="A5765" s="40">
        <v>43596</v>
      </c>
      <c r="B5765" s="38">
        <v>-15</v>
      </c>
      <c r="C5765" s="13" t="s">
        <v>119</v>
      </c>
      <c r="D5765" s="36">
        <v>998.28</v>
      </c>
      <c r="E5765" s="43" t="s">
        <v>3596</v>
      </c>
    </row>
    <row r="5766" spans="1:5" x14ac:dyDescent="0.35">
      <c r="A5766" s="40">
        <v>43596</v>
      </c>
      <c r="B5766" s="38">
        <v>-15</v>
      </c>
      <c r="C5766" s="13" t="s">
        <v>120</v>
      </c>
      <c r="D5766" s="36">
        <v>1013.28</v>
      </c>
      <c r="E5766" s="43" t="s">
        <v>3596</v>
      </c>
    </row>
    <row r="5767" spans="1:5" x14ac:dyDescent="0.35">
      <c r="A5767" s="40">
        <v>43596</v>
      </c>
      <c r="B5767" s="38">
        <v>-21.5</v>
      </c>
      <c r="C5767" s="13" t="s">
        <v>102</v>
      </c>
      <c r="D5767" s="36">
        <v>901.78</v>
      </c>
      <c r="E5767" s="43" t="s">
        <v>3596</v>
      </c>
    </row>
    <row r="5768" spans="1:5" x14ac:dyDescent="0.35">
      <c r="A5768" s="40">
        <v>43596</v>
      </c>
      <c r="B5768" s="38">
        <v>-100</v>
      </c>
      <c r="C5768" s="13" t="s">
        <v>946</v>
      </c>
      <c r="D5768" s="36">
        <v>1568.57</v>
      </c>
      <c r="E5768" s="43" t="s">
        <v>3596</v>
      </c>
    </row>
    <row r="5769" spans="1:5" x14ac:dyDescent="0.35">
      <c r="A5769" s="40">
        <v>43596</v>
      </c>
      <c r="B5769" s="38">
        <v>900</v>
      </c>
      <c r="C5769" s="13" t="s">
        <v>956</v>
      </c>
      <c r="D5769" s="36">
        <v>1172.78</v>
      </c>
      <c r="E5769" s="43" t="s">
        <v>3596</v>
      </c>
    </row>
    <row r="5770" spans="1:5" x14ac:dyDescent="0.35">
      <c r="A5770" s="40">
        <v>43596</v>
      </c>
      <c r="B5770" s="38">
        <v>-50</v>
      </c>
      <c r="C5770" s="13" t="s">
        <v>117</v>
      </c>
      <c r="D5770" s="36">
        <v>923.28</v>
      </c>
      <c r="E5770" s="43" t="s">
        <v>3596</v>
      </c>
    </row>
    <row r="5771" spans="1:5" x14ac:dyDescent="0.35">
      <c r="A5771" s="40">
        <v>43596</v>
      </c>
      <c r="B5771" s="38">
        <v>-25</v>
      </c>
      <c r="C5771" s="13" t="s">
        <v>118</v>
      </c>
      <c r="D5771" s="36">
        <v>973.28</v>
      </c>
      <c r="E5771" s="43" t="s">
        <v>3596</v>
      </c>
    </row>
    <row r="5772" spans="1:5" x14ac:dyDescent="0.35">
      <c r="A5772" s="40">
        <v>43595</v>
      </c>
      <c r="B5772" s="38">
        <v>-7</v>
      </c>
      <c r="C5772" s="13" t="s">
        <v>4</v>
      </c>
      <c r="D5772" s="36">
        <v>1942.05</v>
      </c>
      <c r="E5772" s="43" t="s">
        <v>3596</v>
      </c>
    </row>
    <row r="5773" spans="1:5" x14ac:dyDescent="0.35">
      <c r="A5773" s="40">
        <v>43595</v>
      </c>
      <c r="B5773" s="38">
        <v>-50</v>
      </c>
      <c r="C5773" s="13" t="s">
        <v>1717</v>
      </c>
      <c r="D5773" s="36">
        <v>1707.37</v>
      </c>
      <c r="E5773" s="43" t="s">
        <v>3596</v>
      </c>
    </row>
    <row r="5774" spans="1:5" x14ac:dyDescent="0.35">
      <c r="A5774" s="40">
        <v>43595</v>
      </c>
      <c r="B5774" s="38">
        <v>-9</v>
      </c>
      <c r="C5774" s="13" t="s">
        <v>128</v>
      </c>
      <c r="D5774" s="36">
        <v>1965.01</v>
      </c>
      <c r="E5774" s="43" t="s">
        <v>3596</v>
      </c>
    </row>
    <row r="5775" spans="1:5" x14ac:dyDescent="0.35">
      <c r="A5775" s="40">
        <v>43595</v>
      </c>
      <c r="B5775" s="38">
        <v>-6.98</v>
      </c>
      <c r="C5775" s="13" t="s">
        <v>126</v>
      </c>
      <c r="D5775" s="36">
        <v>1949.05</v>
      </c>
      <c r="E5775" s="43" t="s">
        <v>3596</v>
      </c>
    </row>
    <row r="5776" spans="1:5" x14ac:dyDescent="0.35">
      <c r="A5776" s="40">
        <v>43595</v>
      </c>
      <c r="B5776" s="38">
        <v>-153.68</v>
      </c>
      <c r="C5776" s="13" t="s">
        <v>124</v>
      </c>
      <c r="D5776" s="36">
        <v>1762.37</v>
      </c>
      <c r="E5776" s="43" t="s">
        <v>3596</v>
      </c>
    </row>
    <row r="5777" spans="1:5" x14ac:dyDescent="0.35">
      <c r="A5777" s="40">
        <v>43595</v>
      </c>
      <c r="B5777" s="38">
        <v>-2.5</v>
      </c>
      <c r="C5777" s="13" t="s">
        <v>24</v>
      </c>
      <c r="D5777" s="36">
        <v>1704.87</v>
      </c>
      <c r="E5777" s="43" t="s">
        <v>3596</v>
      </c>
    </row>
    <row r="5778" spans="1:5" x14ac:dyDescent="0.35">
      <c r="A5778" s="40">
        <v>43595</v>
      </c>
      <c r="B5778" s="38">
        <v>-6.3</v>
      </c>
      <c r="C5778" s="13" t="s">
        <v>122</v>
      </c>
      <c r="D5778" s="36">
        <v>1668.57</v>
      </c>
      <c r="E5778" s="43" t="s">
        <v>3596</v>
      </c>
    </row>
    <row r="5779" spans="1:5" x14ac:dyDescent="0.35">
      <c r="A5779" s="40">
        <v>43595</v>
      </c>
      <c r="B5779" s="38">
        <v>-7.9</v>
      </c>
      <c r="C5779" s="13" t="s">
        <v>122</v>
      </c>
      <c r="D5779" s="36">
        <v>1674.87</v>
      </c>
      <c r="E5779" s="43" t="s">
        <v>3596</v>
      </c>
    </row>
    <row r="5780" spans="1:5" x14ac:dyDescent="0.35">
      <c r="A5780" s="40">
        <v>43595</v>
      </c>
      <c r="B5780" s="38">
        <v>-22.1</v>
      </c>
      <c r="C5780" s="13" t="s">
        <v>122</v>
      </c>
      <c r="D5780" s="36">
        <v>1682.77</v>
      </c>
      <c r="E5780" s="43" t="s">
        <v>3596</v>
      </c>
    </row>
    <row r="5781" spans="1:5" x14ac:dyDescent="0.35">
      <c r="A5781" s="40">
        <v>43595</v>
      </c>
      <c r="B5781" s="38">
        <v>-5</v>
      </c>
      <c r="C5781" s="13" t="s">
        <v>123</v>
      </c>
      <c r="D5781" s="36">
        <v>1757.37</v>
      </c>
      <c r="E5781" s="43" t="s">
        <v>3596</v>
      </c>
    </row>
    <row r="5782" spans="1:5" x14ac:dyDescent="0.35">
      <c r="A5782" s="40">
        <v>43595</v>
      </c>
      <c r="B5782" s="38">
        <v>-8.98</v>
      </c>
      <c r="C5782" s="13" t="s">
        <v>127</v>
      </c>
      <c r="D5782" s="36">
        <v>1956.03</v>
      </c>
      <c r="E5782" s="43" t="s">
        <v>3596</v>
      </c>
    </row>
    <row r="5783" spans="1:5" x14ac:dyDescent="0.35">
      <c r="A5783" s="40">
        <v>43595</v>
      </c>
      <c r="B5783" s="38">
        <v>-20.8</v>
      </c>
      <c r="C5783" s="13" t="s">
        <v>125</v>
      </c>
      <c r="D5783" s="36">
        <v>1916.05</v>
      </c>
      <c r="E5783" s="43" t="s">
        <v>3596</v>
      </c>
    </row>
    <row r="5784" spans="1:5" x14ac:dyDescent="0.35">
      <c r="A5784" s="40">
        <v>43595</v>
      </c>
      <c r="B5784" s="38">
        <v>-5.2</v>
      </c>
      <c r="C5784" s="13" t="s">
        <v>125</v>
      </c>
      <c r="D5784" s="36">
        <v>1936.85</v>
      </c>
      <c r="E5784" s="43" t="s">
        <v>3596</v>
      </c>
    </row>
    <row r="5785" spans="1:5" x14ac:dyDescent="0.35">
      <c r="A5785" s="40">
        <v>43594</v>
      </c>
      <c r="B5785" s="38">
        <v>-10.35</v>
      </c>
      <c r="C5785" s="13" t="s">
        <v>3628</v>
      </c>
      <c r="D5785" s="36">
        <v>2071.31</v>
      </c>
      <c r="E5785" s="43" t="s">
        <v>3596</v>
      </c>
    </row>
    <row r="5786" spans="1:5" x14ac:dyDescent="0.35">
      <c r="A5786" s="40">
        <v>43594</v>
      </c>
      <c r="B5786" s="38">
        <v>-11.4</v>
      </c>
      <c r="C5786" s="13" t="s">
        <v>132</v>
      </c>
      <c r="D5786" s="36">
        <v>2059.91</v>
      </c>
      <c r="E5786" s="43" t="s">
        <v>3596</v>
      </c>
    </row>
    <row r="5787" spans="1:5" x14ac:dyDescent="0.35">
      <c r="A5787" s="40">
        <v>43594</v>
      </c>
      <c r="B5787" s="38">
        <v>-7.5</v>
      </c>
      <c r="C5787" s="13" t="s">
        <v>102</v>
      </c>
      <c r="D5787" s="36">
        <v>2019.41</v>
      </c>
      <c r="E5787" s="43" t="s">
        <v>3596</v>
      </c>
    </row>
    <row r="5788" spans="1:5" x14ac:dyDescent="0.35">
      <c r="A5788" s="40">
        <v>43594</v>
      </c>
      <c r="B5788" s="38">
        <v>-45.4</v>
      </c>
      <c r="C5788" s="13" t="s">
        <v>129</v>
      </c>
      <c r="D5788" s="36">
        <v>1974.01</v>
      </c>
      <c r="E5788" s="43" t="s">
        <v>3596</v>
      </c>
    </row>
    <row r="5789" spans="1:5" x14ac:dyDescent="0.35">
      <c r="A5789" s="40">
        <v>43594</v>
      </c>
      <c r="B5789" s="38">
        <v>-12.5</v>
      </c>
      <c r="C5789" s="13" t="s">
        <v>130</v>
      </c>
      <c r="D5789" s="36">
        <v>2026.91</v>
      </c>
      <c r="E5789" s="43" t="s">
        <v>3596</v>
      </c>
    </row>
    <row r="5790" spans="1:5" x14ac:dyDescent="0.35">
      <c r="A5790" s="40">
        <v>43594</v>
      </c>
      <c r="B5790" s="38">
        <v>-20.5</v>
      </c>
      <c r="C5790" s="13" t="s">
        <v>131</v>
      </c>
      <c r="D5790" s="36">
        <v>2039.41</v>
      </c>
      <c r="E5790" s="43" t="s">
        <v>3596</v>
      </c>
    </row>
    <row r="5791" spans="1:5" x14ac:dyDescent="0.35">
      <c r="A5791" s="40">
        <v>43593</v>
      </c>
      <c r="B5791" s="38">
        <v>1182.25</v>
      </c>
      <c r="C5791" s="13" t="s">
        <v>10</v>
      </c>
      <c r="D5791" s="36">
        <v>2081.66</v>
      </c>
      <c r="E5791" s="43" t="s">
        <v>3596</v>
      </c>
    </row>
    <row r="5792" spans="1:5" x14ac:dyDescent="0.35">
      <c r="A5792" s="40">
        <v>43593</v>
      </c>
      <c r="B5792" s="38">
        <v>-4.08</v>
      </c>
      <c r="C5792" s="13" t="s">
        <v>133</v>
      </c>
      <c r="D5792" s="36">
        <v>899.41</v>
      </c>
      <c r="E5792" s="43" t="s">
        <v>3596</v>
      </c>
    </row>
    <row r="5793" spans="1:5" x14ac:dyDescent="0.35">
      <c r="A5793" s="40">
        <v>43592</v>
      </c>
      <c r="B5793" s="38">
        <v>-7</v>
      </c>
      <c r="C5793" s="13" t="s">
        <v>4</v>
      </c>
      <c r="D5793" s="36">
        <v>926.36</v>
      </c>
      <c r="E5793" s="43" t="s">
        <v>3596</v>
      </c>
    </row>
    <row r="5794" spans="1:5" x14ac:dyDescent="0.35">
      <c r="A5794" s="40">
        <v>43592</v>
      </c>
      <c r="B5794" s="38">
        <v>-12.5</v>
      </c>
      <c r="C5794" s="13" t="s">
        <v>136</v>
      </c>
      <c r="D5794" s="36">
        <v>970</v>
      </c>
      <c r="E5794" s="43" t="s">
        <v>3596</v>
      </c>
    </row>
    <row r="5795" spans="1:5" x14ac:dyDescent="0.35">
      <c r="A5795" s="40">
        <v>43592</v>
      </c>
      <c r="B5795" s="38">
        <v>-27.84</v>
      </c>
      <c r="C5795" s="13" t="s">
        <v>135</v>
      </c>
      <c r="D5795" s="36">
        <v>942.16</v>
      </c>
      <c r="E5795" s="43" t="s">
        <v>3596</v>
      </c>
    </row>
    <row r="5796" spans="1:5" x14ac:dyDescent="0.35">
      <c r="A5796" s="40">
        <v>43592</v>
      </c>
      <c r="B5796" s="38">
        <v>-16.940000000000001</v>
      </c>
      <c r="C5796" s="13" t="s">
        <v>137</v>
      </c>
      <c r="D5796" s="36">
        <v>982.5</v>
      </c>
      <c r="E5796" s="43" t="s">
        <v>3596</v>
      </c>
    </row>
    <row r="5797" spans="1:5" x14ac:dyDescent="0.35">
      <c r="A5797" s="40">
        <v>43592</v>
      </c>
      <c r="B5797" s="38">
        <v>-22.87</v>
      </c>
      <c r="C5797" s="13" t="s">
        <v>91</v>
      </c>
      <c r="D5797" s="36">
        <v>903.49</v>
      </c>
      <c r="E5797" s="43" t="s">
        <v>3596</v>
      </c>
    </row>
    <row r="5798" spans="1:5" x14ac:dyDescent="0.35">
      <c r="A5798" s="40">
        <v>43592</v>
      </c>
      <c r="B5798" s="38">
        <v>-8.8000000000000007</v>
      </c>
      <c r="C5798" s="13" t="s">
        <v>134</v>
      </c>
      <c r="D5798" s="36">
        <v>933.36</v>
      </c>
      <c r="E5798" s="43" t="s">
        <v>3596</v>
      </c>
    </row>
    <row r="5799" spans="1:5" x14ac:dyDescent="0.35">
      <c r="A5799" s="40">
        <v>43591</v>
      </c>
      <c r="B5799" s="38">
        <v>-8.1</v>
      </c>
      <c r="C5799" s="13" t="s">
        <v>4</v>
      </c>
      <c r="D5799" s="36">
        <v>1010.22</v>
      </c>
      <c r="E5799" s="43" t="s">
        <v>3596</v>
      </c>
    </row>
    <row r="5800" spans="1:5" x14ac:dyDescent="0.35">
      <c r="A5800" s="40">
        <v>43591</v>
      </c>
      <c r="B5800" s="38">
        <v>-10.78</v>
      </c>
      <c r="C5800" s="13" t="s">
        <v>91</v>
      </c>
      <c r="D5800" s="36">
        <v>999.44</v>
      </c>
      <c r="E5800" s="43" t="s">
        <v>3596</v>
      </c>
    </row>
    <row r="5801" spans="1:5" x14ac:dyDescent="0.35">
      <c r="A5801" s="40">
        <v>43589</v>
      </c>
      <c r="B5801" s="38">
        <v>-515</v>
      </c>
      <c r="C5801" s="13" t="s">
        <v>949</v>
      </c>
      <c r="D5801" s="36">
        <v>1018.32</v>
      </c>
      <c r="E5801" s="43" t="s">
        <v>3596</v>
      </c>
    </row>
    <row r="5802" spans="1:5" x14ac:dyDescent="0.35">
      <c r="A5802" s="40">
        <v>43589</v>
      </c>
      <c r="B5802" s="38">
        <v>-100</v>
      </c>
      <c r="C5802" s="13" t="s">
        <v>946</v>
      </c>
      <c r="D5802" s="36">
        <v>1533.32</v>
      </c>
      <c r="E5802" s="43" t="s">
        <v>3596</v>
      </c>
    </row>
    <row r="5803" spans="1:5" x14ac:dyDescent="0.35">
      <c r="A5803" s="40">
        <v>43588</v>
      </c>
      <c r="B5803" s="38">
        <v>-7.77</v>
      </c>
      <c r="C5803" s="13" t="s">
        <v>4</v>
      </c>
      <c r="D5803" s="36">
        <v>1633.32</v>
      </c>
      <c r="E5803" s="43" t="s">
        <v>3596</v>
      </c>
    </row>
    <row r="5804" spans="1:5" x14ac:dyDescent="0.35">
      <c r="A5804" s="40">
        <v>43588</v>
      </c>
      <c r="B5804" s="38">
        <v>-11</v>
      </c>
      <c r="C5804" s="13" t="s">
        <v>139</v>
      </c>
      <c r="D5804" s="36">
        <v>1701.09</v>
      </c>
      <c r="E5804" s="43" t="s">
        <v>3596</v>
      </c>
    </row>
    <row r="5805" spans="1:5" x14ac:dyDescent="0.35">
      <c r="A5805" s="40">
        <v>43588</v>
      </c>
      <c r="B5805" s="38">
        <v>-60</v>
      </c>
      <c r="C5805" s="13" t="s">
        <v>138</v>
      </c>
      <c r="D5805" s="36">
        <v>1641.09</v>
      </c>
      <c r="E5805" s="43" t="s">
        <v>3596</v>
      </c>
    </row>
    <row r="5806" spans="1:5" x14ac:dyDescent="0.35">
      <c r="A5806" s="40">
        <v>43587</v>
      </c>
      <c r="B5806" s="38">
        <v>-6</v>
      </c>
      <c r="C5806" s="13" t="s">
        <v>4</v>
      </c>
      <c r="D5806" s="36">
        <v>1712.09</v>
      </c>
      <c r="E5806" s="43" t="s">
        <v>3596</v>
      </c>
    </row>
    <row r="5807" spans="1:5" x14ac:dyDescent="0.35">
      <c r="A5807" s="40">
        <v>43587</v>
      </c>
      <c r="B5807" s="38">
        <v>-20.95</v>
      </c>
      <c r="C5807" s="13" t="s">
        <v>142</v>
      </c>
      <c r="D5807" s="36">
        <v>1771.09</v>
      </c>
      <c r="E5807" s="43" t="s">
        <v>3596</v>
      </c>
    </row>
    <row r="5808" spans="1:5" x14ac:dyDescent="0.35">
      <c r="A5808" s="40">
        <v>43587</v>
      </c>
      <c r="B5808" s="38">
        <v>-12</v>
      </c>
      <c r="C5808" s="13" t="s">
        <v>140</v>
      </c>
      <c r="D5808" s="36">
        <v>1718.09</v>
      </c>
      <c r="E5808" s="43" t="s">
        <v>3596</v>
      </c>
    </row>
    <row r="5809" spans="1:5" x14ac:dyDescent="0.35">
      <c r="A5809" s="40">
        <v>43587</v>
      </c>
      <c r="B5809" s="38">
        <v>-41</v>
      </c>
      <c r="C5809" s="13" t="s">
        <v>141</v>
      </c>
      <c r="D5809" s="36">
        <v>1730.09</v>
      </c>
      <c r="E5809" s="43" t="s">
        <v>3596</v>
      </c>
    </row>
    <row r="5810" spans="1:5" x14ac:dyDescent="0.35">
      <c r="A5810" s="40">
        <v>43586</v>
      </c>
      <c r="B5810" s="38">
        <v>-7</v>
      </c>
      <c r="C5810" s="13" t="s">
        <v>4</v>
      </c>
      <c r="D5810" s="36">
        <v>149.99</v>
      </c>
      <c r="E5810" s="43" t="s">
        <v>3596</v>
      </c>
    </row>
    <row r="5811" spans="1:5" x14ac:dyDescent="0.35">
      <c r="A5811" s="40">
        <v>43586</v>
      </c>
      <c r="B5811" s="38">
        <v>1814.35</v>
      </c>
      <c r="C5811" s="13" t="s">
        <v>10</v>
      </c>
      <c r="D5811" s="36">
        <v>1964.34</v>
      </c>
      <c r="E5811" s="43" t="s">
        <v>3596</v>
      </c>
    </row>
    <row r="5812" spans="1:5" x14ac:dyDescent="0.35">
      <c r="A5812" s="40">
        <v>43586</v>
      </c>
      <c r="B5812" s="38">
        <v>-22.94</v>
      </c>
      <c r="C5812" s="13" t="s">
        <v>145</v>
      </c>
      <c r="D5812" s="36">
        <v>187.81</v>
      </c>
      <c r="E5812" s="43" t="s">
        <v>3596</v>
      </c>
    </row>
    <row r="5813" spans="1:5" x14ac:dyDescent="0.35">
      <c r="A5813" s="40">
        <v>43586</v>
      </c>
      <c r="B5813" s="38">
        <v>-172.3</v>
      </c>
      <c r="C5813" s="13" t="s">
        <v>143</v>
      </c>
      <c r="D5813" s="36">
        <v>1792.04</v>
      </c>
      <c r="E5813" s="43" t="s">
        <v>3596</v>
      </c>
    </row>
    <row r="5814" spans="1:5" x14ac:dyDescent="0.35">
      <c r="A5814" s="40">
        <v>43586</v>
      </c>
      <c r="B5814" s="38">
        <v>-30.82</v>
      </c>
      <c r="C5814" s="13" t="s">
        <v>144</v>
      </c>
      <c r="D5814" s="36">
        <v>156.99</v>
      </c>
      <c r="E5814" s="43" t="s">
        <v>3596</v>
      </c>
    </row>
    <row r="5815" spans="1:5" x14ac:dyDescent="0.35">
      <c r="A5815" s="40">
        <v>43585</v>
      </c>
      <c r="B5815" s="38">
        <v>-7</v>
      </c>
      <c r="C5815" s="13" t="s">
        <v>4</v>
      </c>
      <c r="D5815" s="36">
        <v>260.75</v>
      </c>
      <c r="E5815" s="43" t="s">
        <v>3596</v>
      </c>
    </row>
    <row r="5816" spans="1:5" x14ac:dyDescent="0.35">
      <c r="A5816" s="40">
        <v>43585</v>
      </c>
      <c r="B5816" s="38">
        <v>-50</v>
      </c>
      <c r="C5816" s="13" t="s">
        <v>34</v>
      </c>
      <c r="D5816" s="36">
        <v>210.75</v>
      </c>
      <c r="E5816" s="43" t="s">
        <v>3596</v>
      </c>
    </row>
    <row r="5817" spans="1:5" x14ac:dyDescent="0.35">
      <c r="A5817" s="40">
        <v>43585</v>
      </c>
      <c r="B5817" s="38">
        <v>-7.5</v>
      </c>
      <c r="C5817" s="13" t="s">
        <v>149</v>
      </c>
      <c r="D5817" s="36">
        <v>1270.08</v>
      </c>
      <c r="E5817" s="43" t="s">
        <v>3596</v>
      </c>
    </row>
    <row r="5818" spans="1:5" x14ac:dyDescent="0.35">
      <c r="A5818" s="40">
        <v>43585</v>
      </c>
      <c r="B5818" s="38">
        <v>-317.39</v>
      </c>
      <c r="C5818" s="13" t="s">
        <v>1285</v>
      </c>
      <c r="D5818" s="36">
        <v>952.69</v>
      </c>
      <c r="E5818" s="43" t="s">
        <v>3596</v>
      </c>
    </row>
    <row r="5819" spans="1:5" x14ac:dyDescent="0.35">
      <c r="A5819" s="40">
        <v>43585</v>
      </c>
      <c r="B5819" s="38">
        <v>-636.41</v>
      </c>
      <c r="C5819" s="13" t="s">
        <v>146</v>
      </c>
      <c r="D5819" s="36">
        <v>267.75</v>
      </c>
      <c r="E5819" s="43" t="s">
        <v>3596</v>
      </c>
    </row>
    <row r="5820" spans="1:5" x14ac:dyDescent="0.35">
      <c r="A5820" s="40">
        <v>43585</v>
      </c>
      <c r="B5820" s="38">
        <v>-34.630000000000003</v>
      </c>
      <c r="C5820" s="13" t="s">
        <v>148</v>
      </c>
      <c r="D5820" s="36">
        <v>918.06</v>
      </c>
      <c r="E5820" s="43" t="s">
        <v>3596</v>
      </c>
    </row>
    <row r="5821" spans="1:5" x14ac:dyDescent="0.35">
      <c r="A5821" s="40">
        <v>43585</v>
      </c>
      <c r="B5821" s="38">
        <v>-13.9</v>
      </c>
      <c r="C5821" s="13" t="s">
        <v>147</v>
      </c>
      <c r="D5821" s="36">
        <v>904.16</v>
      </c>
      <c r="E5821" s="43" t="s">
        <v>3596</v>
      </c>
    </row>
    <row r="5822" spans="1:5" x14ac:dyDescent="0.35">
      <c r="A5822" s="40">
        <v>43584</v>
      </c>
      <c r="B5822" s="38">
        <v>-7</v>
      </c>
      <c r="C5822" s="13" t="s">
        <v>4</v>
      </c>
      <c r="D5822" s="36">
        <v>1287.0999999999999</v>
      </c>
      <c r="E5822" s="43" t="s">
        <v>3596</v>
      </c>
    </row>
    <row r="5823" spans="1:5" x14ac:dyDescent="0.35">
      <c r="A5823" s="40">
        <v>43584</v>
      </c>
      <c r="B5823" s="38">
        <v>-9.52</v>
      </c>
      <c r="C5823" s="13" t="s">
        <v>91</v>
      </c>
      <c r="D5823" s="36">
        <v>1277.58</v>
      </c>
      <c r="E5823" s="43" t="s">
        <v>3596</v>
      </c>
    </row>
    <row r="5824" spans="1:5" x14ac:dyDescent="0.35">
      <c r="A5824" s="40">
        <v>43582</v>
      </c>
      <c r="B5824" s="38">
        <v>-246.5</v>
      </c>
      <c r="C5824" s="13" t="s">
        <v>150</v>
      </c>
      <c r="D5824" s="36">
        <v>1061.07</v>
      </c>
      <c r="E5824" s="43" t="s">
        <v>3596</v>
      </c>
    </row>
    <row r="5825" spans="1:5" x14ac:dyDescent="0.35">
      <c r="A5825" s="40">
        <v>43582</v>
      </c>
      <c r="B5825" s="38">
        <v>-2.7</v>
      </c>
      <c r="C5825" s="13" t="s">
        <v>155</v>
      </c>
      <c r="D5825" s="36">
        <v>1707.26</v>
      </c>
      <c r="E5825" s="43" t="s">
        <v>3596</v>
      </c>
    </row>
    <row r="5826" spans="1:5" x14ac:dyDescent="0.35">
      <c r="A5826" s="40">
        <v>43582</v>
      </c>
      <c r="B5826" s="38">
        <v>-15.4</v>
      </c>
      <c r="C5826" s="13" t="s">
        <v>155</v>
      </c>
      <c r="D5826" s="36">
        <v>1709.96</v>
      </c>
      <c r="E5826" s="43" t="s">
        <v>3596</v>
      </c>
    </row>
    <row r="5827" spans="1:5" x14ac:dyDescent="0.35">
      <c r="A5827" s="40">
        <v>43582</v>
      </c>
      <c r="B5827" s="38">
        <v>-338.35</v>
      </c>
      <c r="C5827" s="13" t="s">
        <v>151</v>
      </c>
      <c r="D5827" s="36">
        <v>1307.57</v>
      </c>
      <c r="E5827" s="43" t="s">
        <v>3596</v>
      </c>
    </row>
    <row r="5828" spans="1:5" x14ac:dyDescent="0.35">
      <c r="A5828" s="40">
        <v>43582</v>
      </c>
      <c r="B5828" s="38">
        <v>-6.8</v>
      </c>
      <c r="C5828" s="13" t="s">
        <v>152</v>
      </c>
      <c r="D5828" s="36">
        <v>1645.92</v>
      </c>
      <c r="E5828" s="43" t="s">
        <v>3596</v>
      </c>
    </row>
    <row r="5829" spans="1:5" x14ac:dyDescent="0.35">
      <c r="A5829" s="40">
        <v>43582</v>
      </c>
      <c r="B5829" s="38">
        <v>-515</v>
      </c>
      <c r="C5829" s="13" t="s">
        <v>949</v>
      </c>
      <c r="D5829" s="36">
        <v>1762.96</v>
      </c>
      <c r="E5829" s="43" t="s">
        <v>3596</v>
      </c>
    </row>
    <row r="5830" spans="1:5" x14ac:dyDescent="0.35">
      <c r="A5830" s="40">
        <v>43582</v>
      </c>
      <c r="B5830" s="38">
        <v>-19.600000000000001</v>
      </c>
      <c r="C5830" s="13" t="s">
        <v>157</v>
      </c>
      <c r="D5830" s="36">
        <v>1743.36</v>
      </c>
      <c r="E5830" s="43" t="s">
        <v>3596</v>
      </c>
    </row>
    <row r="5831" spans="1:5" x14ac:dyDescent="0.35">
      <c r="A5831" s="40">
        <v>43582</v>
      </c>
      <c r="B5831" s="38">
        <v>-100</v>
      </c>
      <c r="C5831" s="13" t="s">
        <v>946</v>
      </c>
      <c r="D5831" s="36">
        <v>2277.96</v>
      </c>
      <c r="E5831" s="43" t="s">
        <v>3596</v>
      </c>
    </row>
    <row r="5832" spans="1:5" x14ac:dyDescent="0.35">
      <c r="A5832" s="40">
        <v>43582</v>
      </c>
      <c r="B5832" s="38">
        <v>-16.97</v>
      </c>
      <c r="C5832" s="13" t="s">
        <v>91</v>
      </c>
      <c r="D5832" s="36">
        <v>1294.0999999999999</v>
      </c>
      <c r="E5832" s="43" t="s">
        <v>3596</v>
      </c>
    </row>
    <row r="5833" spans="1:5" x14ac:dyDescent="0.35">
      <c r="A5833" s="40">
        <v>43582</v>
      </c>
      <c r="B5833" s="38">
        <v>-9.5</v>
      </c>
      <c r="C5833" s="13" t="s">
        <v>156</v>
      </c>
      <c r="D5833" s="36">
        <v>1725.36</v>
      </c>
      <c r="E5833" s="43" t="s">
        <v>3596</v>
      </c>
    </row>
    <row r="5834" spans="1:5" x14ac:dyDescent="0.35">
      <c r="A5834" s="40">
        <v>43582</v>
      </c>
      <c r="B5834" s="38">
        <v>-8.5</v>
      </c>
      <c r="C5834" s="13" t="s">
        <v>156</v>
      </c>
      <c r="D5834" s="36">
        <v>1734.86</v>
      </c>
      <c r="E5834" s="43" t="s">
        <v>3596</v>
      </c>
    </row>
    <row r="5835" spans="1:5" x14ac:dyDescent="0.35">
      <c r="A5835" s="40">
        <v>43582</v>
      </c>
      <c r="B5835" s="38">
        <v>250</v>
      </c>
      <c r="C5835" s="13" t="s">
        <v>956</v>
      </c>
      <c r="D5835" s="36">
        <v>1311.07</v>
      </c>
      <c r="E5835" s="43" t="s">
        <v>3596</v>
      </c>
    </row>
    <row r="5836" spans="1:5" x14ac:dyDescent="0.35">
      <c r="A5836" s="40">
        <v>43582</v>
      </c>
      <c r="B5836" s="38">
        <v>-9.09</v>
      </c>
      <c r="C5836" s="13" t="s">
        <v>153</v>
      </c>
      <c r="D5836" s="36">
        <v>1652.72</v>
      </c>
      <c r="E5836" s="43" t="s">
        <v>3596</v>
      </c>
    </row>
    <row r="5837" spans="1:5" x14ac:dyDescent="0.35">
      <c r="A5837" s="40">
        <v>43582</v>
      </c>
      <c r="B5837" s="38">
        <v>-18.18</v>
      </c>
      <c r="C5837" s="13" t="s">
        <v>153</v>
      </c>
      <c r="D5837" s="36">
        <v>1661.81</v>
      </c>
      <c r="E5837" s="43" t="s">
        <v>3596</v>
      </c>
    </row>
    <row r="5838" spans="1:5" x14ac:dyDescent="0.35">
      <c r="A5838" s="40">
        <v>43582</v>
      </c>
      <c r="B5838" s="38">
        <v>-18.18</v>
      </c>
      <c r="C5838" s="13" t="s">
        <v>154</v>
      </c>
      <c r="D5838" s="36">
        <v>1679.99</v>
      </c>
      <c r="E5838" s="43" t="s">
        <v>3596</v>
      </c>
    </row>
    <row r="5839" spans="1:5" x14ac:dyDescent="0.35">
      <c r="A5839" s="40">
        <v>43582</v>
      </c>
      <c r="B5839" s="38">
        <v>-9.09</v>
      </c>
      <c r="C5839" s="13" t="s">
        <v>154</v>
      </c>
      <c r="D5839" s="36">
        <v>1698.17</v>
      </c>
      <c r="E5839" s="43" t="s">
        <v>3596</v>
      </c>
    </row>
    <row r="5840" spans="1:5" x14ac:dyDescent="0.35">
      <c r="A5840" s="40">
        <v>43581</v>
      </c>
      <c r="B5840" s="38">
        <v>-7</v>
      </c>
      <c r="C5840" s="13" t="s">
        <v>4</v>
      </c>
      <c r="D5840" s="36">
        <v>2312.36</v>
      </c>
      <c r="E5840" s="43" t="s">
        <v>3596</v>
      </c>
    </row>
    <row r="5841" spans="1:5" x14ac:dyDescent="0.35">
      <c r="A5841" s="40">
        <v>43581</v>
      </c>
      <c r="B5841" s="38">
        <v>150</v>
      </c>
      <c r="C5841" s="13" t="s">
        <v>1690</v>
      </c>
      <c r="D5841" s="36">
        <v>2462.36</v>
      </c>
      <c r="E5841" s="43" t="s">
        <v>3596</v>
      </c>
    </row>
    <row r="5842" spans="1:5" x14ac:dyDescent="0.35">
      <c r="A5842" s="40">
        <v>43581</v>
      </c>
      <c r="B5842" s="38">
        <v>-39</v>
      </c>
      <c r="C5842" s="13" t="s">
        <v>950</v>
      </c>
      <c r="D5842" s="36">
        <v>2423.36</v>
      </c>
      <c r="E5842" s="43" t="s">
        <v>3596</v>
      </c>
    </row>
    <row r="5843" spans="1:5" x14ac:dyDescent="0.35">
      <c r="A5843" s="40">
        <v>43581</v>
      </c>
      <c r="B5843" s="38">
        <v>-45.4</v>
      </c>
      <c r="C5843" s="13" t="s">
        <v>158</v>
      </c>
      <c r="D5843" s="36">
        <v>2377.96</v>
      </c>
      <c r="E5843" s="43" t="s">
        <v>3596</v>
      </c>
    </row>
    <row r="5844" spans="1:5" x14ac:dyDescent="0.35">
      <c r="A5844" s="40">
        <v>43580</v>
      </c>
      <c r="B5844" s="38">
        <v>-28.14</v>
      </c>
      <c r="C5844" s="13" t="s">
        <v>160</v>
      </c>
      <c r="D5844" s="36">
        <v>2422.36</v>
      </c>
      <c r="E5844" s="43" t="s">
        <v>3596</v>
      </c>
    </row>
    <row r="5845" spans="1:5" x14ac:dyDescent="0.35">
      <c r="A5845" s="40">
        <v>43580</v>
      </c>
      <c r="B5845" s="38">
        <v>-50</v>
      </c>
      <c r="C5845" s="13" t="s">
        <v>1718</v>
      </c>
      <c r="D5845" s="36">
        <v>2319.36</v>
      </c>
      <c r="E5845" s="43" t="s">
        <v>3596</v>
      </c>
    </row>
    <row r="5846" spans="1:5" x14ac:dyDescent="0.35">
      <c r="A5846" s="40">
        <v>43580</v>
      </c>
      <c r="B5846" s="38">
        <v>-50</v>
      </c>
      <c r="C5846" s="13" t="s">
        <v>1718</v>
      </c>
      <c r="D5846" s="36">
        <v>2369.36</v>
      </c>
      <c r="E5846" s="43" t="s">
        <v>3596</v>
      </c>
    </row>
    <row r="5847" spans="1:5" x14ac:dyDescent="0.35">
      <c r="A5847" s="40">
        <v>43580</v>
      </c>
      <c r="B5847" s="38">
        <v>-18.98</v>
      </c>
      <c r="C5847" s="13" t="s">
        <v>161</v>
      </c>
      <c r="D5847" s="36">
        <v>2450.5</v>
      </c>
      <c r="E5847" s="43" t="s">
        <v>3596</v>
      </c>
    </row>
    <row r="5848" spans="1:5" x14ac:dyDescent="0.35">
      <c r="A5848" s="40">
        <v>43580</v>
      </c>
      <c r="B5848" s="38">
        <v>-20.170000000000002</v>
      </c>
      <c r="C5848" s="13" t="s">
        <v>163</v>
      </c>
      <c r="D5848" s="36">
        <v>2485.1799999999998</v>
      </c>
      <c r="E5848" s="43" t="s">
        <v>3596</v>
      </c>
    </row>
    <row r="5849" spans="1:5" x14ac:dyDescent="0.35">
      <c r="A5849" s="40">
        <v>43580</v>
      </c>
      <c r="B5849" s="38">
        <v>-15.7</v>
      </c>
      <c r="C5849" s="13" t="s">
        <v>162</v>
      </c>
      <c r="D5849" s="36">
        <v>2469.48</v>
      </c>
      <c r="E5849" s="43" t="s">
        <v>3596</v>
      </c>
    </row>
    <row r="5850" spans="1:5" x14ac:dyDescent="0.35">
      <c r="A5850" s="40">
        <v>43580</v>
      </c>
      <c r="B5850" s="38">
        <v>-3</v>
      </c>
      <c r="C5850" s="13" t="s">
        <v>159</v>
      </c>
      <c r="D5850" s="36">
        <v>2419.36</v>
      </c>
      <c r="E5850" s="43" t="s">
        <v>3596</v>
      </c>
    </row>
    <row r="5851" spans="1:5" x14ac:dyDescent="0.35">
      <c r="A5851" s="40">
        <v>43579</v>
      </c>
      <c r="B5851" s="38">
        <v>-10.97</v>
      </c>
      <c r="C5851" s="13" t="s">
        <v>4</v>
      </c>
      <c r="D5851" s="36">
        <v>2505.35</v>
      </c>
      <c r="E5851" s="43" t="s">
        <v>3596</v>
      </c>
    </row>
    <row r="5852" spans="1:5" x14ac:dyDescent="0.35">
      <c r="A5852" s="40">
        <v>43579</v>
      </c>
      <c r="B5852" s="38">
        <v>-18.7</v>
      </c>
      <c r="C5852" s="13" t="s">
        <v>166</v>
      </c>
      <c r="D5852" s="36">
        <v>2584.4</v>
      </c>
      <c r="E5852" s="43" t="s">
        <v>3596</v>
      </c>
    </row>
    <row r="5853" spans="1:5" x14ac:dyDescent="0.35">
      <c r="A5853" s="40">
        <v>43579</v>
      </c>
      <c r="B5853" s="38">
        <v>-22</v>
      </c>
      <c r="C5853" s="13" t="s">
        <v>166</v>
      </c>
      <c r="D5853" s="36">
        <v>2727.63</v>
      </c>
      <c r="E5853" s="43" t="s">
        <v>3596</v>
      </c>
    </row>
    <row r="5854" spans="1:5" x14ac:dyDescent="0.35">
      <c r="A5854" s="40">
        <v>43579</v>
      </c>
      <c r="B5854" s="38">
        <v>-7.6</v>
      </c>
      <c r="C5854" s="13" t="s">
        <v>166</v>
      </c>
      <c r="D5854" s="36">
        <v>2749.63</v>
      </c>
      <c r="E5854" s="43" t="s">
        <v>3596</v>
      </c>
    </row>
    <row r="5855" spans="1:5" x14ac:dyDescent="0.35">
      <c r="A5855" s="40">
        <v>43579</v>
      </c>
      <c r="B5855" s="38">
        <v>-49</v>
      </c>
      <c r="C5855" s="13" t="s">
        <v>169</v>
      </c>
      <c r="D5855" s="36">
        <v>2827.83</v>
      </c>
      <c r="E5855" s="43" t="s">
        <v>3596</v>
      </c>
    </row>
    <row r="5856" spans="1:5" x14ac:dyDescent="0.35">
      <c r="A5856" s="40">
        <v>43579</v>
      </c>
      <c r="B5856" s="38">
        <v>-40.5</v>
      </c>
      <c r="C5856" s="13" t="s">
        <v>164</v>
      </c>
      <c r="D5856" s="36">
        <v>2516.3200000000002</v>
      </c>
      <c r="E5856" s="43" t="s">
        <v>3596</v>
      </c>
    </row>
    <row r="5857" spans="1:5" x14ac:dyDescent="0.35">
      <c r="A5857" s="40">
        <v>43579</v>
      </c>
      <c r="B5857" s="38">
        <v>-29.9</v>
      </c>
      <c r="C5857" s="13" t="s">
        <v>164</v>
      </c>
      <c r="D5857" s="36">
        <v>2757.23</v>
      </c>
      <c r="E5857" s="43" t="s">
        <v>3596</v>
      </c>
    </row>
    <row r="5858" spans="1:5" x14ac:dyDescent="0.35">
      <c r="A5858" s="40">
        <v>43579</v>
      </c>
      <c r="B5858" s="38">
        <v>-40.700000000000003</v>
      </c>
      <c r="C5858" s="13" t="s">
        <v>168</v>
      </c>
      <c r="D5858" s="36">
        <v>2787.13</v>
      </c>
      <c r="E5858" s="43" t="s">
        <v>3596</v>
      </c>
    </row>
    <row r="5859" spans="1:5" x14ac:dyDescent="0.35">
      <c r="A5859" s="40">
        <v>43579</v>
      </c>
      <c r="B5859" s="38">
        <v>-11.72</v>
      </c>
      <c r="C5859" s="13" t="s">
        <v>167</v>
      </c>
      <c r="D5859" s="36">
        <v>2603.1</v>
      </c>
      <c r="E5859" s="43" t="s">
        <v>3596</v>
      </c>
    </row>
    <row r="5860" spans="1:5" x14ac:dyDescent="0.35">
      <c r="A5860" s="40">
        <v>43579</v>
      </c>
      <c r="B5860" s="38">
        <v>-61.41</v>
      </c>
      <c r="C5860" s="13" t="s">
        <v>167</v>
      </c>
      <c r="D5860" s="36">
        <v>2614.8200000000002</v>
      </c>
      <c r="E5860" s="43" t="s">
        <v>3596</v>
      </c>
    </row>
    <row r="5861" spans="1:5" x14ac:dyDescent="0.35">
      <c r="A5861" s="40">
        <v>43579</v>
      </c>
      <c r="B5861" s="38">
        <v>-11.72</v>
      </c>
      <c r="C5861" s="13" t="s">
        <v>167</v>
      </c>
      <c r="D5861" s="36">
        <v>2676.23</v>
      </c>
      <c r="E5861" s="43" t="s">
        <v>3596</v>
      </c>
    </row>
    <row r="5862" spans="1:5" x14ac:dyDescent="0.35">
      <c r="A5862" s="40">
        <v>43579</v>
      </c>
      <c r="B5862" s="38">
        <v>-11.72</v>
      </c>
      <c r="C5862" s="13" t="s">
        <v>167</v>
      </c>
      <c r="D5862" s="36">
        <v>2687.95</v>
      </c>
      <c r="E5862" s="43" t="s">
        <v>3596</v>
      </c>
    </row>
    <row r="5863" spans="1:5" x14ac:dyDescent="0.35">
      <c r="A5863" s="40">
        <v>43579</v>
      </c>
      <c r="B5863" s="38">
        <v>-11.72</v>
      </c>
      <c r="C5863" s="13" t="s">
        <v>167</v>
      </c>
      <c r="D5863" s="36">
        <v>2699.67</v>
      </c>
      <c r="E5863" s="43" t="s">
        <v>3596</v>
      </c>
    </row>
    <row r="5864" spans="1:5" x14ac:dyDescent="0.35">
      <c r="A5864" s="40">
        <v>43579</v>
      </c>
      <c r="B5864" s="38">
        <v>-10.15</v>
      </c>
      <c r="C5864" s="13" t="s">
        <v>167</v>
      </c>
      <c r="D5864" s="36">
        <v>2711.39</v>
      </c>
      <c r="E5864" s="43" t="s">
        <v>3596</v>
      </c>
    </row>
    <row r="5865" spans="1:5" x14ac:dyDescent="0.35">
      <c r="A5865" s="40">
        <v>43579</v>
      </c>
      <c r="B5865" s="38">
        <v>-6.09</v>
      </c>
      <c r="C5865" s="13" t="s">
        <v>167</v>
      </c>
      <c r="D5865" s="36">
        <v>2721.54</v>
      </c>
      <c r="E5865" s="43" t="s">
        <v>3596</v>
      </c>
    </row>
    <row r="5866" spans="1:5" x14ac:dyDescent="0.35">
      <c r="A5866" s="40">
        <v>43579</v>
      </c>
      <c r="B5866" s="38">
        <v>-27.58</v>
      </c>
      <c r="C5866" s="13" t="s">
        <v>165</v>
      </c>
      <c r="D5866" s="36">
        <v>2556.8200000000002</v>
      </c>
      <c r="E5866" s="43" t="s">
        <v>3596</v>
      </c>
    </row>
    <row r="5867" spans="1:5" x14ac:dyDescent="0.35">
      <c r="A5867" s="40">
        <v>43578</v>
      </c>
      <c r="B5867" s="38">
        <v>-9</v>
      </c>
      <c r="C5867" s="13" t="s">
        <v>4</v>
      </c>
      <c r="D5867" s="36">
        <v>2876.83</v>
      </c>
      <c r="E5867" s="43" t="s">
        <v>3596</v>
      </c>
    </row>
    <row r="5868" spans="1:5" x14ac:dyDescent="0.35">
      <c r="A5868" s="40">
        <v>43575</v>
      </c>
      <c r="B5868" s="38">
        <v>-515</v>
      </c>
      <c r="C5868" s="13" t="s">
        <v>949</v>
      </c>
      <c r="D5868" s="36">
        <v>2885.83</v>
      </c>
      <c r="E5868" s="43" t="s">
        <v>3596</v>
      </c>
    </row>
    <row r="5869" spans="1:5" x14ac:dyDescent="0.35">
      <c r="A5869" s="40">
        <v>43575</v>
      </c>
      <c r="B5869" s="38">
        <v>-100</v>
      </c>
      <c r="C5869" s="13" t="s">
        <v>946</v>
      </c>
      <c r="D5869" s="36">
        <v>3400.83</v>
      </c>
      <c r="E5869" s="43" t="s">
        <v>3596</v>
      </c>
    </row>
    <row r="5870" spans="1:5" x14ac:dyDescent="0.35">
      <c r="A5870" s="40">
        <v>43574</v>
      </c>
      <c r="B5870" s="38">
        <v>-264.05</v>
      </c>
      <c r="C5870" s="13" t="s">
        <v>170</v>
      </c>
      <c r="D5870" s="36">
        <v>3500.83</v>
      </c>
      <c r="E5870" s="43" t="s">
        <v>3596</v>
      </c>
    </row>
    <row r="5871" spans="1:5" x14ac:dyDescent="0.35">
      <c r="A5871" s="40">
        <v>43572</v>
      </c>
      <c r="B5871" s="38">
        <v>-50</v>
      </c>
      <c r="C5871" s="13" t="s">
        <v>1719</v>
      </c>
      <c r="D5871" s="36">
        <v>2610.59</v>
      </c>
      <c r="E5871" s="43" t="s">
        <v>3596</v>
      </c>
    </row>
    <row r="5872" spans="1:5" x14ac:dyDescent="0.35">
      <c r="A5872" s="40">
        <v>43572</v>
      </c>
      <c r="B5872" s="38">
        <v>-50</v>
      </c>
      <c r="C5872" s="13" t="s">
        <v>172</v>
      </c>
      <c r="D5872" s="36">
        <v>2668.09</v>
      </c>
      <c r="E5872" s="43" t="s">
        <v>3596</v>
      </c>
    </row>
    <row r="5873" spans="1:5" x14ac:dyDescent="0.35">
      <c r="A5873" s="40">
        <v>43572</v>
      </c>
      <c r="B5873" s="38">
        <v>-66.73</v>
      </c>
      <c r="C5873" s="13" t="s">
        <v>175</v>
      </c>
      <c r="D5873" s="36">
        <v>2744.77</v>
      </c>
      <c r="E5873" s="43" t="s">
        <v>3596</v>
      </c>
    </row>
    <row r="5874" spans="1:5" x14ac:dyDescent="0.35">
      <c r="A5874" s="40">
        <v>43572</v>
      </c>
      <c r="B5874" s="38">
        <v>1182.25</v>
      </c>
      <c r="C5874" s="13" t="s">
        <v>10</v>
      </c>
      <c r="D5874" s="36">
        <v>3764.88</v>
      </c>
      <c r="E5874" s="43" t="s">
        <v>3596</v>
      </c>
    </row>
    <row r="5875" spans="1:5" x14ac:dyDescent="0.35">
      <c r="A5875" s="40">
        <v>43572</v>
      </c>
      <c r="B5875" s="38">
        <v>-2</v>
      </c>
      <c r="C5875" s="13" t="s">
        <v>174</v>
      </c>
      <c r="D5875" s="36">
        <v>2742.77</v>
      </c>
      <c r="E5875" s="43" t="s">
        <v>3596</v>
      </c>
    </row>
    <row r="5876" spans="1:5" x14ac:dyDescent="0.35">
      <c r="A5876" s="40">
        <v>43572</v>
      </c>
      <c r="B5876" s="38">
        <v>-27.96</v>
      </c>
      <c r="C5876" s="13" t="s">
        <v>91</v>
      </c>
      <c r="D5876" s="36">
        <v>2582.63</v>
      </c>
      <c r="E5876" s="43" t="s">
        <v>3596</v>
      </c>
    </row>
    <row r="5877" spans="1:5" x14ac:dyDescent="0.35">
      <c r="A5877" s="40">
        <v>43572</v>
      </c>
      <c r="B5877" s="38">
        <v>-24.68</v>
      </c>
      <c r="C5877" s="13" t="s">
        <v>173</v>
      </c>
      <c r="D5877" s="36">
        <v>2718.09</v>
      </c>
      <c r="E5877" s="43" t="s">
        <v>3596</v>
      </c>
    </row>
    <row r="5878" spans="1:5" x14ac:dyDescent="0.35">
      <c r="A5878" s="40">
        <v>43572</v>
      </c>
      <c r="B5878" s="38">
        <v>-7.5</v>
      </c>
      <c r="C5878" s="13" t="s">
        <v>171</v>
      </c>
      <c r="D5878" s="36">
        <v>2660.59</v>
      </c>
      <c r="E5878" s="43" t="s">
        <v>3596</v>
      </c>
    </row>
    <row r="5879" spans="1:5" x14ac:dyDescent="0.35">
      <c r="A5879" s="40">
        <v>43571</v>
      </c>
      <c r="B5879" s="38">
        <v>-4</v>
      </c>
      <c r="C5879" s="13" t="s">
        <v>4</v>
      </c>
      <c r="D5879" s="36">
        <v>2811.5</v>
      </c>
      <c r="E5879" s="43" t="s">
        <v>3596</v>
      </c>
    </row>
    <row r="5880" spans="1:5" x14ac:dyDescent="0.35">
      <c r="A5880" s="40">
        <v>43571</v>
      </c>
      <c r="B5880" s="38">
        <v>-11</v>
      </c>
      <c r="C5880" s="13" t="s">
        <v>178</v>
      </c>
      <c r="D5880" s="36">
        <v>2839.8</v>
      </c>
      <c r="E5880" s="43" t="s">
        <v>3596</v>
      </c>
    </row>
    <row r="5881" spans="1:5" x14ac:dyDescent="0.35">
      <c r="A5881" s="40">
        <v>43571</v>
      </c>
      <c r="B5881" s="38">
        <v>-27.1</v>
      </c>
      <c r="C5881" s="13" t="s">
        <v>179</v>
      </c>
      <c r="D5881" s="36">
        <v>2850.8</v>
      </c>
      <c r="E5881" s="43" t="s">
        <v>3596</v>
      </c>
    </row>
    <row r="5882" spans="1:5" x14ac:dyDescent="0.35">
      <c r="A5882" s="40">
        <v>43571</v>
      </c>
      <c r="B5882" s="38">
        <v>-10.4</v>
      </c>
      <c r="C5882" s="13" t="s">
        <v>176</v>
      </c>
      <c r="D5882" s="36">
        <v>2815.5</v>
      </c>
      <c r="E5882" s="43" t="s">
        <v>3596</v>
      </c>
    </row>
    <row r="5883" spans="1:5" x14ac:dyDescent="0.35">
      <c r="A5883" s="40">
        <v>43571</v>
      </c>
      <c r="B5883" s="38">
        <v>-13.9</v>
      </c>
      <c r="C5883" s="13" t="s">
        <v>177</v>
      </c>
      <c r="D5883" s="36">
        <v>2825.9</v>
      </c>
      <c r="E5883" s="43" t="s">
        <v>3596</v>
      </c>
    </row>
    <row r="5884" spans="1:5" x14ac:dyDescent="0.35">
      <c r="A5884" s="40">
        <v>43570</v>
      </c>
      <c r="B5884" s="38">
        <v>250</v>
      </c>
      <c r="C5884" s="13" t="s">
        <v>1670</v>
      </c>
      <c r="D5884" s="36">
        <v>2877.9</v>
      </c>
      <c r="E5884" s="43" t="s">
        <v>3596</v>
      </c>
    </row>
    <row r="5885" spans="1:5" x14ac:dyDescent="0.35">
      <c r="A5885" s="40">
        <v>43568</v>
      </c>
      <c r="B5885" s="38">
        <v>-515</v>
      </c>
      <c r="C5885" s="13" t="s">
        <v>949</v>
      </c>
      <c r="D5885" s="36">
        <v>2627.9</v>
      </c>
      <c r="E5885" s="43" t="s">
        <v>3596</v>
      </c>
    </row>
    <row r="5886" spans="1:5" x14ac:dyDescent="0.35">
      <c r="A5886" s="40">
        <v>43568</v>
      </c>
      <c r="B5886" s="38">
        <v>-100</v>
      </c>
      <c r="C5886" s="13" t="s">
        <v>946</v>
      </c>
      <c r="D5886" s="36">
        <v>3142.9</v>
      </c>
      <c r="E5886" s="43" t="s">
        <v>3596</v>
      </c>
    </row>
    <row r="5887" spans="1:5" x14ac:dyDescent="0.35">
      <c r="A5887" s="40">
        <v>43567</v>
      </c>
      <c r="B5887" s="38">
        <v>1182.25</v>
      </c>
      <c r="C5887" s="13" t="s">
        <v>10</v>
      </c>
      <c r="D5887" s="36">
        <v>3242.9</v>
      </c>
      <c r="E5887" s="43" t="s">
        <v>3596</v>
      </c>
    </row>
    <row r="5888" spans="1:5" x14ac:dyDescent="0.35">
      <c r="A5888" s="40">
        <v>43567</v>
      </c>
      <c r="B5888" s="38">
        <v>-31.79</v>
      </c>
      <c r="C5888" s="13" t="s">
        <v>91</v>
      </c>
      <c r="D5888" s="36">
        <v>2060.65</v>
      </c>
      <c r="E5888" s="43" t="s">
        <v>3596</v>
      </c>
    </row>
    <row r="5889" spans="1:5" x14ac:dyDescent="0.35">
      <c r="A5889" s="40">
        <v>43567</v>
      </c>
      <c r="B5889" s="38">
        <v>-12.5</v>
      </c>
      <c r="C5889" s="13" t="s">
        <v>180</v>
      </c>
      <c r="D5889" s="36">
        <v>2092.44</v>
      </c>
      <c r="E5889" s="43" t="s">
        <v>3596</v>
      </c>
    </row>
    <row r="5890" spans="1:5" x14ac:dyDescent="0.35">
      <c r="A5890" s="40">
        <v>43566</v>
      </c>
      <c r="B5890" s="38">
        <v>-9.6</v>
      </c>
      <c r="C5890" s="13" t="s">
        <v>3629</v>
      </c>
      <c r="D5890" s="36">
        <v>2191.73</v>
      </c>
      <c r="E5890" s="43" t="s">
        <v>3596</v>
      </c>
    </row>
    <row r="5891" spans="1:5" x14ac:dyDescent="0.35">
      <c r="A5891" s="40">
        <v>43566</v>
      </c>
      <c r="B5891" s="38">
        <v>-25.9</v>
      </c>
      <c r="C5891" s="13" t="s">
        <v>183</v>
      </c>
      <c r="D5891" s="36">
        <v>2165.83</v>
      </c>
      <c r="E5891" s="43" t="s">
        <v>3596</v>
      </c>
    </row>
    <row r="5892" spans="1:5" x14ac:dyDescent="0.35">
      <c r="A5892" s="40">
        <v>43566</v>
      </c>
      <c r="B5892" s="38">
        <v>-45.4</v>
      </c>
      <c r="C5892" s="13" t="s">
        <v>181</v>
      </c>
      <c r="D5892" s="36">
        <v>2104.94</v>
      </c>
      <c r="E5892" s="43" t="s">
        <v>3596</v>
      </c>
    </row>
    <row r="5893" spans="1:5" x14ac:dyDescent="0.35">
      <c r="A5893" s="40">
        <v>43566</v>
      </c>
      <c r="B5893" s="38">
        <v>-15.49</v>
      </c>
      <c r="C5893" s="13" t="s">
        <v>182</v>
      </c>
      <c r="D5893" s="36">
        <v>2150.34</v>
      </c>
      <c r="E5893" s="43" t="s">
        <v>3596</v>
      </c>
    </row>
    <row r="5894" spans="1:5" x14ac:dyDescent="0.35">
      <c r="A5894" s="40">
        <v>43565</v>
      </c>
      <c r="B5894" s="38">
        <v>-6</v>
      </c>
      <c r="C5894" s="13" t="s">
        <v>4</v>
      </c>
      <c r="D5894" s="36">
        <v>2298.2800000000002</v>
      </c>
      <c r="E5894" s="43" t="s">
        <v>3596</v>
      </c>
    </row>
    <row r="5895" spans="1:5" x14ac:dyDescent="0.35">
      <c r="A5895" s="40">
        <v>43565</v>
      </c>
      <c r="B5895" s="38">
        <v>-23.45</v>
      </c>
      <c r="C5895" s="13" t="s">
        <v>91</v>
      </c>
      <c r="D5895" s="36">
        <v>2274.83</v>
      </c>
      <c r="E5895" s="43" t="s">
        <v>3596</v>
      </c>
    </row>
    <row r="5896" spans="1:5" x14ac:dyDescent="0.35">
      <c r="A5896" s="40">
        <v>43565</v>
      </c>
      <c r="B5896" s="38">
        <v>-73.5</v>
      </c>
      <c r="C5896" s="13" t="s">
        <v>37</v>
      </c>
      <c r="D5896" s="36">
        <v>2201.33</v>
      </c>
      <c r="E5896" s="43" t="s">
        <v>3596</v>
      </c>
    </row>
    <row r="5897" spans="1:5" x14ac:dyDescent="0.35">
      <c r="A5897" s="40">
        <v>43564</v>
      </c>
      <c r="B5897" s="38">
        <v>-43</v>
      </c>
      <c r="C5897" s="13" t="s">
        <v>188</v>
      </c>
      <c r="D5897" s="36">
        <v>2399.13</v>
      </c>
      <c r="E5897" s="43" t="s">
        <v>3596</v>
      </c>
    </row>
    <row r="5898" spans="1:5" x14ac:dyDescent="0.35">
      <c r="A5898" s="40">
        <v>43564</v>
      </c>
      <c r="B5898" s="38">
        <v>-25.15</v>
      </c>
      <c r="C5898" s="13" t="s">
        <v>187</v>
      </c>
      <c r="D5898" s="36">
        <v>2373.98</v>
      </c>
      <c r="E5898" s="43" t="s">
        <v>3596</v>
      </c>
    </row>
    <row r="5899" spans="1:5" x14ac:dyDescent="0.35">
      <c r="A5899" s="40">
        <v>43564</v>
      </c>
      <c r="B5899" s="38">
        <v>-43.9</v>
      </c>
      <c r="C5899" s="13" t="s">
        <v>185</v>
      </c>
      <c r="D5899" s="36">
        <v>2309.2800000000002</v>
      </c>
      <c r="E5899" s="43" t="s">
        <v>3596</v>
      </c>
    </row>
    <row r="5900" spans="1:5" x14ac:dyDescent="0.35">
      <c r="A5900" s="40">
        <v>43564</v>
      </c>
      <c r="B5900" s="38">
        <v>-5</v>
      </c>
      <c r="C5900" s="13" t="s">
        <v>184</v>
      </c>
      <c r="D5900" s="36">
        <v>2304.2800000000002</v>
      </c>
      <c r="E5900" s="43" t="s">
        <v>3596</v>
      </c>
    </row>
    <row r="5901" spans="1:5" x14ac:dyDescent="0.35">
      <c r="A5901" s="40">
        <v>43564</v>
      </c>
      <c r="B5901" s="38">
        <v>-20.8</v>
      </c>
      <c r="C5901" s="13" t="s">
        <v>186</v>
      </c>
      <c r="D5901" s="36">
        <v>2353.1799999999998</v>
      </c>
      <c r="E5901" s="43" t="s">
        <v>3596</v>
      </c>
    </row>
    <row r="5902" spans="1:5" x14ac:dyDescent="0.35">
      <c r="A5902" s="40">
        <v>43563</v>
      </c>
      <c r="B5902" s="38">
        <v>-20</v>
      </c>
      <c r="C5902" s="13" t="s">
        <v>1703</v>
      </c>
      <c r="D5902" s="36">
        <v>2464.7800000000002</v>
      </c>
      <c r="E5902" s="43" t="s">
        <v>3596</v>
      </c>
    </row>
    <row r="5903" spans="1:5" x14ac:dyDescent="0.35">
      <c r="A5903" s="40">
        <v>43563</v>
      </c>
      <c r="B5903" s="38">
        <v>-22.65</v>
      </c>
      <c r="C5903" s="13" t="s">
        <v>189</v>
      </c>
      <c r="D5903" s="36">
        <v>2442.13</v>
      </c>
      <c r="E5903" s="43" t="s">
        <v>3596</v>
      </c>
    </row>
    <row r="5904" spans="1:5" x14ac:dyDescent="0.35">
      <c r="A5904" s="40">
        <v>43561</v>
      </c>
      <c r="B5904" s="38">
        <v>-515</v>
      </c>
      <c r="C5904" s="13" t="s">
        <v>949</v>
      </c>
      <c r="D5904" s="36">
        <v>2484.7800000000002</v>
      </c>
      <c r="E5904" s="43" t="s">
        <v>3596</v>
      </c>
    </row>
    <row r="5905" spans="1:5" x14ac:dyDescent="0.35">
      <c r="A5905" s="40">
        <v>43561</v>
      </c>
      <c r="B5905" s="38">
        <v>-100</v>
      </c>
      <c r="C5905" s="13" t="s">
        <v>946</v>
      </c>
      <c r="D5905" s="36">
        <v>2999.78</v>
      </c>
      <c r="E5905" s="43" t="s">
        <v>3596</v>
      </c>
    </row>
    <row r="5906" spans="1:5" x14ac:dyDescent="0.35">
      <c r="A5906" s="40">
        <v>43561</v>
      </c>
      <c r="B5906" s="38">
        <v>-13.5</v>
      </c>
      <c r="C5906" s="13" t="s">
        <v>190</v>
      </c>
      <c r="D5906" s="36">
        <v>3099.78</v>
      </c>
      <c r="E5906" s="43" t="s">
        <v>3596</v>
      </c>
    </row>
    <row r="5907" spans="1:5" x14ac:dyDescent="0.35">
      <c r="A5907" s="40">
        <v>43560</v>
      </c>
      <c r="B5907" s="38">
        <v>-10.41</v>
      </c>
      <c r="C5907" s="13" t="s">
        <v>4</v>
      </c>
      <c r="D5907" s="36">
        <v>3113.28</v>
      </c>
      <c r="E5907" s="43" t="s">
        <v>3596</v>
      </c>
    </row>
    <row r="5908" spans="1:5" x14ac:dyDescent="0.35">
      <c r="A5908" s="40">
        <v>43560</v>
      </c>
      <c r="B5908" s="38">
        <v>-50</v>
      </c>
      <c r="C5908" s="13" t="s">
        <v>191</v>
      </c>
      <c r="D5908" s="36">
        <v>3123.69</v>
      </c>
      <c r="E5908" s="43" t="s">
        <v>3596</v>
      </c>
    </row>
    <row r="5909" spans="1:5" x14ac:dyDescent="0.35">
      <c r="A5909" s="40">
        <v>43559</v>
      </c>
      <c r="B5909" s="38">
        <v>-43.38</v>
      </c>
      <c r="C5909" s="13" t="s">
        <v>194</v>
      </c>
      <c r="D5909" s="36">
        <v>3307.98</v>
      </c>
      <c r="E5909" s="43" t="s">
        <v>3596</v>
      </c>
    </row>
    <row r="5910" spans="1:5" x14ac:dyDescent="0.35">
      <c r="A5910" s="40">
        <v>43559</v>
      </c>
      <c r="B5910" s="38">
        <v>-39.049999999999997</v>
      </c>
      <c r="C5910" s="13" t="s">
        <v>194</v>
      </c>
      <c r="D5910" s="36">
        <v>3351.36</v>
      </c>
      <c r="E5910" s="43" t="s">
        <v>3596</v>
      </c>
    </row>
    <row r="5911" spans="1:5" x14ac:dyDescent="0.35">
      <c r="A5911" s="40">
        <v>43559</v>
      </c>
      <c r="B5911" s="38">
        <v>-58.58</v>
      </c>
      <c r="C5911" s="13" t="s">
        <v>194</v>
      </c>
      <c r="D5911" s="36">
        <v>3390.41</v>
      </c>
      <c r="E5911" s="43" t="s">
        <v>3596</v>
      </c>
    </row>
    <row r="5912" spans="1:5" x14ac:dyDescent="0.35">
      <c r="A5912" s="40">
        <v>43559</v>
      </c>
      <c r="B5912" s="38">
        <v>-19.53</v>
      </c>
      <c r="C5912" s="13" t="s">
        <v>194</v>
      </c>
      <c r="D5912" s="36">
        <v>3448.99</v>
      </c>
      <c r="E5912" s="43" t="s">
        <v>3596</v>
      </c>
    </row>
    <row r="5913" spans="1:5" x14ac:dyDescent="0.35">
      <c r="A5913" s="40">
        <v>43559</v>
      </c>
      <c r="B5913" s="38">
        <v>-93.4</v>
      </c>
      <c r="C5913" s="13" t="s">
        <v>192</v>
      </c>
      <c r="D5913" s="36">
        <v>3173.69</v>
      </c>
      <c r="E5913" s="43" t="s">
        <v>3596</v>
      </c>
    </row>
    <row r="5914" spans="1:5" x14ac:dyDescent="0.35">
      <c r="A5914" s="40">
        <v>43559</v>
      </c>
      <c r="B5914" s="38">
        <v>-44.31</v>
      </c>
      <c r="C5914" s="13" t="s">
        <v>195</v>
      </c>
      <c r="D5914" s="36">
        <v>3468.52</v>
      </c>
      <c r="E5914" s="43" t="s">
        <v>3596</v>
      </c>
    </row>
    <row r="5915" spans="1:5" x14ac:dyDescent="0.35">
      <c r="A5915" s="40">
        <v>43559</v>
      </c>
      <c r="B5915" s="38">
        <v>-40.89</v>
      </c>
      <c r="C5915" s="13" t="s">
        <v>193</v>
      </c>
      <c r="D5915" s="36">
        <v>3267.09</v>
      </c>
      <c r="E5915" s="43" t="s">
        <v>3596</v>
      </c>
    </row>
    <row r="5916" spans="1:5" x14ac:dyDescent="0.35">
      <c r="A5916" s="40">
        <v>43558</v>
      </c>
      <c r="B5916" s="38">
        <v>-41.5</v>
      </c>
      <c r="C5916" s="13" t="s">
        <v>199</v>
      </c>
      <c r="D5916" s="36">
        <v>2406.58</v>
      </c>
      <c r="E5916" s="43" t="s">
        <v>3596</v>
      </c>
    </row>
    <row r="5917" spans="1:5" x14ac:dyDescent="0.35">
      <c r="A5917" s="40">
        <v>43558</v>
      </c>
      <c r="B5917" s="38">
        <v>-50</v>
      </c>
      <c r="C5917" s="13" t="s">
        <v>200</v>
      </c>
      <c r="D5917" s="36">
        <v>2448.08</v>
      </c>
      <c r="E5917" s="43" t="s">
        <v>3596</v>
      </c>
    </row>
    <row r="5918" spans="1:5" x14ac:dyDescent="0.35">
      <c r="A5918" s="40">
        <v>43558</v>
      </c>
      <c r="B5918" s="38">
        <v>1182.25</v>
      </c>
      <c r="C5918" s="13" t="s">
        <v>10</v>
      </c>
      <c r="D5918" s="36">
        <v>3512.83</v>
      </c>
      <c r="E5918" s="43" t="s">
        <v>3596</v>
      </c>
    </row>
    <row r="5919" spans="1:5" x14ac:dyDescent="0.35">
      <c r="A5919" s="40">
        <v>43558</v>
      </c>
      <c r="B5919" s="38">
        <v>-14</v>
      </c>
      <c r="C5919" s="13" t="s">
        <v>197</v>
      </c>
      <c r="D5919" s="36">
        <v>2332.58</v>
      </c>
      <c r="E5919" s="43" t="s">
        <v>3596</v>
      </c>
    </row>
    <row r="5920" spans="1:5" x14ac:dyDescent="0.35">
      <c r="A5920" s="40">
        <v>43558</v>
      </c>
      <c r="B5920" s="38">
        <v>-60</v>
      </c>
      <c r="C5920" s="13" t="s">
        <v>198</v>
      </c>
      <c r="D5920" s="36">
        <v>2346.58</v>
      </c>
      <c r="E5920" s="43" t="s">
        <v>3596</v>
      </c>
    </row>
    <row r="5921" spans="1:5" x14ac:dyDescent="0.35">
      <c r="A5921" s="40">
        <v>43558</v>
      </c>
      <c r="B5921" s="38">
        <v>-2</v>
      </c>
      <c r="C5921" s="13" t="s">
        <v>196</v>
      </c>
      <c r="D5921" s="36">
        <v>2330.58</v>
      </c>
      <c r="E5921" s="43" t="s">
        <v>3596</v>
      </c>
    </row>
    <row r="5922" spans="1:5" x14ac:dyDescent="0.35">
      <c r="A5922" s="40">
        <v>43557</v>
      </c>
      <c r="B5922" s="38">
        <v>50</v>
      </c>
      <c r="C5922" s="13" t="s">
        <v>1225</v>
      </c>
      <c r="D5922" s="36">
        <v>2500.58</v>
      </c>
      <c r="E5922" s="43" t="s">
        <v>3596</v>
      </c>
    </row>
    <row r="5923" spans="1:5" x14ac:dyDescent="0.35">
      <c r="A5923" s="40">
        <v>43557</v>
      </c>
      <c r="B5923" s="38">
        <v>-12</v>
      </c>
      <c r="C5923" s="13" t="s">
        <v>202</v>
      </c>
      <c r="D5923" s="36">
        <v>2450.58</v>
      </c>
      <c r="E5923" s="43" t="s">
        <v>3596</v>
      </c>
    </row>
    <row r="5924" spans="1:5" x14ac:dyDescent="0.35">
      <c r="A5924" s="40">
        <v>43557</v>
      </c>
      <c r="B5924" s="38">
        <v>-2.5</v>
      </c>
      <c r="C5924" s="13" t="s">
        <v>201</v>
      </c>
      <c r="D5924" s="36">
        <v>2498.08</v>
      </c>
      <c r="E5924" s="43" t="s">
        <v>3596</v>
      </c>
    </row>
    <row r="5925" spans="1:5" x14ac:dyDescent="0.35">
      <c r="A5925" s="40">
        <v>43556</v>
      </c>
      <c r="B5925" s="38">
        <v>-172.3</v>
      </c>
      <c r="C5925" s="13" t="s">
        <v>203</v>
      </c>
      <c r="D5925" s="36">
        <v>2462.58</v>
      </c>
      <c r="E5925" s="43" t="s">
        <v>3596</v>
      </c>
    </row>
    <row r="5926" spans="1:5" x14ac:dyDescent="0.35">
      <c r="A5926" s="40">
        <v>43555</v>
      </c>
      <c r="B5926" s="38">
        <v>-11.4</v>
      </c>
      <c r="C5926" s="13" t="s">
        <v>204</v>
      </c>
      <c r="D5926" s="36">
        <v>2634.88</v>
      </c>
      <c r="E5926" s="43" t="s">
        <v>3596</v>
      </c>
    </row>
    <row r="5927" spans="1:5" x14ac:dyDescent="0.35">
      <c r="A5927" s="40">
        <v>43554</v>
      </c>
      <c r="B5927" s="38">
        <v>-515</v>
      </c>
      <c r="C5927" s="13" t="s">
        <v>949</v>
      </c>
      <c r="D5927" s="36">
        <v>2693.18</v>
      </c>
      <c r="E5927" s="43" t="s">
        <v>3596</v>
      </c>
    </row>
    <row r="5928" spans="1:5" x14ac:dyDescent="0.35">
      <c r="A5928" s="40">
        <v>43554</v>
      </c>
      <c r="B5928" s="38">
        <v>-100</v>
      </c>
      <c r="C5928" s="13" t="s">
        <v>946</v>
      </c>
      <c r="D5928" s="36">
        <v>3208.18</v>
      </c>
      <c r="E5928" s="43" t="s">
        <v>3596</v>
      </c>
    </row>
    <row r="5929" spans="1:5" x14ac:dyDescent="0.35">
      <c r="A5929" s="40">
        <v>43554</v>
      </c>
      <c r="B5929" s="38">
        <v>-31.67</v>
      </c>
      <c r="C5929" s="13" t="s">
        <v>207</v>
      </c>
      <c r="D5929" s="36">
        <v>3322.68</v>
      </c>
      <c r="E5929" s="43" t="s">
        <v>3596</v>
      </c>
    </row>
    <row r="5930" spans="1:5" x14ac:dyDescent="0.35">
      <c r="A5930" s="40">
        <v>43554</v>
      </c>
      <c r="B5930" s="38">
        <v>-19</v>
      </c>
      <c r="C5930" s="13" t="s">
        <v>205</v>
      </c>
      <c r="D5930" s="36">
        <v>2646.28</v>
      </c>
      <c r="E5930" s="43" t="s">
        <v>3596</v>
      </c>
    </row>
    <row r="5931" spans="1:5" x14ac:dyDescent="0.35">
      <c r="A5931" s="40">
        <v>43554</v>
      </c>
      <c r="B5931" s="38">
        <v>-27.9</v>
      </c>
      <c r="C5931" s="13" t="s">
        <v>205</v>
      </c>
      <c r="D5931" s="36">
        <v>2665.28</v>
      </c>
      <c r="E5931" s="43" t="s">
        <v>3596</v>
      </c>
    </row>
    <row r="5932" spans="1:5" x14ac:dyDescent="0.35">
      <c r="A5932" s="40">
        <v>43554</v>
      </c>
      <c r="B5932" s="38">
        <v>-14.5</v>
      </c>
      <c r="C5932" s="13" t="s">
        <v>206</v>
      </c>
      <c r="D5932" s="36">
        <v>3308.18</v>
      </c>
      <c r="E5932" s="43" t="s">
        <v>3596</v>
      </c>
    </row>
    <row r="5933" spans="1:5" x14ac:dyDescent="0.35">
      <c r="A5933" s="40">
        <v>43553</v>
      </c>
      <c r="B5933" s="38">
        <v>-7.1</v>
      </c>
      <c r="C5933" s="13" t="s">
        <v>4</v>
      </c>
      <c r="D5933" s="36">
        <v>3534.8</v>
      </c>
      <c r="E5933" s="43" t="s">
        <v>3596</v>
      </c>
    </row>
    <row r="5934" spans="1:5" x14ac:dyDescent="0.35">
      <c r="A5934" s="40">
        <v>43553</v>
      </c>
      <c r="B5934" s="38">
        <v>-43</v>
      </c>
      <c r="C5934" s="13" t="s">
        <v>210</v>
      </c>
      <c r="D5934" s="36">
        <v>3556.4</v>
      </c>
      <c r="E5934" s="43" t="s">
        <v>3596</v>
      </c>
    </row>
    <row r="5935" spans="1:5" x14ac:dyDescent="0.35">
      <c r="A5935" s="40">
        <v>43553</v>
      </c>
      <c r="B5935" s="38">
        <v>-50</v>
      </c>
      <c r="C5935" s="13" t="s">
        <v>313</v>
      </c>
      <c r="D5935" s="36">
        <v>3354.35</v>
      </c>
      <c r="E5935" s="43" t="s">
        <v>3596</v>
      </c>
    </row>
    <row r="5936" spans="1:5" x14ac:dyDescent="0.35">
      <c r="A5936" s="40">
        <v>43553</v>
      </c>
      <c r="B5936" s="38">
        <v>-12.95</v>
      </c>
      <c r="C5936" s="13" t="s">
        <v>208</v>
      </c>
      <c r="D5936" s="36">
        <v>3514.35</v>
      </c>
      <c r="E5936" s="43" t="s">
        <v>3596</v>
      </c>
    </row>
    <row r="5937" spans="1:5" x14ac:dyDescent="0.35">
      <c r="A5937" s="40">
        <v>43553</v>
      </c>
      <c r="B5937" s="38">
        <v>-110</v>
      </c>
      <c r="C5937" s="13" t="s">
        <v>947</v>
      </c>
      <c r="D5937" s="36">
        <v>3404.35</v>
      </c>
      <c r="E5937" s="43" t="s">
        <v>3596</v>
      </c>
    </row>
    <row r="5938" spans="1:5" x14ac:dyDescent="0.35">
      <c r="A5938" s="40">
        <v>43553</v>
      </c>
      <c r="B5938" s="38">
        <v>-14.5</v>
      </c>
      <c r="C5938" s="13" t="s">
        <v>209</v>
      </c>
      <c r="D5938" s="36">
        <v>3541.9</v>
      </c>
      <c r="E5938" s="43" t="s">
        <v>3596</v>
      </c>
    </row>
    <row r="5939" spans="1:5" x14ac:dyDescent="0.35">
      <c r="A5939" s="40">
        <v>43553</v>
      </c>
      <c r="B5939" s="38">
        <v>-7.5</v>
      </c>
      <c r="C5939" s="13" t="s">
        <v>171</v>
      </c>
      <c r="D5939" s="36">
        <v>3527.3</v>
      </c>
      <c r="E5939" s="43" t="s">
        <v>3596</v>
      </c>
    </row>
    <row r="5940" spans="1:5" x14ac:dyDescent="0.35">
      <c r="A5940" s="40">
        <v>43552</v>
      </c>
      <c r="B5940" s="38">
        <v>-1.56</v>
      </c>
      <c r="C5940" s="13" t="s">
        <v>4</v>
      </c>
      <c r="D5940" s="36">
        <v>3774.8</v>
      </c>
      <c r="E5940" s="43" t="s">
        <v>3596</v>
      </c>
    </row>
    <row r="5941" spans="1:5" x14ac:dyDescent="0.35">
      <c r="A5941" s="40">
        <v>43552</v>
      </c>
      <c r="B5941" s="38">
        <v>-49.75</v>
      </c>
      <c r="C5941" s="13" t="s">
        <v>212</v>
      </c>
      <c r="D5941" s="36">
        <v>3776.36</v>
      </c>
      <c r="E5941" s="43" t="s">
        <v>3596</v>
      </c>
    </row>
    <row r="5942" spans="1:5" x14ac:dyDescent="0.35">
      <c r="A5942" s="40">
        <v>43552</v>
      </c>
      <c r="B5942" s="38">
        <v>-175.4</v>
      </c>
      <c r="C5942" s="13" t="s">
        <v>211</v>
      </c>
      <c r="D5942" s="36">
        <v>3599.4</v>
      </c>
      <c r="E5942" s="43" t="s">
        <v>3596</v>
      </c>
    </row>
    <row r="5943" spans="1:5" x14ac:dyDescent="0.35">
      <c r="A5943" s="40">
        <v>43551</v>
      </c>
      <c r="B5943" s="38">
        <v>-43</v>
      </c>
      <c r="C5943" s="13" t="s">
        <v>215</v>
      </c>
      <c r="D5943" s="36">
        <v>2688.16</v>
      </c>
      <c r="E5943" s="43" t="s">
        <v>3596</v>
      </c>
    </row>
    <row r="5944" spans="1:5" x14ac:dyDescent="0.35">
      <c r="A5944" s="40">
        <v>43551</v>
      </c>
      <c r="B5944" s="38">
        <v>1182.25</v>
      </c>
      <c r="C5944" s="13" t="s">
        <v>10</v>
      </c>
      <c r="D5944" s="36">
        <v>3826.11</v>
      </c>
      <c r="E5944" s="43" t="s">
        <v>3596</v>
      </c>
    </row>
    <row r="5945" spans="1:5" x14ac:dyDescent="0.35">
      <c r="A5945" s="40">
        <v>43551</v>
      </c>
      <c r="B5945" s="38">
        <v>-31.5</v>
      </c>
      <c r="C5945" s="13" t="s">
        <v>214</v>
      </c>
      <c r="D5945" s="36">
        <v>2656.66</v>
      </c>
      <c r="E5945" s="43" t="s">
        <v>3596</v>
      </c>
    </row>
    <row r="5946" spans="1:5" x14ac:dyDescent="0.35">
      <c r="A5946" s="40">
        <v>43551</v>
      </c>
      <c r="B5946" s="38">
        <v>-31.88</v>
      </c>
      <c r="C5946" s="13" t="s">
        <v>216</v>
      </c>
      <c r="D5946" s="36">
        <v>2731.16</v>
      </c>
      <c r="E5946" s="43" t="s">
        <v>3596</v>
      </c>
    </row>
    <row r="5947" spans="1:5" x14ac:dyDescent="0.35">
      <c r="A5947" s="40">
        <v>43551</v>
      </c>
      <c r="B5947" s="38">
        <v>-12.8</v>
      </c>
      <c r="C5947" s="13" t="s">
        <v>213</v>
      </c>
      <c r="D5947" s="36">
        <v>2643.86</v>
      </c>
      <c r="E5947" s="43" t="s">
        <v>3596</v>
      </c>
    </row>
    <row r="5948" spans="1:5" x14ac:dyDescent="0.35">
      <c r="A5948" s="40">
        <v>43550</v>
      </c>
      <c r="B5948" s="38">
        <v>-50</v>
      </c>
      <c r="C5948" s="13" t="s">
        <v>191</v>
      </c>
      <c r="D5948" s="36">
        <v>2723.04</v>
      </c>
      <c r="E5948" s="43" t="s">
        <v>3596</v>
      </c>
    </row>
    <row r="5949" spans="1:5" x14ac:dyDescent="0.35">
      <c r="A5949" s="40">
        <v>43550</v>
      </c>
      <c r="B5949" s="38">
        <v>40</v>
      </c>
      <c r="C5949" s="13" t="s">
        <v>1243</v>
      </c>
      <c r="D5949" s="36">
        <v>2763.04</v>
      </c>
      <c r="E5949" s="43" t="s">
        <v>3596</v>
      </c>
    </row>
    <row r="5950" spans="1:5" x14ac:dyDescent="0.35">
      <c r="A5950" s="40">
        <v>43550</v>
      </c>
      <c r="B5950" s="38">
        <v>-7.9</v>
      </c>
      <c r="C5950" s="13" t="s">
        <v>171</v>
      </c>
      <c r="D5950" s="36">
        <v>2773.04</v>
      </c>
      <c r="E5950" s="43" t="s">
        <v>3596</v>
      </c>
    </row>
    <row r="5951" spans="1:5" x14ac:dyDescent="0.35">
      <c r="A5951" s="40">
        <v>43549</v>
      </c>
      <c r="B5951" s="38">
        <v>-2.08</v>
      </c>
      <c r="C5951" s="13" t="s">
        <v>4</v>
      </c>
      <c r="D5951" s="36">
        <v>2805.99</v>
      </c>
      <c r="E5951" s="43" t="s">
        <v>3596</v>
      </c>
    </row>
    <row r="5952" spans="1:5" x14ac:dyDescent="0.35">
      <c r="A5952" s="40">
        <v>43549</v>
      </c>
      <c r="B5952" s="38">
        <v>-11.55</v>
      </c>
      <c r="C5952" s="13" t="s">
        <v>91</v>
      </c>
      <c r="D5952" s="36">
        <v>2780.94</v>
      </c>
      <c r="E5952" s="43" t="s">
        <v>3596</v>
      </c>
    </row>
    <row r="5953" spans="1:5" x14ac:dyDescent="0.35">
      <c r="A5953" s="40">
        <v>43549</v>
      </c>
      <c r="B5953" s="38">
        <v>-13.5</v>
      </c>
      <c r="C5953" s="13" t="s">
        <v>171</v>
      </c>
      <c r="D5953" s="36">
        <v>2792.49</v>
      </c>
      <c r="E5953" s="43" t="s">
        <v>3596</v>
      </c>
    </row>
    <row r="5954" spans="1:5" x14ac:dyDescent="0.35">
      <c r="A5954" s="40">
        <v>43547</v>
      </c>
      <c r="B5954" s="38">
        <v>-515</v>
      </c>
      <c r="C5954" s="13" t="s">
        <v>949</v>
      </c>
      <c r="D5954" s="36">
        <v>2808.07</v>
      </c>
      <c r="E5954" s="43" t="s">
        <v>3596</v>
      </c>
    </row>
    <row r="5955" spans="1:5" x14ac:dyDescent="0.35">
      <c r="A5955" s="40">
        <v>43547</v>
      </c>
      <c r="B5955" s="38">
        <v>-100</v>
      </c>
      <c r="C5955" s="13" t="s">
        <v>946</v>
      </c>
      <c r="D5955" s="36">
        <v>3323.07</v>
      </c>
      <c r="E5955" s="43" t="s">
        <v>3596</v>
      </c>
    </row>
    <row r="5956" spans="1:5" x14ac:dyDescent="0.35">
      <c r="A5956" s="40">
        <v>43545</v>
      </c>
      <c r="B5956" s="38">
        <v>-50</v>
      </c>
      <c r="C5956" s="13" t="s">
        <v>1714</v>
      </c>
      <c r="D5956" s="36">
        <v>3423.07</v>
      </c>
      <c r="E5956" s="43" t="s">
        <v>3596</v>
      </c>
    </row>
    <row r="5957" spans="1:5" x14ac:dyDescent="0.35">
      <c r="A5957" s="40">
        <v>43545</v>
      </c>
      <c r="B5957" s="38">
        <v>-22.5</v>
      </c>
      <c r="C5957" s="13" t="s">
        <v>217</v>
      </c>
      <c r="D5957" s="36">
        <v>3473.07</v>
      </c>
      <c r="E5957" s="43" t="s">
        <v>3596</v>
      </c>
    </row>
    <row r="5958" spans="1:5" x14ac:dyDescent="0.35">
      <c r="A5958" s="40">
        <v>43545</v>
      </c>
      <c r="B5958" s="38">
        <v>-22.5</v>
      </c>
      <c r="C5958" s="13" t="s">
        <v>217</v>
      </c>
      <c r="D5958" s="36">
        <v>3495.57</v>
      </c>
      <c r="E5958" s="43" t="s">
        <v>3596</v>
      </c>
    </row>
    <row r="5959" spans="1:5" x14ac:dyDescent="0.35">
      <c r="A5959" s="40">
        <v>43544</v>
      </c>
      <c r="B5959" s="38">
        <v>-31</v>
      </c>
      <c r="C5959" s="13" t="s">
        <v>218</v>
      </c>
      <c r="D5959" s="36">
        <v>2342.7199999999998</v>
      </c>
      <c r="E5959" s="43" t="s">
        <v>3596</v>
      </c>
    </row>
    <row r="5960" spans="1:5" x14ac:dyDescent="0.35">
      <c r="A5960" s="40">
        <v>43544</v>
      </c>
      <c r="B5960" s="38">
        <v>1182.25</v>
      </c>
      <c r="C5960" s="13" t="s">
        <v>10</v>
      </c>
      <c r="D5960" s="36">
        <v>3518.07</v>
      </c>
      <c r="E5960" s="43" t="s">
        <v>3596</v>
      </c>
    </row>
    <row r="5961" spans="1:5" x14ac:dyDescent="0.35">
      <c r="A5961" s="40">
        <v>43544</v>
      </c>
      <c r="B5961" s="38">
        <v>-6.9</v>
      </c>
      <c r="C5961" s="13" t="s">
        <v>171</v>
      </c>
      <c r="D5961" s="36">
        <v>2335.8200000000002</v>
      </c>
      <c r="E5961" s="43" t="s">
        <v>3596</v>
      </c>
    </row>
    <row r="5962" spans="1:5" x14ac:dyDescent="0.35">
      <c r="A5962" s="40">
        <v>43543</v>
      </c>
      <c r="B5962" s="38">
        <v>-21.19</v>
      </c>
      <c r="C5962" s="13" t="s">
        <v>91</v>
      </c>
      <c r="D5962" s="36">
        <v>2373.7199999999998</v>
      </c>
      <c r="E5962" s="43" t="s">
        <v>3596</v>
      </c>
    </row>
    <row r="5963" spans="1:5" x14ac:dyDescent="0.35">
      <c r="A5963" s="40">
        <v>43543</v>
      </c>
      <c r="B5963" s="38">
        <v>-15</v>
      </c>
      <c r="C5963" s="13" t="s">
        <v>219</v>
      </c>
      <c r="D5963" s="36">
        <v>2402.81</v>
      </c>
      <c r="E5963" s="43" t="s">
        <v>3596</v>
      </c>
    </row>
    <row r="5964" spans="1:5" x14ac:dyDescent="0.35">
      <c r="A5964" s="40">
        <v>43543</v>
      </c>
      <c r="B5964" s="38">
        <v>-7.9</v>
      </c>
      <c r="C5964" s="13" t="s">
        <v>171</v>
      </c>
      <c r="D5964" s="36">
        <v>2394.91</v>
      </c>
      <c r="E5964" s="43" t="s">
        <v>3596</v>
      </c>
    </row>
    <row r="5965" spans="1:5" x14ac:dyDescent="0.35">
      <c r="A5965" s="40">
        <v>43541</v>
      </c>
      <c r="B5965" s="38">
        <v>-45.09</v>
      </c>
      <c r="C5965" s="13" t="s">
        <v>91</v>
      </c>
      <c r="D5965" s="36">
        <v>2417.81</v>
      </c>
      <c r="E5965" s="43" t="s">
        <v>3596</v>
      </c>
    </row>
    <row r="5966" spans="1:5" x14ac:dyDescent="0.35">
      <c r="A5966" s="40">
        <v>43540</v>
      </c>
      <c r="B5966" s="38">
        <v>-515</v>
      </c>
      <c r="C5966" s="13" t="s">
        <v>949</v>
      </c>
      <c r="D5966" s="36">
        <v>2462.9</v>
      </c>
      <c r="E5966" s="43" t="s">
        <v>3596</v>
      </c>
    </row>
    <row r="5967" spans="1:5" x14ac:dyDescent="0.35">
      <c r="A5967" s="40">
        <v>43540</v>
      </c>
      <c r="B5967" s="38">
        <v>-100</v>
      </c>
      <c r="C5967" s="13" t="s">
        <v>946</v>
      </c>
      <c r="D5967" s="36">
        <v>2977.9</v>
      </c>
      <c r="E5967" s="43" t="s">
        <v>3596</v>
      </c>
    </row>
    <row r="5968" spans="1:5" x14ac:dyDescent="0.35">
      <c r="A5968" s="40">
        <v>43539</v>
      </c>
      <c r="B5968" s="38">
        <v>-50</v>
      </c>
      <c r="C5968" s="13" t="s">
        <v>1714</v>
      </c>
      <c r="D5968" s="36">
        <v>3077.9</v>
      </c>
      <c r="E5968" s="43" t="s">
        <v>3596</v>
      </c>
    </row>
    <row r="5969" spans="1:5" x14ac:dyDescent="0.35">
      <c r="A5969" s="40">
        <v>43539</v>
      </c>
      <c r="B5969" s="38">
        <v>-20</v>
      </c>
      <c r="C5969" s="13" t="s">
        <v>1714</v>
      </c>
      <c r="D5969" s="36">
        <v>3127.9</v>
      </c>
      <c r="E5969" s="43" t="s">
        <v>3596</v>
      </c>
    </row>
    <row r="5970" spans="1:5" x14ac:dyDescent="0.35">
      <c r="A5970" s="40">
        <v>43539</v>
      </c>
      <c r="B5970" s="38">
        <v>-30</v>
      </c>
      <c r="C5970" s="13" t="s">
        <v>220</v>
      </c>
      <c r="D5970" s="36">
        <v>2847.9</v>
      </c>
      <c r="E5970" s="43" t="s">
        <v>3596</v>
      </c>
    </row>
    <row r="5971" spans="1:5" x14ac:dyDescent="0.35">
      <c r="A5971" s="40">
        <v>43539</v>
      </c>
      <c r="B5971" s="38">
        <v>300</v>
      </c>
      <c r="C5971" s="13" t="s">
        <v>1684</v>
      </c>
      <c r="D5971" s="36">
        <v>3147.9</v>
      </c>
      <c r="E5971" s="43" t="s">
        <v>3596</v>
      </c>
    </row>
    <row r="5972" spans="1:5" x14ac:dyDescent="0.35">
      <c r="A5972" s="40">
        <v>43538</v>
      </c>
      <c r="B5972" s="38">
        <v>-50</v>
      </c>
      <c r="C5972" s="13" t="s">
        <v>191</v>
      </c>
      <c r="D5972" s="36">
        <v>3082.23</v>
      </c>
      <c r="E5972" s="43" t="s">
        <v>3596</v>
      </c>
    </row>
    <row r="5973" spans="1:5" x14ac:dyDescent="0.35">
      <c r="A5973" s="40">
        <v>43538</v>
      </c>
      <c r="B5973" s="38">
        <v>-22.03</v>
      </c>
      <c r="C5973" s="13" t="s">
        <v>91</v>
      </c>
      <c r="D5973" s="36">
        <v>3053.3</v>
      </c>
      <c r="E5973" s="43" t="s">
        <v>3596</v>
      </c>
    </row>
    <row r="5974" spans="1:5" x14ac:dyDescent="0.35">
      <c r="A5974" s="40">
        <v>43538</v>
      </c>
      <c r="B5974" s="38">
        <v>-175.4</v>
      </c>
      <c r="C5974" s="13" t="s">
        <v>221</v>
      </c>
      <c r="D5974" s="36">
        <v>2877.9</v>
      </c>
      <c r="E5974" s="43" t="s">
        <v>3596</v>
      </c>
    </row>
    <row r="5975" spans="1:5" x14ac:dyDescent="0.35">
      <c r="A5975" s="40">
        <v>43538</v>
      </c>
      <c r="B5975" s="38">
        <v>-12.25</v>
      </c>
      <c r="C5975" s="13" t="s">
        <v>222</v>
      </c>
      <c r="D5975" s="36">
        <v>3132.23</v>
      </c>
      <c r="E5975" s="43" t="s">
        <v>3596</v>
      </c>
    </row>
    <row r="5976" spans="1:5" x14ac:dyDescent="0.35">
      <c r="A5976" s="40">
        <v>43538</v>
      </c>
      <c r="B5976" s="38">
        <v>-6.9</v>
      </c>
      <c r="C5976" s="13" t="s">
        <v>171</v>
      </c>
      <c r="D5976" s="36">
        <v>3075.33</v>
      </c>
      <c r="E5976" s="43" t="s">
        <v>3596</v>
      </c>
    </row>
    <row r="5977" spans="1:5" x14ac:dyDescent="0.35">
      <c r="A5977" s="40">
        <v>43537</v>
      </c>
      <c r="B5977" s="38">
        <v>-32</v>
      </c>
      <c r="C5977" s="13" t="s">
        <v>225</v>
      </c>
      <c r="D5977" s="36">
        <v>2088.04</v>
      </c>
      <c r="E5977" s="43" t="s">
        <v>3596</v>
      </c>
    </row>
    <row r="5978" spans="1:5" x14ac:dyDescent="0.35">
      <c r="A5978" s="40">
        <v>43537</v>
      </c>
      <c r="B5978" s="38">
        <v>-36</v>
      </c>
      <c r="C5978" s="13" t="s">
        <v>224</v>
      </c>
      <c r="D5978" s="36">
        <v>2052.04</v>
      </c>
      <c r="E5978" s="43" t="s">
        <v>3596</v>
      </c>
    </row>
    <row r="5979" spans="1:5" x14ac:dyDescent="0.35">
      <c r="A5979" s="40">
        <v>43537</v>
      </c>
      <c r="B5979" s="38">
        <v>1248.67</v>
      </c>
      <c r="C5979" s="13" t="s">
        <v>10</v>
      </c>
      <c r="D5979" s="36">
        <v>3280.71</v>
      </c>
      <c r="E5979" s="43" t="s">
        <v>3596</v>
      </c>
    </row>
    <row r="5980" spans="1:5" x14ac:dyDescent="0.35">
      <c r="A5980" s="40">
        <v>43537</v>
      </c>
      <c r="B5980" s="38">
        <v>-62.73</v>
      </c>
      <c r="C5980" s="13" t="s">
        <v>91</v>
      </c>
      <c r="D5980" s="36">
        <v>3217.98</v>
      </c>
      <c r="E5980" s="43" t="s">
        <v>3596</v>
      </c>
    </row>
    <row r="5981" spans="1:5" x14ac:dyDescent="0.35">
      <c r="A5981" s="40">
        <v>43537</v>
      </c>
      <c r="B5981" s="38">
        <v>-73.5</v>
      </c>
      <c r="C5981" s="13" t="s">
        <v>37</v>
      </c>
      <c r="D5981" s="36">
        <v>3144.48</v>
      </c>
      <c r="E5981" s="43" t="s">
        <v>3596</v>
      </c>
    </row>
    <row r="5982" spans="1:5" x14ac:dyDescent="0.35">
      <c r="A5982" s="40">
        <v>43537</v>
      </c>
      <c r="B5982" s="38">
        <v>-12.5</v>
      </c>
      <c r="C5982" s="13" t="s">
        <v>223</v>
      </c>
      <c r="D5982" s="36">
        <v>2039.54</v>
      </c>
      <c r="E5982" s="43" t="s">
        <v>3596</v>
      </c>
    </row>
    <row r="5983" spans="1:5" x14ac:dyDescent="0.35">
      <c r="A5983" s="40">
        <v>43537</v>
      </c>
      <c r="B5983" s="38">
        <v>-7.5</v>
      </c>
      <c r="C5983" s="13" t="s">
        <v>171</v>
      </c>
      <c r="D5983" s="36">
        <v>2032.04</v>
      </c>
      <c r="E5983" s="43" t="s">
        <v>3596</v>
      </c>
    </row>
    <row r="5984" spans="1:5" x14ac:dyDescent="0.35">
      <c r="A5984" s="40">
        <v>43535</v>
      </c>
      <c r="B5984" s="38">
        <v>-25.06</v>
      </c>
      <c r="C5984" s="13" t="s">
        <v>64</v>
      </c>
      <c r="D5984" s="36">
        <v>2120.04</v>
      </c>
      <c r="E5984" s="43" t="s">
        <v>3596</v>
      </c>
    </row>
    <row r="5985" spans="1:5" x14ac:dyDescent="0.35">
      <c r="A5985" s="40">
        <v>43533</v>
      </c>
      <c r="B5985" s="38">
        <v>-515</v>
      </c>
      <c r="C5985" s="13" t="s">
        <v>949</v>
      </c>
      <c r="D5985" s="36">
        <v>2155.96</v>
      </c>
      <c r="E5985" s="43" t="s">
        <v>3596</v>
      </c>
    </row>
    <row r="5986" spans="1:5" x14ac:dyDescent="0.35">
      <c r="A5986" s="40">
        <v>43533</v>
      </c>
      <c r="B5986" s="38">
        <v>-100</v>
      </c>
      <c r="C5986" s="13" t="s">
        <v>946</v>
      </c>
      <c r="D5986" s="36">
        <v>2670.96</v>
      </c>
      <c r="E5986" s="43" t="s">
        <v>3596</v>
      </c>
    </row>
    <row r="5987" spans="1:5" x14ac:dyDescent="0.35">
      <c r="A5987" s="40">
        <v>43533</v>
      </c>
      <c r="B5987" s="38">
        <v>-10.86</v>
      </c>
      <c r="C5987" s="13" t="s">
        <v>226</v>
      </c>
      <c r="D5987" s="36">
        <v>2145.1</v>
      </c>
      <c r="E5987" s="43" t="s">
        <v>3596</v>
      </c>
    </row>
    <row r="5988" spans="1:5" x14ac:dyDescent="0.35">
      <c r="A5988" s="40">
        <v>43532</v>
      </c>
      <c r="B5988" s="38">
        <v>-50</v>
      </c>
      <c r="C5988" s="13" t="s">
        <v>1717</v>
      </c>
      <c r="D5988" s="36">
        <v>2773.46</v>
      </c>
      <c r="E5988" s="43" t="s">
        <v>3596</v>
      </c>
    </row>
    <row r="5989" spans="1:5" x14ac:dyDescent="0.35">
      <c r="A5989" s="40">
        <v>43532</v>
      </c>
      <c r="B5989" s="38">
        <v>-2.5</v>
      </c>
      <c r="C5989" s="13" t="s">
        <v>24</v>
      </c>
      <c r="D5989" s="36">
        <v>2770.96</v>
      </c>
      <c r="E5989" s="43" t="s">
        <v>3596</v>
      </c>
    </row>
    <row r="5990" spans="1:5" x14ac:dyDescent="0.35">
      <c r="A5990" s="40">
        <v>43532</v>
      </c>
      <c r="B5990" s="38">
        <v>-7.5</v>
      </c>
      <c r="C5990" s="13" t="s">
        <v>171</v>
      </c>
      <c r="D5990" s="36">
        <v>2823.46</v>
      </c>
      <c r="E5990" s="43" t="s">
        <v>3596</v>
      </c>
    </row>
    <row r="5991" spans="1:5" x14ac:dyDescent="0.35">
      <c r="A5991" s="40">
        <v>43531</v>
      </c>
      <c r="B5991" s="38">
        <v>-13.9</v>
      </c>
      <c r="C5991" s="13" t="s">
        <v>227</v>
      </c>
      <c r="D5991" s="36">
        <v>2830.96</v>
      </c>
      <c r="E5991" s="43" t="s">
        <v>3596</v>
      </c>
    </row>
    <row r="5992" spans="1:5" x14ac:dyDescent="0.35">
      <c r="A5992" s="40">
        <v>43531</v>
      </c>
      <c r="B5992" s="38">
        <v>-19.399999999999999</v>
      </c>
      <c r="C5992" s="13" t="s">
        <v>230</v>
      </c>
      <c r="D5992" s="36">
        <v>2916.72</v>
      </c>
      <c r="E5992" s="43" t="s">
        <v>3596</v>
      </c>
    </row>
    <row r="5993" spans="1:5" x14ac:dyDescent="0.35">
      <c r="A5993" s="40">
        <v>43531</v>
      </c>
      <c r="B5993" s="38">
        <v>-29.3</v>
      </c>
      <c r="C5993" s="13" t="s">
        <v>229</v>
      </c>
      <c r="D5993" s="36">
        <v>2887.42</v>
      </c>
      <c r="E5993" s="43" t="s">
        <v>3596</v>
      </c>
    </row>
    <row r="5994" spans="1:5" x14ac:dyDescent="0.35">
      <c r="A5994" s="40">
        <v>43531</v>
      </c>
      <c r="B5994" s="38">
        <v>-42.56</v>
      </c>
      <c r="C5994" s="13" t="s">
        <v>228</v>
      </c>
      <c r="D5994" s="36">
        <v>2844.86</v>
      </c>
      <c r="E5994" s="43" t="s">
        <v>3596</v>
      </c>
    </row>
    <row r="5995" spans="1:5" x14ac:dyDescent="0.35">
      <c r="A5995" s="40">
        <v>43530</v>
      </c>
      <c r="B5995" s="38">
        <v>1182.25</v>
      </c>
      <c r="C5995" s="13" t="s">
        <v>10</v>
      </c>
      <c r="D5995" s="36">
        <v>2936.12</v>
      </c>
      <c r="E5995" s="43" t="s">
        <v>3596</v>
      </c>
    </row>
    <row r="5996" spans="1:5" x14ac:dyDescent="0.35">
      <c r="A5996" s="40">
        <v>43530</v>
      </c>
      <c r="B5996" s="38">
        <v>-8.8800000000000008</v>
      </c>
      <c r="C5996" s="13" t="s">
        <v>91</v>
      </c>
      <c r="D5996" s="36">
        <v>1753.87</v>
      </c>
      <c r="E5996" s="43" t="s">
        <v>3596</v>
      </c>
    </row>
    <row r="5997" spans="1:5" x14ac:dyDescent="0.35">
      <c r="A5997" s="40">
        <v>43530</v>
      </c>
      <c r="B5997" s="38">
        <v>-7.9</v>
      </c>
      <c r="C5997" s="13" t="s">
        <v>171</v>
      </c>
      <c r="D5997" s="36">
        <v>1762.75</v>
      </c>
      <c r="E5997" s="43" t="s">
        <v>3596</v>
      </c>
    </row>
    <row r="5998" spans="1:5" x14ac:dyDescent="0.35">
      <c r="A5998" s="40">
        <v>43529</v>
      </c>
      <c r="B5998" s="38">
        <v>-20</v>
      </c>
      <c r="C5998" s="13" t="s">
        <v>1720</v>
      </c>
      <c r="D5998" s="36">
        <v>1770.65</v>
      </c>
      <c r="E5998" s="43" t="s">
        <v>3596</v>
      </c>
    </row>
    <row r="5999" spans="1:5" x14ac:dyDescent="0.35">
      <c r="A5999" s="40">
        <v>43529</v>
      </c>
      <c r="B5999" s="38">
        <v>-20</v>
      </c>
      <c r="C5999" s="13" t="s">
        <v>231</v>
      </c>
      <c r="D5999" s="36">
        <v>1790.65</v>
      </c>
      <c r="E5999" s="43" t="s">
        <v>3596</v>
      </c>
    </row>
    <row r="6000" spans="1:5" x14ac:dyDescent="0.35">
      <c r="A6000" s="40">
        <v>43528</v>
      </c>
      <c r="B6000" s="38">
        <v>-20</v>
      </c>
      <c r="C6000" s="13" t="s">
        <v>1709</v>
      </c>
      <c r="D6000" s="36">
        <v>1480.16</v>
      </c>
      <c r="E6000" s="43" t="s">
        <v>3596</v>
      </c>
    </row>
    <row r="6001" spans="1:5" x14ac:dyDescent="0.35">
      <c r="A6001" s="40">
        <v>43528</v>
      </c>
      <c r="B6001" s="38">
        <v>-50</v>
      </c>
      <c r="C6001" s="13" t="s">
        <v>232</v>
      </c>
      <c r="D6001" s="36">
        <v>1810.65</v>
      </c>
      <c r="E6001" s="43" t="s">
        <v>3596</v>
      </c>
    </row>
    <row r="6002" spans="1:5" x14ac:dyDescent="0.35">
      <c r="A6002" s="40">
        <v>43528</v>
      </c>
      <c r="B6002" s="38">
        <v>380.49</v>
      </c>
      <c r="C6002" s="13" t="s">
        <v>233</v>
      </c>
      <c r="D6002" s="36">
        <v>1860.65</v>
      </c>
      <c r="E6002" s="43" t="s">
        <v>3596</v>
      </c>
    </row>
    <row r="6003" spans="1:5" x14ac:dyDescent="0.35">
      <c r="A6003" s="40">
        <v>43526</v>
      </c>
      <c r="B6003" s="38">
        <v>-515</v>
      </c>
      <c r="C6003" s="13" t="s">
        <v>949</v>
      </c>
      <c r="D6003" s="36">
        <v>1575.16</v>
      </c>
      <c r="E6003" s="43" t="s">
        <v>3596</v>
      </c>
    </row>
    <row r="6004" spans="1:5" x14ac:dyDescent="0.35">
      <c r="A6004" s="40">
        <v>43526</v>
      </c>
      <c r="B6004" s="38">
        <v>-100</v>
      </c>
      <c r="C6004" s="13" t="s">
        <v>946</v>
      </c>
      <c r="D6004" s="36">
        <v>2090.16</v>
      </c>
      <c r="E6004" s="43" t="s">
        <v>3596</v>
      </c>
    </row>
    <row r="6005" spans="1:5" x14ac:dyDescent="0.35">
      <c r="A6005" s="40">
        <v>43526</v>
      </c>
      <c r="B6005" s="38">
        <v>-15</v>
      </c>
      <c r="C6005" s="13" t="s">
        <v>235</v>
      </c>
      <c r="D6005" s="36">
        <v>1560.16</v>
      </c>
      <c r="E6005" s="43" t="s">
        <v>3596</v>
      </c>
    </row>
    <row r="6006" spans="1:5" x14ac:dyDescent="0.35">
      <c r="A6006" s="40">
        <v>43526</v>
      </c>
      <c r="B6006" s="38">
        <v>-60</v>
      </c>
      <c r="C6006" s="13" t="s">
        <v>234</v>
      </c>
      <c r="D6006" s="36">
        <v>1500.16</v>
      </c>
      <c r="E6006" s="43" t="s">
        <v>3596</v>
      </c>
    </row>
    <row r="6007" spans="1:5" x14ac:dyDescent="0.35">
      <c r="A6007" s="40">
        <v>43525</v>
      </c>
      <c r="B6007" s="38">
        <v>-166.4</v>
      </c>
      <c r="C6007" s="13" t="s">
        <v>236</v>
      </c>
      <c r="D6007" s="36">
        <v>2190.16</v>
      </c>
      <c r="E6007" s="43" t="s">
        <v>3596</v>
      </c>
    </row>
    <row r="6008" spans="1:5" x14ac:dyDescent="0.35">
      <c r="A6008" s="40">
        <v>43525</v>
      </c>
      <c r="B6008" s="38">
        <v>-44.32</v>
      </c>
      <c r="C6008" s="13" t="s">
        <v>237</v>
      </c>
      <c r="D6008" s="36">
        <v>2356.56</v>
      </c>
      <c r="E6008" s="43" t="s">
        <v>3596</v>
      </c>
    </row>
    <row r="6009" spans="1:5" x14ac:dyDescent="0.35">
      <c r="A6009" s="40">
        <v>43524</v>
      </c>
      <c r="B6009" s="38">
        <v>-1.99</v>
      </c>
      <c r="C6009" s="13" t="s">
        <v>4</v>
      </c>
      <c r="D6009" s="36">
        <v>2576.2800000000002</v>
      </c>
      <c r="E6009" s="43" t="s">
        <v>3596</v>
      </c>
    </row>
    <row r="6010" spans="1:5" x14ac:dyDescent="0.35">
      <c r="A6010" s="40">
        <v>43524</v>
      </c>
      <c r="B6010" s="38">
        <v>-30.2</v>
      </c>
      <c r="C6010" s="13" t="s">
        <v>240</v>
      </c>
      <c r="D6010" s="36">
        <v>2615.2600000000002</v>
      </c>
      <c r="E6010" s="43" t="s">
        <v>3596</v>
      </c>
    </row>
    <row r="6011" spans="1:5" x14ac:dyDescent="0.35">
      <c r="A6011" s="40">
        <v>43524</v>
      </c>
      <c r="B6011" s="38">
        <v>-175.4</v>
      </c>
      <c r="C6011" s="13" t="s">
        <v>238</v>
      </c>
      <c r="D6011" s="36">
        <v>2400.88</v>
      </c>
      <c r="E6011" s="43" t="s">
        <v>3596</v>
      </c>
    </row>
    <row r="6012" spans="1:5" x14ac:dyDescent="0.35">
      <c r="A6012" s="40">
        <v>43524</v>
      </c>
      <c r="B6012" s="38">
        <v>-24.99</v>
      </c>
      <c r="C6012" s="13" t="s">
        <v>239</v>
      </c>
      <c r="D6012" s="36">
        <v>2578.27</v>
      </c>
      <c r="E6012" s="43" t="s">
        <v>3596</v>
      </c>
    </row>
    <row r="6013" spans="1:5" x14ac:dyDescent="0.35">
      <c r="A6013" s="40">
        <v>43524</v>
      </c>
      <c r="B6013" s="38">
        <v>-12</v>
      </c>
      <c r="C6013" s="13" t="s">
        <v>239</v>
      </c>
      <c r="D6013" s="36">
        <v>2603.2600000000002</v>
      </c>
      <c r="E6013" s="43" t="s">
        <v>3596</v>
      </c>
    </row>
    <row r="6014" spans="1:5" x14ac:dyDescent="0.35">
      <c r="A6014" s="40">
        <v>43523</v>
      </c>
      <c r="B6014" s="38">
        <v>-1.96</v>
      </c>
      <c r="C6014" s="13" t="s">
        <v>4</v>
      </c>
      <c r="D6014" s="36">
        <v>1470.71</v>
      </c>
      <c r="E6014" s="43" t="s">
        <v>3596</v>
      </c>
    </row>
    <row r="6015" spans="1:5" x14ac:dyDescent="0.35">
      <c r="A6015" s="40">
        <v>43523</v>
      </c>
      <c r="B6015" s="38">
        <v>1182.25</v>
      </c>
      <c r="C6015" s="13" t="s">
        <v>10</v>
      </c>
      <c r="D6015" s="36">
        <v>2645.46</v>
      </c>
      <c r="E6015" s="43" t="s">
        <v>3596</v>
      </c>
    </row>
    <row r="6016" spans="1:5" x14ac:dyDescent="0.35">
      <c r="A6016" s="40">
        <v>43523</v>
      </c>
      <c r="B6016" s="38">
        <v>-119.98</v>
      </c>
      <c r="C6016" s="13" t="s">
        <v>241</v>
      </c>
      <c r="D6016" s="36">
        <v>1472.67</v>
      </c>
      <c r="E6016" s="43" t="s">
        <v>3596</v>
      </c>
    </row>
    <row r="6017" spans="1:5" x14ac:dyDescent="0.35">
      <c r="A6017" s="40">
        <v>43523</v>
      </c>
      <c r="B6017" s="38">
        <v>-7.5</v>
      </c>
      <c r="C6017" s="13" t="s">
        <v>171</v>
      </c>
      <c r="D6017" s="36">
        <v>1463.21</v>
      </c>
      <c r="E6017" s="43" t="s">
        <v>3596</v>
      </c>
    </row>
    <row r="6018" spans="1:5" x14ac:dyDescent="0.35">
      <c r="A6018" s="40">
        <v>43522</v>
      </c>
      <c r="B6018" s="38">
        <v>-12</v>
      </c>
      <c r="C6018" s="13" t="s">
        <v>242</v>
      </c>
      <c r="D6018" s="36">
        <v>1600.15</v>
      </c>
      <c r="E6018" s="43" t="s">
        <v>3596</v>
      </c>
    </row>
    <row r="6019" spans="1:5" x14ac:dyDescent="0.35">
      <c r="A6019" s="40">
        <v>43522</v>
      </c>
      <c r="B6019" s="38">
        <v>-31.83</v>
      </c>
      <c r="C6019" s="13" t="s">
        <v>243</v>
      </c>
      <c r="D6019" s="36">
        <v>1612.15</v>
      </c>
      <c r="E6019" s="43" t="s">
        <v>3596</v>
      </c>
    </row>
    <row r="6020" spans="1:5" x14ac:dyDescent="0.35">
      <c r="A6020" s="40">
        <v>43522</v>
      </c>
      <c r="B6020" s="38">
        <v>-7.5</v>
      </c>
      <c r="C6020" s="13" t="s">
        <v>171</v>
      </c>
      <c r="D6020" s="36">
        <v>1592.65</v>
      </c>
      <c r="E6020" s="43" t="s">
        <v>3596</v>
      </c>
    </row>
    <row r="6021" spans="1:5" x14ac:dyDescent="0.35">
      <c r="A6021" s="40">
        <v>43521</v>
      </c>
      <c r="B6021" s="38">
        <v>-1.1499999999999999</v>
      </c>
      <c r="C6021" s="13" t="s">
        <v>4</v>
      </c>
      <c r="D6021" s="36">
        <v>1667.68</v>
      </c>
      <c r="E6021" s="43" t="s">
        <v>3596</v>
      </c>
    </row>
    <row r="6022" spans="1:5" x14ac:dyDescent="0.35">
      <c r="A6022" s="40">
        <v>43521</v>
      </c>
      <c r="B6022" s="38">
        <v>-40</v>
      </c>
      <c r="C6022" s="13" t="s">
        <v>1714</v>
      </c>
      <c r="D6022" s="36">
        <v>1621.98</v>
      </c>
      <c r="E6022" s="43" t="s">
        <v>3596</v>
      </c>
    </row>
    <row r="6023" spans="1:5" x14ac:dyDescent="0.35">
      <c r="A6023" s="40">
        <v>43521</v>
      </c>
      <c r="B6023" s="38">
        <v>22</v>
      </c>
      <c r="C6023" s="13" t="s">
        <v>1243</v>
      </c>
      <c r="D6023" s="36">
        <v>1643.98</v>
      </c>
      <c r="E6023" s="43" t="s">
        <v>3596</v>
      </c>
    </row>
    <row r="6024" spans="1:5" x14ac:dyDescent="0.35">
      <c r="A6024" s="40">
        <v>43521</v>
      </c>
      <c r="B6024" s="38">
        <v>-5.7</v>
      </c>
      <c r="C6024" s="13" t="s">
        <v>171</v>
      </c>
      <c r="D6024" s="36">
        <v>1661.98</v>
      </c>
      <c r="E6024" s="43" t="s">
        <v>3596</v>
      </c>
    </row>
    <row r="6025" spans="1:5" x14ac:dyDescent="0.35">
      <c r="A6025" s="40">
        <v>43519</v>
      </c>
      <c r="B6025" s="38">
        <v>-515</v>
      </c>
      <c r="C6025" s="13" t="s">
        <v>949</v>
      </c>
      <c r="D6025" s="36">
        <v>1671.63</v>
      </c>
      <c r="E6025" s="43" t="s">
        <v>3596</v>
      </c>
    </row>
    <row r="6026" spans="1:5" x14ac:dyDescent="0.35">
      <c r="A6026" s="40">
        <v>43519</v>
      </c>
      <c r="B6026" s="38">
        <v>-27.55</v>
      </c>
      <c r="C6026" s="13" t="s">
        <v>245</v>
      </c>
      <c r="D6026" s="36">
        <v>2286.63</v>
      </c>
      <c r="E6026" s="43" t="s">
        <v>3596</v>
      </c>
    </row>
    <row r="6027" spans="1:5" x14ac:dyDescent="0.35">
      <c r="A6027" s="40">
        <v>43519</v>
      </c>
      <c r="B6027" s="38">
        <v>-100</v>
      </c>
      <c r="C6027" s="13" t="s">
        <v>946</v>
      </c>
      <c r="D6027" s="36">
        <v>2186.63</v>
      </c>
      <c r="E6027" s="43" t="s">
        <v>3596</v>
      </c>
    </row>
    <row r="6028" spans="1:5" x14ac:dyDescent="0.35">
      <c r="A6028" s="40">
        <v>43519</v>
      </c>
      <c r="B6028" s="38">
        <v>-20.21</v>
      </c>
      <c r="C6028" s="13" t="s">
        <v>246</v>
      </c>
      <c r="D6028" s="36">
        <v>2314.1799999999998</v>
      </c>
      <c r="E6028" s="43" t="s">
        <v>3596</v>
      </c>
    </row>
    <row r="6029" spans="1:5" x14ac:dyDescent="0.35">
      <c r="A6029" s="40">
        <v>43519</v>
      </c>
      <c r="B6029" s="38">
        <v>-2.8</v>
      </c>
      <c r="C6029" s="13" t="s">
        <v>244</v>
      </c>
      <c r="D6029" s="36">
        <v>1668.83</v>
      </c>
      <c r="E6029" s="43" t="s">
        <v>3596</v>
      </c>
    </row>
    <row r="6030" spans="1:5" x14ac:dyDescent="0.35">
      <c r="A6030" s="40">
        <v>43518</v>
      </c>
      <c r="B6030" s="38">
        <v>30</v>
      </c>
      <c r="C6030" s="13" t="s">
        <v>250</v>
      </c>
      <c r="D6030" s="36">
        <v>2383.84</v>
      </c>
      <c r="E6030" s="43" t="s">
        <v>3596</v>
      </c>
    </row>
    <row r="6031" spans="1:5" x14ac:dyDescent="0.35">
      <c r="A6031" s="40">
        <v>43518</v>
      </c>
      <c r="B6031" s="38">
        <v>-13.1</v>
      </c>
      <c r="C6031" s="13" t="s">
        <v>248</v>
      </c>
      <c r="D6031" s="36">
        <v>2327.2399999999998</v>
      </c>
      <c r="E6031" s="43" t="s">
        <v>3596</v>
      </c>
    </row>
    <row r="6032" spans="1:5" x14ac:dyDescent="0.35">
      <c r="A6032" s="40">
        <v>43518</v>
      </c>
      <c r="B6032" s="38">
        <v>-43.5</v>
      </c>
      <c r="C6032" s="13" t="s">
        <v>249</v>
      </c>
      <c r="D6032" s="36">
        <v>2340.34</v>
      </c>
      <c r="E6032" s="43" t="s">
        <v>3596</v>
      </c>
    </row>
    <row r="6033" spans="1:5" x14ac:dyDescent="0.35">
      <c r="A6033" s="40">
        <v>43518</v>
      </c>
      <c r="B6033" s="38">
        <v>7.15</v>
      </c>
      <c r="C6033" s="13" t="s">
        <v>247</v>
      </c>
      <c r="D6033" s="36">
        <v>2334.39</v>
      </c>
      <c r="E6033" s="43" t="s">
        <v>3596</v>
      </c>
    </row>
    <row r="6034" spans="1:5" x14ac:dyDescent="0.35">
      <c r="A6034" s="40">
        <v>43517</v>
      </c>
      <c r="B6034" s="38">
        <v>-9.9</v>
      </c>
      <c r="C6034" s="13" t="s">
        <v>3630</v>
      </c>
      <c r="D6034" s="36">
        <v>2474.87</v>
      </c>
      <c r="E6034" s="43" t="s">
        <v>3596</v>
      </c>
    </row>
    <row r="6035" spans="1:5" x14ac:dyDescent="0.35">
      <c r="A6035" s="40">
        <v>43517</v>
      </c>
      <c r="B6035" s="38">
        <v>-2.0299999999999998</v>
      </c>
      <c r="C6035" s="13" t="s">
        <v>4</v>
      </c>
      <c r="D6035" s="36">
        <v>2361.7399999999998</v>
      </c>
      <c r="E6035" s="43" t="s">
        <v>3596</v>
      </c>
    </row>
    <row r="6036" spans="1:5" x14ac:dyDescent="0.35">
      <c r="A6036" s="40">
        <v>43517</v>
      </c>
      <c r="B6036" s="38">
        <v>-30</v>
      </c>
      <c r="C6036" s="13" t="s">
        <v>251</v>
      </c>
      <c r="D6036" s="36">
        <v>2413.77</v>
      </c>
      <c r="E6036" s="43" t="s">
        <v>3596</v>
      </c>
    </row>
    <row r="6037" spans="1:5" x14ac:dyDescent="0.35">
      <c r="A6037" s="40">
        <v>43517</v>
      </c>
      <c r="B6037" s="38">
        <v>-50</v>
      </c>
      <c r="C6037" s="13" t="s">
        <v>191</v>
      </c>
      <c r="D6037" s="36">
        <v>2363.77</v>
      </c>
      <c r="E6037" s="43" t="s">
        <v>3596</v>
      </c>
    </row>
    <row r="6038" spans="1:5" x14ac:dyDescent="0.35">
      <c r="A6038" s="40">
        <v>43517</v>
      </c>
      <c r="B6038" s="38">
        <v>-31.1</v>
      </c>
      <c r="C6038" s="13" t="s">
        <v>252</v>
      </c>
      <c r="D6038" s="36">
        <v>2443.77</v>
      </c>
      <c r="E6038" s="43" t="s">
        <v>3596</v>
      </c>
    </row>
    <row r="6039" spans="1:5" x14ac:dyDescent="0.35">
      <c r="A6039" s="40">
        <v>43517</v>
      </c>
      <c r="B6039" s="38">
        <v>-7.9</v>
      </c>
      <c r="C6039" s="13" t="s">
        <v>171</v>
      </c>
      <c r="D6039" s="36">
        <v>2353.84</v>
      </c>
      <c r="E6039" s="43" t="s">
        <v>3596</v>
      </c>
    </row>
    <row r="6040" spans="1:5" x14ac:dyDescent="0.35">
      <c r="A6040" s="40">
        <v>43516</v>
      </c>
      <c r="B6040" s="38">
        <v>-3.79</v>
      </c>
      <c r="C6040" s="13" t="s">
        <v>4</v>
      </c>
      <c r="D6040" s="36">
        <v>1300.8</v>
      </c>
      <c r="E6040" s="43" t="s">
        <v>3596</v>
      </c>
    </row>
    <row r="6041" spans="1:5" x14ac:dyDescent="0.35">
      <c r="A6041" s="40">
        <v>43516</v>
      </c>
      <c r="B6041" s="38">
        <v>1191.47</v>
      </c>
      <c r="C6041" s="13" t="s">
        <v>10</v>
      </c>
      <c r="D6041" s="36">
        <v>2484.77</v>
      </c>
      <c r="E6041" s="43" t="s">
        <v>3596</v>
      </c>
    </row>
    <row r="6042" spans="1:5" x14ac:dyDescent="0.35">
      <c r="A6042" s="40">
        <v>43516</v>
      </c>
      <c r="B6042" s="38">
        <v>-7.5</v>
      </c>
      <c r="C6042" s="13" t="s">
        <v>171</v>
      </c>
      <c r="D6042" s="36">
        <v>1293.3</v>
      </c>
      <c r="E6042" s="43" t="s">
        <v>3596</v>
      </c>
    </row>
    <row r="6043" spans="1:5" x14ac:dyDescent="0.35">
      <c r="A6043" s="40">
        <v>43515</v>
      </c>
      <c r="B6043" s="38">
        <v>-21</v>
      </c>
      <c r="C6043" s="13" t="s">
        <v>254</v>
      </c>
      <c r="D6043" s="36">
        <v>1314.59</v>
      </c>
      <c r="E6043" s="43" t="s">
        <v>3596</v>
      </c>
    </row>
    <row r="6044" spans="1:5" x14ac:dyDescent="0.35">
      <c r="A6044" s="40">
        <v>43515</v>
      </c>
      <c r="B6044" s="38">
        <v>14</v>
      </c>
      <c r="C6044" s="13" t="s">
        <v>1243</v>
      </c>
      <c r="D6044" s="36">
        <v>1304.5899999999999</v>
      </c>
      <c r="E6044" s="43" t="s">
        <v>3596</v>
      </c>
    </row>
    <row r="6045" spans="1:5" x14ac:dyDescent="0.35">
      <c r="A6045" s="40">
        <v>43515</v>
      </c>
      <c r="B6045" s="38">
        <v>-16.5</v>
      </c>
      <c r="C6045" s="13" t="s">
        <v>253</v>
      </c>
      <c r="D6045" s="36">
        <v>1298.0899999999999</v>
      </c>
      <c r="E6045" s="43" t="s">
        <v>3596</v>
      </c>
    </row>
    <row r="6046" spans="1:5" x14ac:dyDescent="0.35">
      <c r="A6046" s="40">
        <v>43515</v>
      </c>
      <c r="B6046" s="38">
        <v>-7.5</v>
      </c>
      <c r="C6046" s="13" t="s">
        <v>171</v>
      </c>
      <c r="D6046" s="36">
        <v>1290.5899999999999</v>
      </c>
      <c r="E6046" s="43" t="s">
        <v>3596</v>
      </c>
    </row>
    <row r="6047" spans="1:5" x14ac:dyDescent="0.35">
      <c r="A6047" s="40">
        <v>43514</v>
      </c>
      <c r="B6047" s="38">
        <v>-7.58</v>
      </c>
      <c r="C6047" s="13" t="s">
        <v>4</v>
      </c>
      <c r="D6047" s="36">
        <v>1343.49</v>
      </c>
      <c r="E6047" s="43" t="s">
        <v>3596</v>
      </c>
    </row>
    <row r="6048" spans="1:5" x14ac:dyDescent="0.35">
      <c r="A6048" s="40">
        <v>43514</v>
      </c>
      <c r="B6048" s="38">
        <v>-7.9</v>
      </c>
      <c r="C6048" s="13" t="s">
        <v>171</v>
      </c>
      <c r="D6048" s="36">
        <v>1335.59</v>
      </c>
      <c r="E6048" s="43" t="s">
        <v>3596</v>
      </c>
    </row>
    <row r="6049" spans="1:5" x14ac:dyDescent="0.35">
      <c r="A6049" s="40">
        <v>43512</v>
      </c>
      <c r="B6049" s="38">
        <v>-515</v>
      </c>
      <c r="C6049" s="13" t="s">
        <v>949</v>
      </c>
      <c r="D6049" s="36">
        <v>1351.07</v>
      </c>
      <c r="E6049" s="43" t="s">
        <v>3596</v>
      </c>
    </row>
    <row r="6050" spans="1:5" x14ac:dyDescent="0.35">
      <c r="A6050" s="40">
        <v>43512</v>
      </c>
      <c r="B6050" s="38">
        <v>-100</v>
      </c>
      <c r="C6050" s="13" t="s">
        <v>946</v>
      </c>
      <c r="D6050" s="36">
        <v>1866.07</v>
      </c>
      <c r="E6050" s="43" t="s">
        <v>3596</v>
      </c>
    </row>
    <row r="6051" spans="1:5" x14ac:dyDescent="0.35">
      <c r="A6051" s="40">
        <v>43511</v>
      </c>
      <c r="B6051" s="38">
        <v>300</v>
      </c>
      <c r="C6051" s="13" t="s">
        <v>1684</v>
      </c>
      <c r="D6051" s="36">
        <v>1978.57</v>
      </c>
      <c r="E6051" s="43" t="s">
        <v>3596</v>
      </c>
    </row>
    <row r="6052" spans="1:5" x14ac:dyDescent="0.35">
      <c r="A6052" s="40">
        <v>43511</v>
      </c>
      <c r="B6052" s="38">
        <v>-12.5</v>
      </c>
      <c r="C6052" s="13" t="s">
        <v>312</v>
      </c>
      <c r="D6052" s="36">
        <v>1966.07</v>
      </c>
      <c r="E6052" s="43" t="s">
        <v>3596</v>
      </c>
    </row>
    <row r="6053" spans="1:5" x14ac:dyDescent="0.35">
      <c r="A6053" s="40">
        <v>43511</v>
      </c>
      <c r="B6053" s="38">
        <v>-7.5</v>
      </c>
      <c r="C6053" s="13" t="s">
        <v>171</v>
      </c>
      <c r="D6053" s="36">
        <v>1678.57</v>
      </c>
      <c r="E6053" s="43" t="s">
        <v>3596</v>
      </c>
    </row>
    <row r="6054" spans="1:5" x14ac:dyDescent="0.35">
      <c r="A6054" s="40">
        <v>43510</v>
      </c>
      <c r="B6054" s="38">
        <v>-7.31</v>
      </c>
      <c r="C6054" s="13" t="s">
        <v>4</v>
      </c>
      <c r="D6054" s="36">
        <v>1889.37</v>
      </c>
      <c r="E6054" s="43" t="s">
        <v>3596</v>
      </c>
    </row>
    <row r="6055" spans="1:5" x14ac:dyDescent="0.35">
      <c r="A6055" s="40">
        <v>43510</v>
      </c>
      <c r="B6055" s="38">
        <v>-20</v>
      </c>
      <c r="C6055" s="13" t="s">
        <v>1714</v>
      </c>
      <c r="D6055" s="36">
        <v>1861.47</v>
      </c>
      <c r="E6055" s="43" t="s">
        <v>3596</v>
      </c>
    </row>
    <row r="6056" spans="1:5" x14ac:dyDescent="0.35">
      <c r="A6056" s="40">
        <v>43510</v>
      </c>
      <c r="B6056" s="38">
        <v>-175.4</v>
      </c>
      <c r="C6056" s="13" t="s">
        <v>255</v>
      </c>
      <c r="D6056" s="36">
        <v>1686.07</v>
      </c>
      <c r="E6056" s="43" t="s">
        <v>3596</v>
      </c>
    </row>
    <row r="6057" spans="1:5" x14ac:dyDescent="0.35">
      <c r="A6057" s="40">
        <v>43510</v>
      </c>
      <c r="B6057" s="38">
        <v>-34.49</v>
      </c>
      <c r="C6057" s="13" t="s">
        <v>257</v>
      </c>
      <c r="D6057" s="36">
        <v>1956.68</v>
      </c>
      <c r="E6057" s="43" t="s">
        <v>3596</v>
      </c>
    </row>
    <row r="6058" spans="1:5" x14ac:dyDescent="0.35">
      <c r="A6058" s="40">
        <v>43510</v>
      </c>
      <c r="B6058" s="38">
        <v>-7.9</v>
      </c>
      <c r="C6058" s="13" t="s">
        <v>171</v>
      </c>
      <c r="D6058" s="36">
        <v>1881.47</v>
      </c>
      <c r="E6058" s="43" t="s">
        <v>3596</v>
      </c>
    </row>
    <row r="6059" spans="1:5" x14ac:dyDescent="0.35">
      <c r="A6059" s="40">
        <v>43510</v>
      </c>
      <c r="B6059" s="38">
        <v>-60</v>
      </c>
      <c r="C6059" s="13" t="s">
        <v>256</v>
      </c>
      <c r="D6059" s="36">
        <v>1896.68</v>
      </c>
      <c r="E6059" s="43" t="s">
        <v>3596</v>
      </c>
    </row>
    <row r="6060" spans="1:5" x14ac:dyDescent="0.35">
      <c r="A6060" s="40">
        <v>43509</v>
      </c>
      <c r="B6060" s="38">
        <v>-40.51</v>
      </c>
      <c r="C6060" s="13" t="s">
        <v>261</v>
      </c>
      <c r="D6060" s="36">
        <v>842.12</v>
      </c>
      <c r="E6060" s="43" t="s">
        <v>3596</v>
      </c>
    </row>
    <row r="6061" spans="1:5" x14ac:dyDescent="0.35">
      <c r="A6061" s="40">
        <v>43509</v>
      </c>
      <c r="B6061" s="38">
        <v>-18.8</v>
      </c>
      <c r="C6061" s="13" t="s">
        <v>259</v>
      </c>
      <c r="D6061" s="36">
        <v>818.82</v>
      </c>
      <c r="E6061" s="43" t="s">
        <v>3596</v>
      </c>
    </row>
    <row r="6062" spans="1:5" x14ac:dyDescent="0.35">
      <c r="A6062" s="40">
        <v>43509</v>
      </c>
      <c r="B6062" s="38">
        <v>1182.25</v>
      </c>
      <c r="C6062" s="13" t="s">
        <v>10</v>
      </c>
      <c r="D6062" s="36">
        <v>1991.17</v>
      </c>
      <c r="E6062" s="43" t="s">
        <v>3596</v>
      </c>
    </row>
    <row r="6063" spans="1:5" x14ac:dyDescent="0.35">
      <c r="A6063" s="40">
        <v>43509</v>
      </c>
      <c r="B6063" s="38">
        <v>-3</v>
      </c>
      <c r="C6063" s="13" t="s">
        <v>258</v>
      </c>
      <c r="D6063" s="36">
        <v>808.92</v>
      </c>
      <c r="E6063" s="43" t="s">
        <v>3596</v>
      </c>
    </row>
    <row r="6064" spans="1:5" x14ac:dyDescent="0.35">
      <c r="A6064" s="40">
        <v>43509</v>
      </c>
      <c r="B6064" s="38">
        <v>-6.9</v>
      </c>
      <c r="C6064" s="13" t="s">
        <v>171</v>
      </c>
      <c r="D6064" s="36">
        <v>811.92</v>
      </c>
      <c r="E6064" s="43" t="s">
        <v>3596</v>
      </c>
    </row>
    <row r="6065" spans="1:5" x14ac:dyDescent="0.35">
      <c r="A6065" s="40">
        <v>43509</v>
      </c>
      <c r="B6065" s="38">
        <v>-4.5</v>
      </c>
      <c r="C6065" s="13" t="s">
        <v>260</v>
      </c>
      <c r="D6065" s="36">
        <v>837.62</v>
      </c>
      <c r="E6065" s="43" t="s">
        <v>3596</v>
      </c>
    </row>
    <row r="6066" spans="1:5" x14ac:dyDescent="0.35">
      <c r="A6066" s="40">
        <v>43508</v>
      </c>
      <c r="B6066" s="38">
        <v>-14.9</v>
      </c>
      <c r="C6066" s="13" t="s">
        <v>171</v>
      </c>
      <c r="D6066" s="36">
        <v>882.63</v>
      </c>
      <c r="E6066" s="43" t="s">
        <v>3596</v>
      </c>
    </row>
    <row r="6067" spans="1:5" x14ac:dyDescent="0.35">
      <c r="A6067" s="40">
        <v>43507</v>
      </c>
      <c r="B6067" s="38">
        <v>-1.1100000000000001</v>
      </c>
      <c r="C6067" s="13" t="s">
        <v>4</v>
      </c>
      <c r="D6067" s="36">
        <v>970.53</v>
      </c>
      <c r="E6067" s="43" t="s">
        <v>3596</v>
      </c>
    </row>
    <row r="6068" spans="1:5" x14ac:dyDescent="0.35">
      <c r="A6068" s="40">
        <v>43507</v>
      </c>
      <c r="B6068" s="38">
        <v>-73</v>
      </c>
      <c r="C6068" s="13" t="s">
        <v>37</v>
      </c>
      <c r="D6068" s="36">
        <v>897.53</v>
      </c>
      <c r="E6068" s="43" t="s">
        <v>3596</v>
      </c>
    </row>
    <row r="6069" spans="1:5" x14ac:dyDescent="0.35">
      <c r="A6069" s="40">
        <v>43506</v>
      </c>
      <c r="B6069" s="38">
        <v>-20</v>
      </c>
      <c r="C6069" s="13" t="s">
        <v>1722</v>
      </c>
      <c r="D6069" s="36">
        <v>1026.6400000000001</v>
      </c>
      <c r="E6069" s="43" t="s">
        <v>3596</v>
      </c>
    </row>
    <row r="6070" spans="1:5" x14ac:dyDescent="0.35">
      <c r="A6070" s="40">
        <v>43506</v>
      </c>
      <c r="B6070" s="38">
        <v>-50</v>
      </c>
      <c r="C6070" s="13" t="s">
        <v>1721</v>
      </c>
      <c r="D6070" s="36">
        <v>974.14</v>
      </c>
      <c r="E6070" s="43" t="s">
        <v>3596</v>
      </c>
    </row>
    <row r="6071" spans="1:5" x14ac:dyDescent="0.35">
      <c r="A6071" s="40">
        <v>43506</v>
      </c>
      <c r="B6071" s="38">
        <v>-50</v>
      </c>
      <c r="C6071" s="13" t="s">
        <v>191</v>
      </c>
      <c r="D6071" s="36">
        <v>1046.6400000000001</v>
      </c>
      <c r="E6071" s="43" t="s">
        <v>3596</v>
      </c>
    </row>
    <row r="6072" spans="1:5" x14ac:dyDescent="0.35">
      <c r="A6072" s="40">
        <v>43506</v>
      </c>
      <c r="B6072" s="38">
        <v>-2.5</v>
      </c>
      <c r="C6072" s="13" t="s">
        <v>24</v>
      </c>
      <c r="D6072" s="36">
        <v>971.64</v>
      </c>
      <c r="E6072" s="43" t="s">
        <v>3596</v>
      </c>
    </row>
    <row r="6073" spans="1:5" x14ac:dyDescent="0.35">
      <c r="A6073" s="40">
        <v>43506</v>
      </c>
      <c r="B6073" s="38">
        <v>-2.5</v>
      </c>
      <c r="C6073" s="13" t="s">
        <v>24</v>
      </c>
      <c r="D6073" s="36">
        <v>1024.1400000000001</v>
      </c>
      <c r="E6073" s="43" t="s">
        <v>3596</v>
      </c>
    </row>
    <row r="6074" spans="1:5" x14ac:dyDescent="0.35">
      <c r="A6074" s="40">
        <v>43506</v>
      </c>
      <c r="B6074" s="38">
        <v>-42</v>
      </c>
      <c r="C6074" s="13" t="s">
        <v>262</v>
      </c>
      <c r="D6074" s="36">
        <v>1096.6400000000001</v>
      </c>
      <c r="E6074" s="43" t="s">
        <v>3596</v>
      </c>
    </row>
    <row r="6075" spans="1:5" x14ac:dyDescent="0.35">
      <c r="A6075" s="40">
        <v>43505</v>
      </c>
      <c r="B6075" s="38">
        <v>-515</v>
      </c>
      <c r="C6075" s="13" t="s">
        <v>949</v>
      </c>
      <c r="D6075" s="36">
        <v>1174.0899999999999</v>
      </c>
      <c r="E6075" s="43" t="s">
        <v>3596</v>
      </c>
    </row>
    <row r="6076" spans="1:5" x14ac:dyDescent="0.35">
      <c r="A6076" s="40">
        <v>43505</v>
      </c>
      <c r="B6076" s="38">
        <v>-22.95</v>
      </c>
      <c r="C6076" s="13" t="s">
        <v>263</v>
      </c>
      <c r="D6076" s="36">
        <v>1138.6400000000001</v>
      </c>
      <c r="E6076" s="43" t="s">
        <v>3596</v>
      </c>
    </row>
    <row r="6077" spans="1:5" x14ac:dyDescent="0.35">
      <c r="A6077" s="40">
        <v>43505</v>
      </c>
      <c r="B6077" s="38">
        <v>-100</v>
      </c>
      <c r="C6077" s="13" t="s">
        <v>946</v>
      </c>
      <c r="D6077" s="36">
        <v>1689.09</v>
      </c>
      <c r="E6077" s="43" t="s">
        <v>3596</v>
      </c>
    </row>
    <row r="6078" spans="1:5" x14ac:dyDescent="0.35">
      <c r="A6078" s="40">
        <v>43505</v>
      </c>
      <c r="B6078" s="38">
        <v>-12.5</v>
      </c>
      <c r="C6078" s="13" t="s">
        <v>264</v>
      </c>
      <c r="D6078" s="36">
        <v>1161.5899999999999</v>
      </c>
      <c r="E6078" s="43" t="s">
        <v>3596</v>
      </c>
    </row>
    <row r="6079" spans="1:5" x14ac:dyDescent="0.35">
      <c r="A6079" s="40">
        <v>43504</v>
      </c>
      <c r="B6079" s="38">
        <v>-0.72</v>
      </c>
      <c r="C6079" s="13" t="s">
        <v>4</v>
      </c>
      <c r="D6079" s="36">
        <v>1802.59</v>
      </c>
      <c r="E6079" s="43" t="s">
        <v>3596</v>
      </c>
    </row>
    <row r="6080" spans="1:5" x14ac:dyDescent="0.35">
      <c r="A6080" s="40">
        <v>43504</v>
      </c>
      <c r="B6080" s="38">
        <v>-12.5</v>
      </c>
      <c r="C6080" s="13" t="s">
        <v>265</v>
      </c>
      <c r="D6080" s="36">
        <v>1803.31</v>
      </c>
      <c r="E6080" s="43" t="s">
        <v>3596</v>
      </c>
    </row>
    <row r="6081" spans="1:5" x14ac:dyDescent="0.35">
      <c r="A6081" s="40">
        <v>43504</v>
      </c>
      <c r="B6081" s="38">
        <v>-13.5</v>
      </c>
      <c r="C6081" s="13" t="s">
        <v>171</v>
      </c>
      <c r="D6081" s="36">
        <v>1789.09</v>
      </c>
      <c r="E6081" s="43" t="s">
        <v>3596</v>
      </c>
    </row>
    <row r="6082" spans="1:5" x14ac:dyDescent="0.35">
      <c r="A6082" s="40">
        <v>43503</v>
      </c>
      <c r="B6082" s="38">
        <v>-6.15</v>
      </c>
      <c r="C6082" s="13" t="s">
        <v>3631</v>
      </c>
      <c r="D6082" s="36">
        <v>1885.88</v>
      </c>
      <c r="E6082" s="43" t="s">
        <v>3596</v>
      </c>
    </row>
    <row r="6083" spans="1:5" x14ac:dyDescent="0.35">
      <c r="A6083" s="40">
        <v>43503</v>
      </c>
      <c r="B6083" s="38">
        <v>-4.96</v>
      </c>
      <c r="C6083" s="13" t="s">
        <v>4</v>
      </c>
      <c r="D6083" s="36">
        <v>1815.81</v>
      </c>
      <c r="E6083" s="43" t="s">
        <v>3596</v>
      </c>
    </row>
    <row r="6084" spans="1:5" x14ac:dyDescent="0.35">
      <c r="A6084" s="40">
        <v>43503</v>
      </c>
      <c r="B6084" s="38">
        <v>-29.5</v>
      </c>
      <c r="C6084" s="13" t="s">
        <v>267</v>
      </c>
      <c r="D6084" s="36">
        <v>1856.38</v>
      </c>
      <c r="E6084" s="43" t="s">
        <v>3596</v>
      </c>
    </row>
    <row r="6085" spans="1:5" x14ac:dyDescent="0.35">
      <c r="A6085" s="40">
        <v>43503</v>
      </c>
      <c r="B6085" s="38">
        <v>-35.61</v>
      </c>
      <c r="C6085" s="13" t="s">
        <v>266</v>
      </c>
      <c r="D6085" s="36">
        <v>1820.77</v>
      </c>
      <c r="E6085" s="43" t="s">
        <v>3596</v>
      </c>
    </row>
    <row r="6086" spans="1:5" x14ac:dyDescent="0.35">
      <c r="A6086" s="40">
        <v>43502</v>
      </c>
      <c r="B6086" s="38">
        <v>-6.69</v>
      </c>
      <c r="C6086" s="13" t="s">
        <v>4</v>
      </c>
      <c r="D6086" s="36">
        <v>892.83</v>
      </c>
      <c r="E6086" s="43" t="s">
        <v>3596</v>
      </c>
    </row>
    <row r="6087" spans="1:5" x14ac:dyDescent="0.35">
      <c r="A6087" s="40">
        <v>43502</v>
      </c>
      <c r="B6087" s="38">
        <v>-36</v>
      </c>
      <c r="C6087" s="13" t="s">
        <v>269</v>
      </c>
      <c r="D6087" s="36">
        <v>958.52</v>
      </c>
      <c r="E6087" s="43" t="s">
        <v>3596</v>
      </c>
    </row>
    <row r="6088" spans="1:5" x14ac:dyDescent="0.35">
      <c r="A6088" s="40">
        <v>43502</v>
      </c>
      <c r="B6088" s="38">
        <v>999.2</v>
      </c>
      <c r="C6088" s="13" t="s">
        <v>10</v>
      </c>
      <c r="D6088" s="36">
        <v>1892.03</v>
      </c>
      <c r="E6088" s="43" t="s">
        <v>3596</v>
      </c>
    </row>
    <row r="6089" spans="1:5" x14ac:dyDescent="0.35">
      <c r="A6089" s="40">
        <v>43502</v>
      </c>
      <c r="B6089" s="38">
        <v>-59</v>
      </c>
      <c r="C6089" s="13" t="s">
        <v>268</v>
      </c>
      <c r="D6089" s="36">
        <v>899.52</v>
      </c>
      <c r="E6089" s="43" t="s">
        <v>3596</v>
      </c>
    </row>
    <row r="6090" spans="1:5" x14ac:dyDescent="0.35">
      <c r="A6090" s="40">
        <v>43501</v>
      </c>
      <c r="B6090" s="38">
        <v>-0.96</v>
      </c>
      <c r="C6090" s="13" t="s">
        <v>4</v>
      </c>
      <c r="D6090" s="36">
        <v>1008.02</v>
      </c>
      <c r="E6090" s="43" t="s">
        <v>3596</v>
      </c>
    </row>
    <row r="6091" spans="1:5" x14ac:dyDescent="0.35">
      <c r="A6091" s="40">
        <v>43501</v>
      </c>
      <c r="B6091" s="38">
        <v>-30</v>
      </c>
      <c r="C6091" s="13" t="s">
        <v>270</v>
      </c>
      <c r="D6091" s="36">
        <v>1008.98</v>
      </c>
      <c r="E6091" s="43" t="s">
        <v>3596</v>
      </c>
    </row>
    <row r="6092" spans="1:5" x14ac:dyDescent="0.35">
      <c r="A6092" s="40">
        <v>43501</v>
      </c>
      <c r="B6092" s="38">
        <v>-11.61</v>
      </c>
      <c r="C6092" s="13" t="s">
        <v>271</v>
      </c>
      <c r="D6092" s="36">
        <v>1038.98</v>
      </c>
      <c r="E6092" s="43" t="s">
        <v>3596</v>
      </c>
    </row>
    <row r="6093" spans="1:5" x14ac:dyDescent="0.35">
      <c r="A6093" s="40">
        <v>43501</v>
      </c>
      <c r="B6093" s="38">
        <v>-13.5</v>
      </c>
      <c r="C6093" s="13" t="s">
        <v>171</v>
      </c>
      <c r="D6093" s="36">
        <v>994.52</v>
      </c>
      <c r="E6093" s="43" t="s">
        <v>3596</v>
      </c>
    </row>
    <row r="6094" spans="1:5" x14ac:dyDescent="0.35">
      <c r="A6094" s="40">
        <v>43500</v>
      </c>
      <c r="B6094" s="38">
        <v>-1.85</v>
      </c>
      <c r="C6094" s="13" t="s">
        <v>4</v>
      </c>
      <c r="D6094" s="36">
        <v>1064.0899999999999</v>
      </c>
      <c r="E6094" s="43" t="s">
        <v>3596</v>
      </c>
    </row>
    <row r="6095" spans="1:5" x14ac:dyDescent="0.35">
      <c r="A6095" s="40">
        <v>43500</v>
      </c>
      <c r="B6095" s="38">
        <v>-13.5</v>
      </c>
      <c r="C6095" s="13" t="s">
        <v>171</v>
      </c>
      <c r="D6095" s="36">
        <v>1050.5899999999999</v>
      </c>
      <c r="E6095" s="43" t="s">
        <v>3596</v>
      </c>
    </row>
    <row r="6096" spans="1:5" x14ac:dyDescent="0.35">
      <c r="A6096" s="40">
        <v>43498</v>
      </c>
      <c r="B6096" s="38">
        <v>-515</v>
      </c>
      <c r="C6096" s="13" t="s">
        <v>949</v>
      </c>
      <c r="D6096" s="36">
        <v>1070.44</v>
      </c>
      <c r="E6096" s="43" t="s">
        <v>3596</v>
      </c>
    </row>
    <row r="6097" spans="1:5" x14ac:dyDescent="0.35">
      <c r="A6097" s="40">
        <v>43498</v>
      </c>
      <c r="B6097" s="38">
        <v>-100</v>
      </c>
      <c r="C6097" s="13" t="s">
        <v>946</v>
      </c>
      <c r="D6097" s="36">
        <v>1585.44</v>
      </c>
      <c r="E6097" s="43" t="s">
        <v>3596</v>
      </c>
    </row>
    <row r="6098" spans="1:5" x14ac:dyDescent="0.35">
      <c r="A6098" s="40">
        <v>43498</v>
      </c>
      <c r="B6098" s="38">
        <v>-4.5</v>
      </c>
      <c r="C6098" s="13" t="s">
        <v>272</v>
      </c>
      <c r="D6098" s="36">
        <v>1065.94</v>
      </c>
      <c r="E6098" s="43" t="s">
        <v>3596</v>
      </c>
    </row>
    <row r="6099" spans="1:5" x14ac:dyDescent="0.35">
      <c r="A6099" s="40">
        <v>43497</v>
      </c>
      <c r="B6099" s="38">
        <v>-5.2</v>
      </c>
      <c r="C6099" s="13" t="s">
        <v>4</v>
      </c>
      <c r="D6099" s="36">
        <v>1851.84</v>
      </c>
      <c r="E6099" s="43" t="s">
        <v>3596</v>
      </c>
    </row>
    <row r="6100" spans="1:5" x14ac:dyDescent="0.35">
      <c r="A6100" s="40">
        <v>43497</v>
      </c>
      <c r="B6100" s="38">
        <v>-166.4</v>
      </c>
      <c r="C6100" s="13" t="s">
        <v>273</v>
      </c>
      <c r="D6100" s="36">
        <v>1685.44</v>
      </c>
      <c r="E6100" s="43" t="s">
        <v>3596</v>
      </c>
    </row>
    <row r="6101" spans="1:5" x14ac:dyDescent="0.35">
      <c r="A6101" s="40">
        <v>43497</v>
      </c>
      <c r="B6101" s="38">
        <v>-14.9</v>
      </c>
      <c r="C6101" s="13" t="s">
        <v>274</v>
      </c>
      <c r="D6101" s="36">
        <v>1857.04</v>
      </c>
      <c r="E6101" s="43" t="s">
        <v>3596</v>
      </c>
    </row>
    <row r="6102" spans="1:5" x14ac:dyDescent="0.35">
      <c r="A6102" s="40">
        <v>43496</v>
      </c>
      <c r="B6102" s="38">
        <v>-12.6</v>
      </c>
      <c r="C6102" s="13" t="s">
        <v>278</v>
      </c>
      <c r="D6102" s="36">
        <v>2194.8200000000002</v>
      </c>
      <c r="E6102" s="43" t="s">
        <v>3596</v>
      </c>
    </row>
    <row r="6103" spans="1:5" x14ac:dyDescent="0.35">
      <c r="A6103" s="40">
        <v>43496</v>
      </c>
      <c r="B6103" s="38">
        <v>-1.55</v>
      </c>
      <c r="C6103" s="13" t="s">
        <v>4</v>
      </c>
      <c r="D6103" s="36">
        <v>2078.39</v>
      </c>
      <c r="E6103" s="43" t="s">
        <v>3596</v>
      </c>
    </row>
    <row r="6104" spans="1:5" x14ac:dyDescent="0.35">
      <c r="A6104" s="40">
        <v>43496</v>
      </c>
      <c r="B6104" s="38">
        <v>-34.9</v>
      </c>
      <c r="C6104" s="13" t="s">
        <v>276</v>
      </c>
      <c r="D6104" s="36">
        <v>2129.94</v>
      </c>
      <c r="E6104" s="43" t="s">
        <v>3596</v>
      </c>
    </row>
    <row r="6105" spans="1:5" x14ac:dyDescent="0.35">
      <c r="A6105" s="40">
        <v>43496</v>
      </c>
      <c r="B6105" s="38">
        <v>-4.4000000000000004</v>
      </c>
      <c r="C6105" s="13" t="s">
        <v>280</v>
      </c>
      <c r="D6105" s="36">
        <v>2220.2199999999998</v>
      </c>
      <c r="E6105" s="43" t="s">
        <v>3596</v>
      </c>
    </row>
    <row r="6106" spans="1:5" x14ac:dyDescent="0.35">
      <c r="A6106" s="40">
        <v>43496</v>
      </c>
      <c r="B6106" s="38">
        <v>-4.4000000000000004</v>
      </c>
      <c r="C6106" s="13" t="s">
        <v>280</v>
      </c>
      <c r="D6106" s="36">
        <v>2224.62</v>
      </c>
      <c r="E6106" s="43" t="s">
        <v>3596</v>
      </c>
    </row>
    <row r="6107" spans="1:5" x14ac:dyDescent="0.35">
      <c r="A6107" s="40">
        <v>43496</v>
      </c>
      <c r="B6107" s="38">
        <v>-50</v>
      </c>
      <c r="C6107" s="13" t="s">
        <v>191</v>
      </c>
      <c r="D6107" s="36">
        <v>2079.94</v>
      </c>
      <c r="E6107" s="43" t="s">
        <v>3596</v>
      </c>
    </row>
    <row r="6108" spans="1:5" x14ac:dyDescent="0.35">
      <c r="A6108" s="40">
        <v>43496</v>
      </c>
      <c r="B6108" s="38">
        <v>-17.149999999999999</v>
      </c>
      <c r="C6108" s="13" t="s">
        <v>91</v>
      </c>
      <c r="D6108" s="36">
        <v>2047.34</v>
      </c>
      <c r="E6108" s="43" t="s">
        <v>3596</v>
      </c>
    </row>
    <row r="6109" spans="1:5" x14ac:dyDescent="0.35">
      <c r="A6109" s="40">
        <v>43496</v>
      </c>
      <c r="B6109" s="38">
        <v>-12.8</v>
      </c>
      <c r="C6109" s="13" t="s">
        <v>279</v>
      </c>
      <c r="D6109" s="36">
        <v>2207.42</v>
      </c>
      <c r="E6109" s="43" t="s">
        <v>3596</v>
      </c>
    </row>
    <row r="6110" spans="1:5" x14ac:dyDescent="0.35">
      <c r="A6110" s="40">
        <v>43496</v>
      </c>
      <c r="B6110" s="38">
        <v>-29.98</v>
      </c>
      <c r="C6110" s="13" t="s">
        <v>277</v>
      </c>
      <c r="D6110" s="36">
        <v>2164.84</v>
      </c>
      <c r="E6110" s="43" t="s">
        <v>3596</v>
      </c>
    </row>
    <row r="6111" spans="1:5" x14ac:dyDescent="0.35">
      <c r="A6111" s="40">
        <v>43496</v>
      </c>
      <c r="B6111" s="38">
        <v>-175.4</v>
      </c>
      <c r="C6111" s="13" t="s">
        <v>275</v>
      </c>
      <c r="D6111" s="36">
        <v>1871.94</v>
      </c>
      <c r="E6111" s="43" t="s">
        <v>3596</v>
      </c>
    </row>
    <row r="6112" spans="1:5" x14ac:dyDescent="0.35">
      <c r="A6112" s="40">
        <v>43496</v>
      </c>
      <c r="B6112" s="38">
        <v>-13.5</v>
      </c>
      <c r="C6112" s="13" t="s">
        <v>281</v>
      </c>
      <c r="D6112" s="36">
        <v>2229.02</v>
      </c>
      <c r="E6112" s="43" t="s">
        <v>3596</v>
      </c>
    </row>
    <row r="6113" spans="1:5" x14ac:dyDescent="0.35">
      <c r="A6113" s="40">
        <v>43496</v>
      </c>
      <c r="B6113" s="38">
        <v>-13.9</v>
      </c>
      <c r="C6113" s="13" t="s">
        <v>171</v>
      </c>
      <c r="D6113" s="36">
        <v>2064.4899999999998</v>
      </c>
      <c r="E6113" s="43" t="s">
        <v>3596</v>
      </c>
    </row>
    <row r="6114" spans="1:5" x14ac:dyDescent="0.35">
      <c r="A6114" s="40">
        <v>43495</v>
      </c>
      <c r="B6114" s="38">
        <v>-0.97</v>
      </c>
      <c r="C6114" s="13" t="s">
        <v>284</v>
      </c>
      <c r="D6114" s="36">
        <v>1124.08</v>
      </c>
      <c r="E6114" s="43" t="s">
        <v>3596</v>
      </c>
    </row>
    <row r="6115" spans="1:5" x14ac:dyDescent="0.35">
      <c r="A6115" s="40">
        <v>43495</v>
      </c>
      <c r="B6115" s="38">
        <v>-4.3099999999999996</v>
      </c>
      <c r="C6115" s="13" t="s">
        <v>4</v>
      </c>
      <c r="D6115" s="36">
        <v>1060.27</v>
      </c>
      <c r="E6115" s="43" t="s">
        <v>3596</v>
      </c>
    </row>
    <row r="6116" spans="1:5" x14ac:dyDescent="0.35">
      <c r="A6116" s="40">
        <v>43495</v>
      </c>
      <c r="B6116" s="38">
        <v>-30</v>
      </c>
      <c r="C6116" s="13" t="s">
        <v>282</v>
      </c>
      <c r="D6116" s="36">
        <v>1064.58</v>
      </c>
      <c r="E6116" s="43" t="s">
        <v>3596</v>
      </c>
    </row>
    <row r="6117" spans="1:5" x14ac:dyDescent="0.35">
      <c r="A6117" s="40">
        <v>43495</v>
      </c>
      <c r="B6117" s="38">
        <v>1182.25</v>
      </c>
      <c r="C6117" s="13" t="s">
        <v>10</v>
      </c>
      <c r="D6117" s="36">
        <v>2242.52</v>
      </c>
      <c r="E6117" s="43" t="s">
        <v>3596</v>
      </c>
    </row>
    <row r="6118" spans="1:5" x14ac:dyDescent="0.35">
      <c r="A6118" s="40">
        <v>43495</v>
      </c>
      <c r="B6118" s="38">
        <v>-29.5</v>
      </c>
      <c r="C6118" s="13" t="s">
        <v>283</v>
      </c>
      <c r="D6118" s="36">
        <v>1094.58</v>
      </c>
      <c r="E6118" s="43" t="s">
        <v>3596</v>
      </c>
    </row>
    <row r="6119" spans="1:5" x14ac:dyDescent="0.35">
      <c r="A6119" s="40">
        <v>43495</v>
      </c>
      <c r="B6119" s="38">
        <v>-13.5</v>
      </c>
      <c r="C6119" s="13" t="s">
        <v>285</v>
      </c>
      <c r="D6119" s="36">
        <v>1125.05</v>
      </c>
      <c r="E6119" s="43" t="s">
        <v>3596</v>
      </c>
    </row>
    <row r="6120" spans="1:5" x14ac:dyDescent="0.35">
      <c r="A6120" s="40">
        <v>43494</v>
      </c>
      <c r="B6120" s="38">
        <v>-3.14</v>
      </c>
      <c r="C6120" s="13" t="s">
        <v>4</v>
      </c>
      <c r="D6120" s="36">
        <v>1138.55</v>
      </c>
      <c r="E6120" s="43" t="s">
        <v>3596</v>
      </c>
    </row>
    <row r="6121" spans="1:5" x14ac:dyDescent="0.35">
      <c r="A6121" s="40">
        <v>43493</v>
      </c>
      <c r="B6121" s="38">
        <v>-18.38</v>
      </c>
      <c r="C6121" s="13" t="s">
        <v>286</v>
      </c>
      <c r="D6121" s="36">
        <v>1157.69</v>
      </c>
      <c r="E6121" s="43" t="s">
        <v>3596</v>
      </c>
    </row>
    <row r="6122" spans="1:5" x14ac:dyDescent="0.35">
      <c r="A6122" s="40">
        <v>43493</v>
      </c>
      <c r="B6122" s="38">
        <v>-16</v>
      </c>
      <c r="C6122" s="13" t="s">
        <v>102</v>
      </c>
      <c r="D6122" s="36">
        <v>1141.69</v>
      </c>
      <c r="E6122" s="43" t="s">
        <v>3596</v>
      </c>
    </row>
    <row r="6123" spans="1:5" x14ac:dyDescent="0.35">
      <c r="A6123" s="40">
        <v>43493</v>
      </c>
      <c r="B6123" s="38">
        <v>-19.28</v>
      </c>
      <c r="C6123" s="13" t="s">
        <v>287</v>
      </c>
      <c r="D6123" s="36">
        <v>1176.07</v>
      </c>
      <c r="E6123" s="43" t="s">
        <v>3596</v>
      </c>
    </row>
    <row r="6124" spans="1:5" x14ac:dyDescent="0.35">
      <c r="A6124" s="40">
        <v>43493</v>
      </c>
      <c r="B6124" s="38">
        <v>-20.3</v>
      </c>
      <c r="C6124" s="13" t="s">
        <v>287</v>
      </c>
      <c r="D6124" s="36">
        <v>1195.3499999999999</v>
      </c>
      <c r="E6124" s="43" t="s">
        <v>3596</v>
      </c>
    </row>
    <row r="6125" spans="1:5" x14ac:dyDescent="0.35">
      <c r="A6125" s="40">
        <v>43492</v>
      </c>
      <c r="B6125" s="38">
        <v>-20</v>
      </c>
      <c r="C6125" s="13" t="s">
        <v>289</v>
      </c>
      <c r="D6125" s="36">
        <v>1235.95</v>
      </c>
      <c r="E6125" s="43" t="s">
        <v>3596</v>
      </c>
    </row>
    <row r="6126" spans="1:5" x14ac:dyDescent="0.35">
      <c r="A6126" s="40">
        <v>43492</v>
      </c>
      <c r="B6126" s="38">
        <v>-25</v>
      </c>
      <c r="C6126" s="13" t="s">
        <v>289</v>
      </c>
      <c r="D6126" s="36">
        <v>1255.95</v>
      </c>
      <c r="E6126" s="43" t="s">
        <v>3596</v>
      </c>
    </row>
    <row r="6127" spans="1:5" x14ac:dyDescent="0.35">
      <c r="A6127" s="40">
        <v>43492</v>
      </c>
      <c r="B6127" s="38">
        <v>-6.5</v>
      </c>
      <c r="C6127" s="13" t="s">
        <v>290</v>
      </c>
      <c r="D6127" s="36">
        <v>1280.95</v>
      </c>
      <c r="E6127" s="43" t="s">
        <v>3596</v>
      </c>
    </row>
    <row r="6128" spans="1:5" x14ac:dyDescent="0.35">
      <c r="A6128" s="40">
        <v>43492</v>
      </c>
      <c r="B6128" s="38">
        <v>-11.7</v>
      </c>
      <c r="C6128" s="13" t="s">
        <v>291</v>
      </c>
      <c r="D6128" s="36">
        <v>1287.45</v>
      </c>
      <c r="E6128" s="43" t="s">
        <v>3596</v>
      </c>
    </row>
    <row r="6129" spans="1:5" x14ac:dyDescent="0.35">
      <c r="A6129" s="40">
        <v>43492</v>
      </c>
      <c r="B6129" s="38">
        <v>-20.3</v>
      </c>
      <c r="C6129" s="13" t="s">
        <v>288</v>
      </c>
      <c r="D6129" s="36">
        <v>1215.6500000000001</v>
      </c>
      <c r="E6129" s="43" t="s">
        <v>3596</v>
      </c>
    </row>
    <row r="6130" spans="1:5" x14ac:dyDescent="0.35">
      <c r="A6130" s="40">
        <v>43491</v>
      </c>
      <c r="B6130" s="38">
        <v>-515</v>
      </c>
      <c r="C6130" s="13" t="s">
        <v>949</v>
      </c>
      <c r="D6130" s="36">
        <v>1321.65</v>
      </c>
      <c r="E6130" s="43" t="s">
        <v>3596</v>
      </c>
    </row>
    <row r="6131" spans="1:5" x14ac:dyDescent="0.35">
      <c r="A6131" s="40">
        <v>43491</v>
      </c>
      <c r="B6131" s="38">
        <v>-22.5</v>
      </c>
      <c r="C6131" s="13" t="s">
        <v>292</v>
      </c>
      <c r="D6131" s="36">
        <v>1299.1500000000001</v>
      </c>
      <c r="E6131" s="43" t="s">
        <v>3596</v>
      </c>
    </row>
    <row r="6132" spans="1:5" x14ac:dyDescent="0.35">
      <c r="A6132" s="40">
        <v>43491</v>
      </c>
      <c r="B6132" s="38">
        <v>-100</v>
      </c>
      <c r="C6132" s="13" t="s">
        <v>946</v>
      </c>
      <c r="D6132" s="36">
        <v>1836.65</v>
      </c>
      <c r="E6132" s="43" t="s">
        <v>3596</v>
      </c>
    </row>
    <row r="6133" spans="1:5" x14ac:dyDescent="0.35">
      <c r="A6133" s="40">
        <v>43490</v>
      </c>
      <c r="B6133" s="38">
        <v>-4.24</v>
      </c>
      <c r="C6133" s="13" t="s">
        <v>293</v>
      </c>
      <c r="D6133" s="36">
        <v>2070.15</v>
      </c>
      <c r="E6133" s="43" t="s">
        <v>3596</v>
      </c>
    </row>
    <row r="6134" spans="1:5" x14ac:dyDescent="0.35">
      <c r="A6134" s="40">
        <v>43490</v>
      </c>
      <c r="B6134" s="38">
        <v>-100</v>
      </c>
      <c r="C6134" s="13" t="s">
        <v>1714</v>
      </c>
      <c r="D6134" s="36">
        <v>1970.15</v>
      </c>
      <c r="E6134" s="43" t="s">
        <v>3596</v>
      </c>
    </row>
    <row r="6135" spans="1:5" x14ac:dyDescent="0.35">
      <c r="A6135" s="40">
        <v>43490</v>
      </c>
      <c r="B6135" s="38">
        <v>-33.5</v>
      </c>
      <c r="C6135" s="13" t="s">
        <v>263</v>
      </c>
      <c r="D6135" s="36">
        <v>1936.65</v>
      </c>
      <c r="E6135" s="43" t="s">
        <v>3596</v>
      </c>
    </row>
    <row r="6136" spans="1:5" x14ac:dyDescent="0.35">
      <c r="A6136" s="40">
        <v>43490</v>
      </c>
      <c r="B6136" s="38">
        <v>-26.68</v>
      </c>
      <c r="C6136" s="13" t="s">
        <v>295</v>
      </c>
      <c r="D6136" s="36">
        <v>2082.1799999999998</v>
      </c>
      <c r="E6136" s="43" t="s">
        <v>3596</v>
      </c>
    </row>
    <row r="6137" spans="1:5" x14ac:dyDescent="0.35">
      <c r="A6137" s="40">
        <v>43490</v>
      </c>
      <c r="B6137" s="38">
        <v>-7.79</v>
      </c>
      <c r="C6137" s="13" t="s">
        <v>294</v>
      </c>
      <c r="D6137" s="36">
        <v>2074.39</v>
      </c>
      <c r="E6137" s="43" t="s">
        <v>3596</v>
      </c>
    </row>
    <row r="6138" spans="1:5" x14ac:dyDescent="0.35">
      <c r="A6138" s="40">
        <v>43489</v>
      </c>
      <c r="B6138" s="38">
        <v>-2.0499999999999998</v>
      </c>
      <c r="C6138" s="13" t="s">
        <v>296</v>
      </c>
      <c r="D6138" s="36">
        <v>2108.86</v>
      </c>
      <c r="E6138" s="43" t="s">
        <v>3596</v>
      </c>
    </row>
    <row r="6139" spans="1:5" x14ac:dyDescent="0.35">
      <c r="A6139" s="40">
        <v>43489</v>
      </c>
      <c r="B6139" s="38">
        <v>-28.82</v>
      </c>
      <c r="C6139" s="13" t="s">
        <v>298</v>
      </c>
      <c r="D6139" s="36">
        <v>2125.81</v>
      </c>
      <c r="E6139" s="43" t="s">
        <v>3596</v>
      </c>
    </row>
    <row r="6140" spans="1:5" x14ac:dyDescent="0.35">
      <c r="A6140" s="40">
        <v>43489</v>
      </c>
      <c r="B6140" s="38">
        <v>-14.9</v>
      </c>
      <c r="C6140" s="13" t="s">
        <v>297</v>
      </c>
      <c r="D6140" s="36">
        <v>2110.91</v>
      </c>
      <c r="E6140" s="43" t="s">
        <v>3596</v>
      </c>
    </row>
    <row r="6141" spans="1:5" x14ac:dyDescent="0.35">
      <c r="A6141" s="40">
        <v>43489</v>
      </c>
      <c r="B6141" s="38">
        <v>-13.5</v>
      </c>
      <c r="C6141" s="13" t="s">
        <v>299</v>
      </c>
      <c r="D6141" s="36">
        <v>2210.63</v>
      </c>
      <c r="E6141" s="43" t="s">
        <v>3596</v>
      </c>
    </row>
    <row r="6142" spans="1:5" x14ac:dyDescent="0.35">
      <c r="A6142" s="40">
        <v>43488</v>
      </c>
      <c r="B6142" s="38">
        <v>-1.91</v>
      </c>
      <c r="C6142" s="13" t="s">
        <v>300</v>
      </c>
      <c r="D6142" s="36">
        <v>1041.8800000000001</v>
      </c>
      <c r="E6142" s="43" t="s">
        <v>3596</v>
      </c>
    </row>
    <row r="6143" spans="1:5" x14ac:dyDescent="0.35">
      <c r="A6143" s="40">
        <v>43488</v>
      </c>
      <c r="B6143" s="38">
        <v>-30</v>
      </c>
      <c r="C6143" s="13" t="s">
        <v>303</v>
      </c>
      <c r="D6143" s="36">
        <v>2218.04</v>
      </c>
      <c r="E6143" s="43" t="s">
        <v>3596</v>
      </c>
    </row>
    <row r="6144" spans="1:5" x14ac:dyDescent="0.35">
      <c r="A6144" s="40">
        <v>43488</v>
      </c>
      <c r="B6144" s="38">
        <v>-1157.75</v>
      </c>
      <c r="C6144" s="13" t="s">
        <v>302</v>
      </c>
      <c r="D6144" s="36">
        <v>1060.29</v>
      </c>
      <c r="E6144" s="43" t="s">
        <v>3596</v>
      </c>
    </row>
    <row r="6145" spans="1:5" x14ac:dyDescent="0.35">
      <c r="A6145" s="40">
        <v>43488</v>
      </c>
      <c r="B6145" s="38">
        <v>1182.25</v>
      </c>
      <c r="C6145" s="13" t="s">
        <v>10</v>
      </c>
      <c r="D6145" s="36">
        <v>2224.13</v>
      </c>
      <c r="E6145" s="43" t="s">
        <v>3596</v>
      </c>
    </row>
    <row r="6146" spans="1:5" x14ac:dyDescent="0.35">
      <c r="A6146" s="40">
        <v>43488</v>
      </c>
      <c r="B6146" s="38">
        <v>-9.99</v>
      </c>
      <c r="C6146" s="13" t="s">
        <v>304</v>
      </c>
      <c r="D6146" s="36">
        <v>2248.04</v>
      </c>
      <c r="E6146" s="43" t="s">
        <v>3596</v>
      </c>
    </row>
    <row r="6147" spans="1:5" x14ac:dyDescent="0.35">
      <c r="A6147" s="40">
        <v>43488</v>
      </c>
      <c r="B6147" s="38">
        <v>-16.5</v>
      </c>
      <c r="C6147" s="13" t="s">
        <v>301</v>
      </c>
      <c r="D6147" s="36">
        <v>1043.79</v>
      </c>
      <c r="E6147" s="43" t="s">
        <v>3596</v>
      </c>
    </row>
    <row r="6148" spans="1:5" x14ac:dyDescent="0.35">
      <c r="A6148" s="40">
        <v>43487</v>
      </c>
      <c r="B6148" s="38">
        <v>-1.8</v>
      </c>
      <c r="C6148" s="13" t="s">
        <v>305</v>
      </c>
      <c r="D6148" s="36">
        <v>1758.03</v>
      </c>
      <c r="E6148" s="43" t="s">
        <v>3596</v>
      </c>
    </row>
    <row r="6149" spans="1:5" x14ac:dyDescent="0.35">
      <c r="A6149" s="40">
        <v>43487</v>
      </c>
      <c r="B6149" s="38">
        <v>-50</v>
      </c>
      <c r="C6149" s="13" t="s">
        <v>308</v>
      </c>
      <c r="D6149" s="36">
        <v>1785.83</v>
      </c>
      <c r="E6149" s="43" t="s">
        <v>3596</v>
      </c>
    </row>
    <row r="6150" spans="1:5" x14ac:dyDescent="0.35">
      <c r="A6150" s="40">
        <v>43487</v>
      </c>
      <c r="B6150" s="38">
        <v>500</v>
      </c>
      <c r="C6150" s="13" t="s">
        <v>956</v>
      </c>
      <c r="D6150" s="36">
        <v>2258.0300000000002</v>
      </c>
      <c r="E6150" s="43" t="s">
        <v>3596</v>
      </c>
    </row>
    <row r="6151" spans="1:5" x14ac:dyDescent="0.35">
      <c r="A6151" s="40">
        <v>43487</v>
      </c>
      <c r="B6151" s="38">
        <v>-12.5</v>
      </c>
      <c r="C6151" s="13" t="s">
        <v>306</v>
      </c>
      <c r="D6151" s="36">
        <v>1759.83</v>
      </c>
      <c r="E6151" s="43" t="s">
        <v>3596</v>
      </c>
    </row>
    <row r="6152" spans="1:5" x14ac:dyDescent="0.35">
      <c r="A6152" s="40">
        <v>43487</v>
      </c>
      <c r="B6152" s="38">
        <v>-13.5</v>
      </c>
      <c r="C6152" s="13" t="s">
        <v>307</v>
      </c>
      <c r="D6152" s="36">
        <v>1772.33</v>
      </c>
      <c r="E6152" s="43" t="s">
        <v>3596</v>
      </c>
    </row>
    <row r="6153" spans="1:5" x14ac:dyDescent="0.35">
      <c r="A6153" s="40">
        <v>43487</v>
      </c>
      <c r="B6153" s="38">
        <v>-13.5</v>
      </c>
      <c r="C6153" s="13" t="s">
        <v>307</v>
      </c>
      <c r="D6153" s="36">
        <v>1772.33</v>
      </c>
      <c r="E6153" s="43" t="s">
        <v>3596</v>
      </c>
    </row>
    <row r="6154" spans="1:5" x14ac:dyDescent="0.35">
      <c r="A6154" s="40">
        <v>43484</v>
      </c>
      <c r="B6154" s="38">
        <v>-56</v>
      </c>
      <c r="C6154" s="13" t="s">
        <v>1196</v>
      </c>
      <c r="D6154" s="36">
        <v>2154.63</v>
      </c>
      <c r="E6154" s="43" t="s">
        <v>3596</v>
      </c>
    </row>
    <row r="6155" spans="1:5" x14ac:dyDescent="0.35">
      <c r="A6155" s="40">
        <v>43484</v>
      </c>
      <c r="B6155" s="38">
        <v>-515</v>
      </c>
      <c r="C6155" s="13" t="s">
        <v>949</v>
      </c>
      <c r="D6155" s="36">
        <v>1835.83</v>
      </c>
      <c r="E6155" s="43" t="s">
        <v>3596</v>
      </c>
    </row>
    <row r="6156" spans="1:5" x14ac:dyDescent="0.35">
      <c r="A6156" s="40">
        <v>43484</v>
      </c>
      <c r="B6156" s="38">
        <v>-100</v>
      </c>
      <c r="C6156" s="13" t="s">
        <v>946</v>
      </c>
      <c r="D6156" s="36">
        <v>2350.83</v>
      </c>
      <c r="E6156" s="43" t="s">
        <v>3596</v>
      </c>
    </row>
    <row r="6157" spans="1:5" x14ac:dyDescent="0.35">
      <c r="A6157" s="40">
        <v>43484</v>
      </c>
      <c r="B6157" s="38">
        <v>-13.5</v>
      </c>
      <c r="C6157" s="13" t="s">
        <v>320</v>
      </c>
      <c r="D6157" s="36">
        <v>2450.83</v>
      </c>
      <c r="E6157" s="43" t="s">
        <v>3596</v>
      </c>
    </row>
    <row r="6158" spans="1:5" x14ac:dyDescent="0.35">
      <c r="A6158" s="40">
        <v>43483</v>
      </c>
      <c r="B6158" s="38">
        <v>-1.79</v>
      </c>
      <c r="C6158" s="13" t="s">
        <v>321</v>
      </c>
      <c r="D6158" s="36">
        <v>2362.33</v>
      </c>
      <c r="E6158" s="43" t="s">
        <v>3596</v>
      </c>
    </row>
    <row r="6159" spans="1:5" x14ac:dyDescent="0.35">
      <c r="A6159" s="40">
        <v>43483</v>
      </c>
      <c r="B6159" s="38">
        <v>102</v>
      </c>
      <c r="C6159" s="13" t="s">
        <v>10</v>
      </c>
      <c r="D6159" s="36">
        <v>2464.33</v>
      </c>
      <c r="E6159" s="43" t="s">
        <v>3596</v>
      </c>
    </row>
    <row r="6160" spans="1:5" x14ac:dyDescent="0.35">
      <c r="A6160" s="40">
        <v>43482</v>
      </c>
      <c r="B6160" s="38">
        <v>-12.65</v>
      </c>
      <c r="C6160" s="13" t="s">
        <v>328</v>
      </c>
      <c r="D6160" s="36">
        <v>2622.94</v>
      </c>
      <c r="E6160" s="43" t="s">
        <v>3596</v>
      </c>
    </row>
    <row r="6161" spans="1:5" x14ac:dyDescent="0.35">
      <c r="A6161" s="40">
        <v>43482</v>
      </c>
      <c r="B6161" s="38">
        <v>-1.04</v>
      </c>
      <c r="C6161" s="13" t="s">
        <v>324</v>
      </c>
      <c r="D6161" s="36">
        <v>2554.9</v>
      </c>
      <c r="E6161" s="43" t="s">
        <v>3596</v>
      </c>
    </row>
    <row r="6162" spans="1:5" x14ac:dyDescent="0.35">
      <c r="A6162" s="40">
        <v>43482</v>
      </c>
      <c r="B6162" s="38">
        <v>-33.5</v>
      </c>
      <c r="C6162" s="13" t="s">
        <v>325</v>
      </c>
      <c r="D6162" s="36">
        <v>2555.94</v>
      </c>
      <c r="E6162" s="43" t="s">
        <v>3596</v>
      </c>
    </row>
    <row r="6163" spans="1:5" x14ac:dyDescent="0.35">
      <c r="A6163" s="40">
        <v>43482</v>
      </c>
      <c r="B6163" s="38">
        <v>-15.38</v>
      </c>
      <c r="C6163" s="13" t="s">
        <v>323</v>
      </c>
      <c r="D6163" s="36">
        <v>2539.52</v>
      </c>
      <c r="E6163" s="43" t="s">
        <v>3596</v>
      </c>
    </row>
    <row r="6164" spans="1:5" x14ac:dyDescent="0.35">
      <c r="A6164" s="40">
        <v>43482</v>
      </c>
      <c r="B6164" s="38">
        <v>-175.4</v>
      </c>
      <c r="C6164" s="13" t="s">
        <v>322</v>
      </c>
      <c r="D6164" s="36">
        <v>2364.12</v>
      </c>
      <c r="E6164" s="43" t="s">
        <v>3596</v>
      </c>
    </row>
    <row r="6165" spans="1:5" x14ac:dyDescent="0.35">
      <c r="A6165" s="40">
        <v>43482</v>
      </c>
      <c r="B6165" s="38">
        <v>-18.600000000000001</v>
      </c>
      <c r="C6165" s="13" t="s">
        <v>327</v>
      </c>
      <c r="D6165" s="36">
        <v>2604.34</v>
      </c>
      <c r="E6165" s="43" t="s">
        <v>3596</v>
      </c>
    </row>
    <row r="6166" spans="1:5" x14ac:dyDescent="0.35">
      <c r="A6166" s="40">
        <v>43482</v>
      </c>
      <c r="B6166" s="38">
        <v>-14.9</v>
      </c>
      <c r="C6166" s="13" t="s">
        <v>326</v>
      </c>
      <c r="D6166" s="36">
        <v>2589.44</v>
      </c>
      <c r="E6166" s="43" t="s">
        <v>3596</v>
      </c>
    </row>
    <row r="6167" spans="1:5" x14ac:dyDescent="0.35">
      <c r="A6167" s="40">
        <v>43481</v>
      </c>
      <c r="B6167" s="38">
        <v>-7.96</v>
      </c>
      <c r="C6167" s="13" t="s">
        <v>329</v>
      </c>
      <c r="D6167" s="36">
        <v>1555.34</v>
      </c>
      <c r="E6167" s="43" t="s">
        <v>3596</v>
      </c>
    </row>
    <row r="6168" spans="1:5" x14ac:dyDescent="0.35">
      <c r="A6168" s="40">
        <v>43481</v>
      </c>
      <c r="B6168" s="38">
        <v>1080.25</v>
      </c>
      <c r="C6168" s="13" t="s">
        <v>10</v>
      </c>
      <c r="D6168" s="36">
        <v>2635.59</v>
      </c>
      <c r="E6168" s="43" t="s">
        <v>3596</v>
      </c>
    </row>
    <row r="6169" spans="1:5" x14ac:dyDescent="0.35">
      <c r="A6169" s="40">
        <v>43480</v>
      </c>
      <c r="B6169" s="38">
        <v>-37.64</v>
      </c>
      <c r="C6169" s="13" t="s">
        <v>337</v>
      </c>
      <c r="D6169" s="36">
        <v>1723.89</v>
      </c>
      <c r="E6169" s="43" t="s">
        <v>3596</v>
      </c>
    </row>
    <row r="6170" spans="1:5" x14ac:dyDescent="0.35">
      <c r="A6170" s="40">
        <v>43480</v>
      </c>
      <c r="B6170" s="38">
        <v>-7.58</v>
      </c>
      <c r="C6170" s="13" t="s">
        <v>330</v>
      </c>
      <c r="D6170" s="36">
        <v>1563.3</v>
      </c>
      <c r="E6170" s="43" t="s">
        <v>3596</v>
      </c>
    </row>
    <row r="6171" spans="1:5" x14ac:dyDescent="0.35">
      <c r="A6171" s="40">
        <v>43480</v>
      </c>
      <c r="B6171" s="38">
        <v>-1.71</v>
      </c>
      <c r="C6171" s="13" t="s">
        <v>332</v>
      </c>
      <c r="D6171" s="36">
        <v>1584.88</v>
      </c>
      <c r="E6171" s="43" t="s">
        <v>3596</v>
      </c>
    </row>
    <row r="6172" spans="1:5" x14ac:dyDescent="0.35">
      <c r="A6172" s="40">
        <v>43480</v>
      </c>
      <c r="B6172" s="38">
        <v>-39</v>
      </c>
      <c r="C6172" s="13" t="s">
        <v>333</v>
      </c>
      <c r="D6172" s="36">
        <v>1586.59</v>
      </c>
      <c r="E6172" s="43" t="s">
        <v>3596</v>
      </c>
    </row>
    <row r="6173" spans="1:5" x14ac:dyDescent="0.35">
      <c r="A6173" s="40">
        <v>43480</v>
      </c>
      <c r="B6173" s="38">
        <v>-50</v>
      </c>
      <c r="C6173" s="13" t="s">
        <v>334</v>
      </c>
      <c r="D6173" s="36">
        <v>1625.59</v>
      </c>
      <c r="E6173" s="43" t="s">
        <v>3596</v>
      </c>
    </row>
    <row r="6174" spans="1:5" x14ac:dyDescent="0.35">
      <c r="A6174" s="40">
        <v>43480</v>
      </c>
      <c r="B6174" s="38">
        <v>-14</v>
      </c>
      <c r="C6174" s="13" t="s">
        <v>331</v>
      </c>
      <c r="D6174" s="36">
        <v>1570.88</v>
      </c>
      <c r="E6174" s="43" t="s">
        <v>3596</v>
      </c>
    </row>
    <row r="6175" spans="1:5" x14ac:dyDescent="0.35">
      <c r="A6175" s="40">
        <v>43480</v>
      </c>
      <c r="B6175" s="38">
        <v>-12.8</v>
      </c>
      <c r="C6175" s="13" t="s">
        <v>336</v>
      </c>
      <c r="D6175" s="36">
        <v>1711.09</v>
      </c>
      <c r="E6175" s="43" t="s">
        <v>3596</v>
      </c>
    </row>
    <row r="6176" spans="1:5" x14ac:dyDescent="0.35">
      <c r="A6176" s="40">
        <v>43480</v>
      </c>
      <c r="B6176" s="38">
        <v>-35.5</v>
      </c>
      <c r="C6176" s="13" t="s">
        <v>335</v>
      </c>
      <c r="D6176" s="36">
        <v>1675.59</v>
      </c>
      <c r="E6176" s="43" t="s">
        <v>3596</v>
      </c>
    </row>
    <row r="6177" spans="1:5" x14ac:dyDescent="0.35">
      <c r="A6177" s="40">
        <v>43479</v>
      </c>
      <c r="B6177" s="38">
        <v>-20</v>
      </c>
      <c r="C6177" s="13" t="s">
        <v>1703</v>
      </c>
      <c r="D6177" s="36">
        <v>1834.53</v>
      </c>
      <c r="E6177" s="43" t="s">
        <v>3596</v>
      </c>
    </row>
    <row r="6178" spans="1:5" x14ac:dyDescent="0.35">
      <c r="A6178" s="40">
        <v>43479</v>
      </c>
      <c r="B6178" s="38">
        <v>-73</v>
      </c>
      <c r="C6178" s="13" t="s">
        <v>37</v>
      </c>
      <c r="D6178" s="36">
        <v>1761.53</v>
      </c>
      <c r="E6178" s="43" t="s">
        <v>3596</v>
      </c>
    </row>
    <row r="6179" spans="1:5" x14ac:dyDescent="0.35">
      <c r="A6179" s="40">
        <v>43477</v>
      </c>
      <c r="B6179" s="38">
        <v>-17</v>
      </c>
      <c r="C6179" s="13" t="s">
        <v>338</v>
      </c>
      <c r="D6179" s="36">
        <v>2469.5300000000002</v>
      </c>
      <c r="E6179" s="43" t="s">
        <v>3596</v>
      </c>
    </row>
    <row r="6180" spans="1:5" x14ac:dyDescent="0.35">
      <c r="A6180" s="40">
        <v>43477</v>
      </c>
      <c r="B6180" s="38">
        <v>-515</v>
      </c>
      <c r="C6180" s="13" t="s">
        <v>949</v>
      </c>
      <c r="D6180" s="36">
        <v>1854.53</v>
      </c>
      <c r="E6180" s="43" t="s">
        <v>3596</v>
      </c>
    </row>
    <row r="6181" spans="1:5" x14ac:dyDescent="0.35">
      <c r="A6181" s="40">
        <v>43477</v>
      </c>
      <c r="B6181" s="38">
        <v>-100</v>
      </c>
      <c r="C6181" s="13" t="s">
        <v>946</v>
      </c>
      <c r="D6181" s="36">
        <v>2369.5300000000002</v>
      </c>
      <c r="E6181" s="43" t="s">
        <v>3596</v>
      </c>
    </row>
    <row r="6182" spans="1:5" x14ac:dyDescent="0.35">
      <c r="A6182" s="40">
        <v>43477</v>
      </c>
      <c r="B6182" s="38">
        <v>-13.5</v>
      </c>
      <c r="C6182" s="13" t="s">
        <v>339</v>
      </c>
      <c r="D6182" s="36">
        <v>2486.5300000000002</v>
      </c>
      <c r="E6182" s="43" t="s">
        <v>3596</v>
      </c>
    </row>
    <row r="6183" spans="1:5" x14ac:dyDescent="0.35">
      <c r="A6183" s="40">
        <v>43476</v>
      </c>
      <c r="B6183" s="38">
        <v>-12.5</v>
      </c>
      <c r="C6183" s="13" t="s">
        <v>3605</v>
      </c>
      <c r="D6183" s="36">
        <v>2500.0300000000002</v>
      </c>
      <c r="E6183" s="43" t="s">
        <v>3596</v>
      </c>
    </row>
    <row r="6184" spans="1:5" x14ac:dyDescent="0.35">
      <c r="A6184" s="40">
        <v>43476</v>
      </c>
      <c r="B6184" s="38">
        <v>-26.3</v>
      </c>
      <c r="C6184" s="13" t="s">
        <v>340</v>
      </c>
      <c r="D6184" s="36">
        <v>2512.5300000000002</v>
      </c>
      <c r="E6184" s="43" t="s">
        <v>3596</v>
      </c>
    </row>
    <row r="6185" spans="1:5" x14ac:dyDescent="0.35">
      <c r="A6185" s="40">
        <v>43475</v>
      </c>
      <c r="B6185" s="38">
        <v>-2.02</v>
      </c>
      <c r="C6185" s="13" t="s">
        <v>341</v>
      </c>
      <c r="D6185" s="36">
        <v>2538.83</v>
      </c>
      <c r="E6185" s="43" t="s">
        <v>3596</v>
      </c>
    </row>
    <row r="6186" spans="1:5" x14ac:dyDescent="0.35">
      <c r="A6186" s="40">
        <v>43475</v>
      </c>
      <c r="B6186" s="38">
        <v>-2.4900000000000002</v>
      </c>
      <c r="C6186" s="13" t="s">
        <v>343</v>
      </c>
      <c r="D6186" s="36">
        <v>2554.35</v>
      </c>
      <c r="E6186" s="43" t="s">
        <v>3596</v>
      </c>
    </row>
    <row r="6187" spans="1:5" x14ac:dyDescent="0.35">
      <c r="A6187" s="40">
        <v>43475</v>
      </c>
      <c r="B6187" s="38">
        <v>-13.5</v>
      </c>
      <c r="C6187" s="13" t="s">
        <v>342</v>
      </c>
      <c r="D6187" s="36">
        <v>2540.85</v>
      </c>
      <c r="E6187" s="43" t="s">
        <v>3596</v>
      </c>
    </row>
    <row r="6188" spans="1:5" x14ac:dyDescent="0.35">
      <c r="A6188" s="40">
        <v>43474</v>
      </c>
      <c r="B6188" s="38">
        <v>-8.01</v>
      </c>
      <c r="C6188" s="13" t="s">
        <v>344</v>
      </c>
      <c r="D6188" s="36">
        <v>2623.2</v>
      </c>
      <c r="E6188" s="43" t="s">
        <v>3596</v>
      </c>
    </row>
    <row r="6189" spans="1:5" x14ac:dyDescent="0.35">
      <c r="A6189" s="40">
        <v>43474</v>
      </c>
      <c r="B6189" s="38">
        <v>-5.75</v>
      </c>
      <c r="C6189" s="13" t="s">
        <v>344</v>
      </c>
      <c r="D6189" s="36">
        <v>2631.21</v>
      </c>
      <c r="E6189" s="43" t="s">
        <v>3596</v>
      </c>
    </row>
    <row r="6190" spans="1:5" x14ac:dyDescent="0.35">
      <c r="A6190" s="40">
        <v>43474</v>
      </c>
      <c r="B6190" s="38">
        <v>-66.36</v>
      </c>
      <c r="C6190" s="13" t="s">
        <v>1671</v>
      </c>
      <c r="D6190" s="36">
        <v>2556.84</v>
      </c>
      <c r="E6190" s="43" t="s">
        <v>3596</v>
      </c>
    </row>
    <row r="6191" spans="1:5" x14ac:dyDescent="0.35">
      <c r="A6191" s="40">
        <v>43473</v>
      </c>
      <c r="B6191" s="38">
        <v>-14.9</v>
      </c>
      <c r="C6191" s="13" t="s">
        <v>347</v>
      </c>
      <c r="D6191" s="36">
        <v>2656.11</v>
      </c>
      <c r="E6191" s="43" t="s">
        <v>3596</v>
      </c>
    </row>
    <row r="6192" spans="1:5" x14ac:dyDescent="0.35">
      <c r="A6192" s="40">
        <v>43473</v>
      </c>
      <c r="B6192" s="38">
        <v>-31.7</v>
      </c>
      <c r="C6192" s="13" t="s">
        <v>348</v>
      </c>
      <c r="D6192" s="36">
        <v>2671.01</v>
      </c>
      <c r="E6192" s="43" t="s">
        <v>3596</v>
      </c>
    </row>
    <row r="6193" spans="1:5" x14ac:dyDescent="0.35">
      <c r="A6193" s="40">
        <v>43473</v>
      </c>
      <c r="B6193" s="38">
        <v>-15.65</v>
      </c>
      <c r="C6193" s="13" t="s">
        <v>345</v>
      </c>
      <c r="D6193" s="36">
        <v>2636.96</v>
      </c>
      <c r="E6193" s="43" t="s">
        <v>3596</v>
      </c>
    </row>
    <row r="6194" spans="1:5" x14ac:dyDescent="0.35">
      <c r="A6194" s="40">
        <v>43473</v>
      </c>
      <c r="B6194" s="38">
        <v>-3.5</v>
      </c>
      <c r="C6194" s="13" t="s">
        <v>346</v>
      </c>
      <c r="D6194" s="36">
        <v>2652.61</v>
      </c>
      <c r="E6194" s="43" t="s">
        <v>3596</v>
      </c>
    </row>
    <row r="6195" spans="1:5" x14ac:dyDescent="0.35">
      <c r="A6195" s="40">
        <v>43472</v>
      </c>
      <c r="B6195" s="38">
        <v>250</v>
      </c>
      <c r="C6195" s="13" t="s">
        <v>35</v>
      </c>
      <c r="D6195" s="36">
        <v>2702.71</v>
      </c>
      <c r="E6195" s="43" t="s">
        <v>3596</v>
      </c>
    </row>
    <row r="6196" spans="1:5" x14ac:dyDescent="0.35">
      <c r="A6196" s="40">
        <v>43470</v>
      </c>
      <c r="B6196" s="38">
        <v>-515</v>
      </c>
      <c r="C6196" s="13" t="s">
        <v>949</v>
      </c>
      <c r="D6196" s="36">
        <v>2452.71</v>
      </c>
      <c r="E6196" s="43" t="s">
        <v>3596</v>
      </c>
    </row>
    <row r="6197" spans="1:5" x14ac:dyDescent="0.35">
      <c r="A6197" s="40">
        <v>43470</v>
      </c>
      <c r="B6197" s="38">
        <v>-15.08</v>
      </c>
      <c r="C6197" s="13" t="s">
        <v>349</v>
      </c>
      <c r="D6197" s="36">
        <v>3067.71</v>
      </c>
      <c r="E6197" s="43" t="s">
        <v>3596</v>
      </c>
    </row>
    <row r="6198" spans="1:5" x14ac:dyDescent="0.35">
      <c r="A6198" s="40">
        <v>43470</v>
      </c>
      <c r="B6198" s="38">
        <v>-100</v>
      </c>
      <c r="C6198" s="13" t="s">
        <v>946</v>
      </c>
      <c r="D6198" s="36">
        <v>2967.71</v>
      </c>
      <c r="E6198" s="43" t="s">
        <v>3596</v>
      </c>
    </row>
    <row r="6199" spans="1:5" x14ac:dyDescent="0.35">
      <c r="A6199" s="40">
        <v>43470</v>
      </c>
      <c r="B6199" s="38">
        <v>-4.99</v>
      </c>
      <c r="C6199" s="13" t="s">
        <v>350</v>
      </c>
      <c r="D6199" s="36">
        <v>3082.79</v>
      </c>
      <c r="E6199" s="43" t="s">
        <v>3596</v>
      </c>
    </row>
    <row r="6200" spans="1:5" x14ac:dyDescent="0.35">
      <c r="A6200" s="40">
        <v>43468</v>
      </c>
      <c r="B6200" s="38">
        <v>-11.95</v>
      </c>
      <c r="C6200" s="13" t="s">
        <v>356</v>
      </c>
      <c r="D6200" s="36">
        <v>3309.37</v>
      </c>
      <c r="E6200" s="43" t="s">
        <v>3596</v>
      </c>
    </row>
    <row r="6201" spans="1:5" x14ac:dyDescent="0.35">
      <c r="A6201" s="40">
        <v>43468</v>
      </c>
      <c r="B6201" s="38">
        <v>-34.5</v>
      </c>
      <c r="C6201" s="13" t="s">
        <v>352</v>
      </c>
      <c r="D6201" s="36">
        <v>3133.18</v>
      </c>
      <c r="E6201" s="43" t="s">
        <v>3596</v>
      </c>
    </row>
    <row r="6202" spans="1:5" x14ac:dyDescent="0.35">
      <c r="A6202" s="40">
        <v>43468</v>
      </c>
      <c r="B6202" s="38">
        <v>-34.5</v>
      </c>
      <c r="C6202" s="13" t="s">
        <v>352</v>
      </c>
      <c r="D6202" s="36">
        <v>3167.68</v>
      </c>
      <c r="E6202" s="43" t="s">
        <v>3596</v>
      </c>
    </row>
    <row r="6203" spans="1:5" x14ac:dyDescent="0.35">
      <c r="A6203" s="40">
        <v>43468</v>
      </c>
      <c r="B6203" s="38">
        <v>34.5</v>
      </c>
      <c r="C6203" s="13" t="s">
        <v>357</v>
      </c>
      <c r="D6203" s="36">
        <v>3321.32</v>
      </c>
      <c r="E6203" s="43" t="s">
        <v>3596</v>
      </c>
    </row>
    <row r="6204" spans="1:5" x14ac:dyDescent="0.35">
      <c r="A6204" s="40">
        <v>43468</v>
      </c>
      <c r="B6204" s="38">
        <v>-16.899999999999999</v>
      </c>
      <c r="C6204" s="13" t="s">
        <v>355</v>
      </c>
      <c r="D6204" s="36">
        <v>3292.47</v>
      </c>
      <c r="E6204" s="43" t="s">
        <v>3596</v>
      </c>
    </row>
    <row r="6205" spans="1:5" x14ac:dyDescent="0.35">
      <c r="A6205" s="40">
        <v>43468</v>
      </c>
      <c r="B6205" s="38">
        <v>-45.4</v>
      </c>
      <c r="C6205" s="13" t="s">
        <v>351</v>
      </c>
      <c r="D6205" s="36">
        <v>3087.78</v>
      </c>
      <c r="E6205" s="43" t="s">
        <v>3596</v>
      </c>
    </row>
    <row r="6206" spans="1:5" x14ac:dyDescent="0.35">
      <c r="A6206" s="40">
        <v>43468</v>
      </c>
      <c r="B6206" s="38">
        <v>-30.29</v>
      </c>
      <c r="C6206" s="13" t="s">
        <v>353</v>
      </c>
      <c r="D6206" s="36">
        <v>3202.18</v>
      </c>
      <c r="E6206" s="43" t="s">
        <v>3596</v>
      </c>
    </row>
    <row r="6207" spans="1:5" x14ac:dyDescent="0.35">
      <c r="A6207" s="40">
        <v>43468</v>
      </c>
      <c r="B6207" s="38">
        <v>-60</v>
      </c>
      <c r="C6207" s="13" t="s">
        <v>354</v>
      </c>
      <c r="D6207" s="36">
        <v>3232.47</v>
      </c>
      <c r="E6207" s="43" t="s">
        <v>3596</v>
      </c>
    </row>
    <row r="6208" spans="1:5" x14ac:dyDescent="0.35">
      <c r="A6208" s="40">
        <v>43467</v>
      </c>
      <c r="B6208" s="38">
        <v>-166.4</v>
      </c>
      <c r="C6208" s="13" t="s">
        <v>358</v>
      </c>
      <c r="D6208" s="36">
        <v>3286.82</v>
      </c>
      <c r="E6208" s="43" t="s">
        <v>3596</v>
      </c>
    </row>
    <row r="6209" spans="1:5" x14ac:dyDescent="0.35">
      <c r="A6209" s="40">
        <v>43466</v>
      </c>
      <c r="B6209" s="38">
        <v>-75.5</v>
      </c>
      <c r="C6209" s="13" t="s">
        <v>359</v>
      </c>
      <c r="D6209" s="36">
        <v>3453.22</v>
      </c>
      <c r="E6209" s="43" t="s">
        <v>3596</v>
      </c>
    </row>
    <row r="6210" spans="1:5" x14ac:dyDescent="0.35">
      <c r="A6210" s="40">
        <v>43465</v>
      </c>
      <c r="B6210" s="38">
        <v>-12.8</v>
      </c>
      <c r="C6210" s="13" t="s">
        <v>345</v>
      </c>
      <c r="D6210" s="36">
        <v>3528.72</v>
      </c>
      <c r="E6210" s="43" t="s">
        <v>3596</v>
      </c>
    </row>
    <row r="6211" spans="1:5" x14ac:dyDescent="0.35">
      <c r="A6211" s="40">
        <v>43464</v>
      </c>
      <c r="B6211" s="38">
        <v>-16.5</v>
      </c>
      <c r="C6211" s="13" t="s">
        <v>312</v>
      </c>
      <c r="D6211" s="36">
        <v>3541.52</v>
      </c>
      <c r="E6211" s="43" t="s">
        <v>3596</v>
      </c>
    </row>
    <row r="6212" spans="1:5" x14ac:dyDescent="0.35">
      <c r="A6212" s="40">
        <v>43463</v>
      </c>
      <c r="B6212" s="38">
        <v>-31</v>
      </c>
      <c r="C6212" s="13" t="s">
        <v>362</v>
      </c>
      <c r="D6212" s="36">
        <v>4312.62</v>
      </c>
      <c r="E6212" s="43" t="s">
        <v>3596</v>
      </c>
    </row>
    <row r="6213" spans="1:5" x14ac:dyDescent="0.35">
      <c r="A6213" s="40">
        <v>43463</v>
      </c>
      <c r="B6213" s="38">
        <v>-515</v>
      </c>
      <c r="C6213" s="13" t="s">
        <v>949</v>
      </c>
      <c r="D6213" s="36">
        <v>3590.67</v>
      </c>
      <c r="E6213" s="43" t="s">
        <v>3596</v>
      </c>
    </row>
    <row r="6214" spans="1:5" x14ac:dyDescent="0.35">
      <c r="A6214" s="40">
        <v>43463</v>
      </c>
      <c r="B6214" s="38">
        <v>-106.95</v>
      </c>
      <c r="C6214" s="13" t="s">
        <v>361</v>
      </c>
      <c r="D6214" s="36">
        <v>4205.67</v>
      </c>
      <c r="E6214" s="43" t="s">
        <v>3596</v>
      </c>
    </row>
    <row r="6215" spans="1:5" x14ac:dyDescent="0.35">
      <c r="A6215" s="40">
        <v>43463</v>
      </c>
      <c r="B6215" s="38">
        <v>-100</v>
      </c>
      <c r="C6215" s="13" t="s">
        <v>946</v>
      </c>
      <c r="D6215" s="36">
        <v>4105.67</v>
      </c>
      <c r="E6215" s="43" t="s">
        <v>3596</v>
      </c>
    </row>
    <row r="6216" spans="1:5" x14ac:dyDescent="0.35">
      <c r="A6216" s="40">
        <v>43463</v>
      </c>
      <c r="B6216" s="38">
        <v>-32.65</v>
      </c>
      <c r="C6216" s="13" t="s">
        <v>360</v>
      </c>
      <c r="D6216" s="36">
        <v>3558.02</v>
      </c>
      <c r="E6216" s="43" t="s">
        <v>3596</v>
      </c>
    </row>
    <row r="6217" spans="1:5" x14ac:dyDescent="0.35">
      <c r="A6217" s="40">
        <v>43462</v>
      </c>
      <c r="B6217" s="38">
        <v>-35.619999999999997</v>
      </c>
      <c r="C6217" s="13" t="s">
        <v>363</v>
      </c>
      <c r="D6217" s="36">
        <v>4343.62</v>
      </c>
      <c r="E6217" s="43" t="s">
        <v>3596</v>
      </c>
    </row>
    <row r="6218" spans="1:5" x14ac:dyDescent="0.35">
      <c r="A6218" s="40">
        <v>43462</v>
      </c>
      <c r="B6218" s="38">
        <v>-20.9</v>
      </c>
      <c r="C6218" s="13" t="s">
        <v>2185</v>
      </c>
      <c r="D6218" s="36">
        <v>4397.6099999999997</v>
      </c>
      <c r="E6218" s="43" t="s">
        <v>3596</v>
      </c>
    </row>
    <row r="6219" spans="1:5" x14ac:dyDescent="0.35">
      <c r="A6219" s="40">
        <v>43462</v>
      </c>
      <c r="B6219" s="38">
        <v>-14.21</v>
      </c>
      <c r="C6219" s="13" t="s">
        <v>366</v>
      </c>
      <c r="D6219" s="36">
        <v>4418.9399999999996</v>
      </c>
      <c r="E6219" s="43" t="s">
        <v>3596</v>
      </c>
    </row>
    <row r="6220" spans="1:5" x14ac:dyDescent="0.35">
      <c r="A6220" s="40">
        <v>43462</v>
      </c>
      <c r="B6220" s="38">
        <v>-10.5</v>
      </c>
      <c r="C6220" s="13" t="s">
        <v>367</v>
      </c>
      <c r="D6220" s="36">
        <v>4433.1499999999996</v>
      </c>
      <c r="E6220" s="43" t="s">
        <v>3596</v>
      </c>
    </row>
    <row r="6221" spans="1:5" x14ac:dyDescent="0.35">
      <c r="A6221" s="40">
        <v>43462</v>
      </c>
      <c r="B6221" s="38">
        <v>-0.43</v>
      </c>
      <c r="C6221" s="13" t="s">
        <v>365</v>
      </c>
      <c r="D6221" s="36">
        <v>4418.51</v>
      </c>
      <c r="E6221" s="43" t="s">
        <v>3596</v>
      </c>
    </row>
    <row r="6222" spans="1:5" x14ac:dyDescent="0.35">
      <c r="A6222" s="40">
        <v>43462</v>
      </c>
      <c r="B6222" s="38">
        <v>-25.4</v>
      </c>
      <c r="C6222" s="13" t="s">
        <v>368</v>
      </c>
      <c r="D6222" s="36">
        <v>4443.6499999999996</v>
      </c>
      <c r="E6222" s="43" t="s">
        <v>3596</v>
      </c>
    </row>
    <row r="6223" spans="1:5" x14ac:dyDescent="0.35">
      <c r="A6223" s="40">
        <v>43462</v>
      </c>
      <c r="B6223" s="38">
        <v>-18.37</v>
      </c>
      <c r="C6223" s="13" t="s">
        <v>364</v>
      </c>
      <c r="D6223" s="36">
        <v>4379.24</v>
      </c>
      <c r="E6223" s="43" t="s">
        <v>3596</v>
      </c>
    </row>
    <row r="6224" spans="1:5" x14ac:dyDescent="0.35">
      <c r="A6224" s="40">
        <v>43461</v>
      </c>
      <c r="B6224" s="38">
        <v>-100</v>
      </c>
      <c r="C6224" s="13" t="s">
        <v>1714</v>
      </c>
      <c r="D6224" s="36">
        <v>4469.05</v>
      </c>
      <c r="E6224" s="43" t="s">
        <v>3596</v>
      </c>
    </row>
    <row r="6225" spans="1:5" x14ac:dyDescent="0.35">
      <c r="A6225" s="40">
        <v>43459</v>
      </c>
      <c r="B6225" s="38">
        <v>-20</v>
      </c>
      <c r="C6225" s="13" t="s">
        <v>370</v>
      </c>
      <c r="D6225" s="36">
        <v>4658.7299999999996</v>
      </c>
      <c r="E6225" s="43" t="s">
        <v>3596</v>
      </c>
    </row>
    <row r="6226" spans="1:5" x14ac:dyDescent="0.35">
      <c r="A6226" s="40">
        <v>43459</v>
      </c>
      <c r="B6226" s="38">
        <v>-50</v>
      </c>
      <c r="C6226" s="13" t="s">
        <v>958</v>
      </c>
      <c r="D6226" s="36">
        <v>4569.05</v>
      </c>
      <c r="E6226" s="43" t="s">
        <v>3596</v>
      </c>
    </row>
    <row r="6227" spans="1:5" x14ac:dyDescent="0.35">
      <c r="A6227" s="40">
        <v>43459</v>
      </c>
      <c r="B6227" s="38">
        <v>-15.5</v>
      </c>
      <c r="C6227" s="13" t="s">
        <v>3606</v>
      </c>
      <c r="D6227" s="36">
        <v>4619.05</v>
      </c>
      <c r="E6227" s="43" t="s">
        <v>3596</v>
      </c>
    </row>
    <row r="6228" spans="1:5" x14ac:dyDescent="0.35">
      <c r="A6228" s="40">
        <v>43459</v>
      </c>
      <c r="B6228" s="38">
        <v>-12.5</v>
      </c>
      <c r="C6228" s="13" t="s">
        <v>3607</v>
      </c>
      <c r="D6228" s="36">
        <v>4634.55</v>
      </c>
      <c r="E6228" s="43" t="s">
        <v>3596</v>
      </c>
    </row>
    <row r="6229" spans="1:5" x14ac:dyDescent="0.35">
      <c r="A6229" s="40">
        <v>43459</v>
      </c>
      <c r="B6229" s="38">
        <v>200</v>
      </c>
      <c r="C6229" s="13" t="s">
        <v>1685</v>
      </c>
      <c r="D6229" s="36">
        <v>4678.7299999999996</v>
      </c>
      <c r="E6229" s="43" t="s">
        <v>3596</v>
      </c>
    </row>
    <row r="6230" spans="1:5" x14ac:dyDescent="0.35">
      <c r="A6230" s="40">
        <v>43459</v>
      </c>
      <c r="B6230" s="38">
        <v>-11.68</v>
      </c>
      <c r="C6230" s="13" t="s">
        <v>369</v>
      </c>
      <c r="D6230" s="36">
        <v>4647.05</v>
      </c>
      <c r="E6230" s="43" t="s">
        <v>3596</v>
      </c>
    </row>
    <row r="6231" spans="1:5" x14ac:dyDescent="0.35">
      <c r="A6231" s="40">
        <v>43458</v>
      </c>
      <c r="B6231" s="38">
        <v>1080.25</v>
      </c>
      <c r="C6231" s="13" t="s">
        <v>10</v>
      </c>
      <c r="D6231" s="36">
        <v>4478.7299999999996</v>
      </c>
      <c r="E6231" s="43" t="s">
        <v>3596</v>
      </c>
    </row>
    <row r="6232" spans="1:5" x14ac:dyDescent="0.35">
      <c r="A6232" s="40">
        <v>43457</v>
      </c>
      <c r="B6232" s="38">
        <v>-29.19</v>
      </c>
      <c r="C6232" s="13" t="s">
        <v>371</v>
      </c>
      <c r="D6232" s="36">
        <v>3398.48</v>
      </c>
      <c r="E6232" s="43" t="s">
        <v>3596</v>
      </c>
    </row>
    <row r="6233" spans="1:5" x14ac:dyDescent="0.35">
      <c r="A6233" s="40">
        <v>43457</v>
      </c>
      <c r="B6233" s="38">
        <v>-4</v>
      </c>
      <c r="C6233" s="13" t="s">
        <v>372</v>
      </c>
      <c r="D6233" s="36">
        <v>3427.67</v>
      </c>
      <c r="E6233" s="43" t="s">
        <v>3596</v>
      </c>
    </row>
    <row r="6234" spans="1:5" x14ac:dyDescent="0.35">
      <c r="A6234" s="40">
        <v>43456</v>
      </c>
      <c r="B6234" s="38">
        <v>-30</v>
      </c>
      <c r="C6234" s="13" t="s">
        <v>373</v>
      </c>
      <c r="D6234" s="36">
        <v>4046.67</v>
      </c>
      <c r="E6234" s="43" t="s">
        <v>3596</v>
      </c>
    </row>
    <row r="6235" spans="1:5" x14ac:dyDescent="0.35">
      <c r="A6235" s="40">
        <v>43456</v>
      </c>
      <c r="B6235" s="38">
        <v>-515</v>
      </c>
      <c r="C6235" s="13" t="s">
        <v>949</v>
      </c>
      <c r="D6235" s="36">
        <v>3431.67</v>
      </c>
      <c r="E6235" s="43" t="s">
        <v>3596</v>
      </c>
    </row>
    <row r="6236" spans="1:5" x14ac:dyDescent="0.35">
      <c r="A6236" s="40">
        <v>43456</v>
      </c>
      <c r="B6236" s="38">
        <v>-11.4</v>
      </c>
      <c r="C6236" s="13" t="s">
        <v>374</v>
      </c>
      <c r="D6236" s="36">
        <v>4076.67</v>
      </c>
      <c r="E6236" s="43" t="s">
        <v>3596</v>
      </c>
    </row>
    <row r="6237" spans="1:5" x14ac:dyDescent="0.35">
      <c r="A6237" s="40">
        <v>43456</v>
      </c>
      <c r="B6237" s="38">
        <v>-12.5</v>
      </c>
      <c r="C6237" s="13" t="s">
        <v>3608</v>
      </c>
      <c r="D6237" s="36">
        <v>4247.53</v>
      </c>
      <c r="E6237" s="43" t="s">
        <v>3596</v>
      </c>
    </row>
    <row r="6238" spans="1:5" x14ac:dyDescent="0.35">
      <c r="A6238" s="40">
        <v>43456</v>
      </c>
      <c r="B6238" s="38">
        <v>-100</v>
      </c>
      <c r="C6238" s="13" t="s">
        <v>946</v>
      </c>
      <c r="D6238" s="36">
        <v>3946.67</v>
      </c>
      <c r="E6238" s="43" t="s">
        <v>3596</v>
      </c>
    </row>
    <row r="6239" spans="1:5" x14ac:dyDescent="0.35">
      <c r="A6239" s="40">
        <v>43456</v>
      </c>
      <c r="B6239" s="38">
        <v>-159.46</v>
      </c>
      <c r="C6239" s="13" t="s">
        <v>375</v>
      </c>
      <c r="D6239" s="36">
        <v>4088.07</v>
      </c>
      <c r="E6239" s="43" t="s">
        <v>3596</v>
      </c>
    </row>
    <row r="6240" spans="1:5" x14ac:dyDescent="0.35">
      <c r="A6240" s="40">
        <v>43455</v>
      </c>
      <c r="B6240" s="38">
        <v>-12.95</v>
      </c>
      <c r="C6240" s="13" t="s">
        <v>376</v>
      </c>
      <c r="D6240" s="36">
        <v>4310.03</v>
      </c>
      <c r="E6240" s="43" t="s">
        <v>3596</v>
      </c>
    </row>
    <row r="6241" spans="1:5" x14ac:dyDescent="0.35">
      <c r="A6241" s="40">
        <v>43455</v>
      </c>
      <c r="B6241" s="38">
        <v>-50</v>
      </c>
      <c r="C6241" s="13" t="s">
        <v>1714</v>
      </c>
      <c r="D6241" s="36">
        <v>4260.03</v>
      </c>
      <c r="E6241" s="43" t="s">
        <v>3596</v>
      </c>
    </row>
    <row r="6242" spans="1:5" x14ac:dyDescent="0.35">
      <c r="A6242" s="40">
        <v>43455</v>
      </c>
      <c r="B6242" s="38">
        <v>-14.8</v>
      </c>
      <c r="C6242" s="13" t="s">
        <v>377</v>
      </c>
      <c r="D6242" s="36">
        <v>4322.9799999999996</v>
      </c>
      <c r="E6242" s="43" t="s">
        <v>3596</v>
      </c>
    </row>
    <row r="6243" spans="1:5" x14ac:dyDescent="0.35">
      <c r="A6243" s="40">
        <v>43454</v>
      </c>
      <c r="B6243" s="38">
        <v>-26.95</v>
      </c>
      <c r="C6243" s="13" t="s">
        <v>379</v>
      </c>
      <c r="D6243" s="36">
        <v>4513.18</v>
      </c>
      <c r="E6243" s="43" t="s">
        <v>3596</v>
      </c>
    </row>
    <row r="6244" spans="1:5" x14ac:dyDescent="0.35">
      <c r="A6244" s="40">
        <v>43454</v>
      </c>
      <c r="B6244" s="38">
        <v>-10.87</v>
      </c>
      <c r="C6244" s="13" t="s">
        <v>380</v>
      </c>
      <c r="D6244" s="36">
        <v>4540.13</v>
      </c>
      <c r="E6244" s="43" t="s">
        <v>3596</v>
      </c>
    </row>
    <row r="6245" spans="1:5" x14ac:dyDescent="0.35">
      <c r="A6245" s="40">
        <v>43454</v>
      </c>
      <c r="B6245" s="38">
        <v>-12.5</v>
      </c>
      <c r="C6245" s="13" t="s">
        <v>3609</v>
      </c>
      <c r="D6245" s="36">
        <v>4551</v>
      </c>
      <c r="E6245" s="43" t="s">
        <v>3596</v>
      </c>
    </row>
    <row r="6246" spans="1:5" x14ac:dyDescent="0.35">
      <c r="A6246" s="40">
        <v>43454</v>
      </c>
      <c r="B6246" s="38">
        <v>-175.4</v>
      </c>
      <c r="C6246" s="13" t="s">
        <v>378</v>
      </c>
      <c r="D6246" s="36">
        <v>4337.78</v>
      </c>
      <c r="E6246" s="43" t="s">
        <v>3596</v>
      </c>
    </row>
    <row r="6247" spans="1:5" x14ac:dyDescent="0.35">
      <c r="A6247" s="40">
        <v>43453</v>
      </c>
      <c r="B6247" s="38">
        <v>1080.25</v>
      </c>
      <c r="C6247" s="13" t="s">
        <v>10</v>
      </c>
      <c r="D6247" s="36">
        <v>4563.5</v>
      </c>
      <c r="E6247" s="43" t="s">
        <v>3596</v>
      </c>
    </row>
    <row r="6248" spans="1:5" x14ac:dyDescent="0.35">
      <c r="A6248" s="40">
        <v>43453</v>
      </c>
      <c r="B6248" s="38">
        <v>-15</v>
      </c>
      <c r="C6248" s="13" t="s">
        <v>382</v>
      </c>
      <c r="D6248" s="36">
        <v>3515.75</v>
      </c>
      <c r="E6248" s="43" t="s">
        <v>3596</v>
      </c>
    </row>
    <row r="6249" spans="1:5" x14ac:dyDescent="0.35">
      <c r="A6249" s="40">
        <v>43453</v>
      </c>
      <c r="B6249" s="38">
        <v>-32.5</v>
      </c>
      <c r="C6249" s="13" t="s">
        <v>381</v>
      </c>
      <c r="D6249" s="36">
        <v>3483.25</v>
      </c>
      <c r="E6249" s="43" t="s">
        <v>3596</v>
      </c>
    </row>
    <row r="6250" spans="1:5" x14ac:dyDescent="0.35">
      <c r="A6250" s="40">
        <v>43452</v>
      </c>
      <c r="B6250" s="38">
        <v>-30.8</v>
      </c>
      <c r="C6250" s="13" t="s">
        <v>383</v>
      </c>
      <c r="D6250" s="36">
        <v>3545.25</v>
      </c>
      <c r="E6250" s="43" t="s">
        <v>3596</v>
      </c>
    </row>
    <row r="6251" spans="1:5" x14ac:dyDescent="0.35">
      <c r="A6251" s="40">
        <v>43452</v>
      </c>
      <c r="B6251" s="38">
        <v>-14.5</v>
      </c>
      <c r="C6251" s="13" t="s">
        <v>3610</v>
      </c>
      <c r="D6251" s="36">
        <v>3530.75</v>
      </c>
      <c r="E6251" s="43" t="s">
        <v>3596</v>
      </c>
    </row>
    <row r="6252" spans="1:5" x14ac:dyDescent="0.35">
      <c r="A6252" s="40">
        <v>43452</v>
      </c>
      <c r="B6252" s="38">
        <v>-54.1</v>
      </c>
      <c r="C6252" s="13" t="s">
        <v>385</v>
      </c>
      <c r="D6252" s="36">
        <v>3621.34</v>
      </c>
      <c r="E6252" s="43" t="s">
        <v>3596</v>
      </c>
    </row>
    <row r="6253" spans="1:5" x14ac:dyDescent="0.35">
      <c r="A6253" s="40">
        <v>43452</v>
      </c>
      <c r="B6253" s="38">
        <v>-45.29</v>
      </c>
      <c r="C6253" s="13" t="s">
        <v>384</v>
      </c>
      <c r="D6253" s="36">
        <v>3576.05</v>
      </c>
      <c r="E6253" s="43" t="s">
        <v>3596</v>
      </c>
    </row>
    <row r="6254" spans="1:5" x14ac:dyDescent="0.35">
      <c r="A6254" s="40">
        <v>43451</v>
      </c>
      <c r="B6254" s="38">
        <v>220</v>
      </c>
      <c r="C6254" s="13" t="s">
        <v>35</v>
      </c>
      <c r="D6254" s="36">
        <v>3675.44</v>
      </c>
      <c r="E6254" s="43" t="s">
        <v>3596</v>
      </c>
    </row>
    <row r="6255" spans="1:5" x14ac:dyDescent="0.35">
      <c r="A6255" s="40">
        <v>43449</v>
      </c>
      <c r="B6255" s="38">
        <v>-37.64</v>
      </c>
      <c r="C6255" s="13" t="s">
        <v>387</v>
      </c>
      <c r="D6255" s="36">
        <v>4084.24</v>
      </c>
      <c r="E6255" s="43" t="s">
        <v>3596</v>
      </c>
    </row>
    <row r="6256" spans="1:5" x14ac:dyDescent="0.35">
      <c r="A6256" s="40">
        <v>43449</v>
      </c>
      <c r="B6256" s="38">
        <v>-515</v>
      </c>
      <c r="C6256" s="13" t="s">
        <v>949</v>
      </c>
      <c r="D6256" s="36">
        <v>3455.44</v>
      </c>
      <c r="E6256" s="43" t="s">
        <v>3596</v>
      </c>
    </row>
    <row r="6257" spans="1:5" x14ac:dyDescent="0.35">
      <c r="A6257" s="40">
        <v>43449</v>
      </c>
      <c r="B6257" s="38">
        <v>-100</v>
      </c>
      <c r="C6257" s="13" t="s">
        <v>946</v>
      </c>
      <c r="D6257" s="36">
        <v>3970.44</v>
      </c>
      <c r="E6257" s="43" t="s">
        <v>3596</v>
      </c>
    </row>
    <row r="6258" spans="1:5" x14ac:dyDescent="0.35">
      <c r="A6258" s="40">
        <v>43449</v>
      </c>
      <c r="B6258" s="38">
        <v>-13.8</v>
      </c>
      <c r="C6258" s="13" t="s">
        <v>386</v>
      </c>
      <c r="D6258" s="36">
        <v>4070.44</v>
      </c>
      <c r="E6258" s="43" t="s">
        <v>3596</v>
      </c>
    </row>
    <row r="6259" spans="1:5" x14ac:dyDescent="0.35">
      <c r="A6259" s="40">
        <v>43448</v>
      </c>
      <c r="B6259" s="38">
        <v>-50</v>
      </c>
      <c r="C6259" s="13" t="s">
        <v>388</v>
      </c>
      <c r="D6259" s="36">
        <v>4121.88</v>
      </c>
      <c r="E6259" s="43" t="s">
        <v>3596</v>
      </c>
    </row>
    <row r="6260" spans="1:5" x14ac:dyDescent="0.35">
      <c r="A6260" s="40">
        <v>43448</v>
      </c>
      <c r="B6260" s="38">
        <v>-12.5</v>
      </c>
      <c r="C6260" s="13" t="s">
        <v>3611</v>
      </c>
      <c r="D6260" s="36">
        <v>4171.88</v>
      </c>
      <c r="E6260" s="43" t="s">
        <v>3596</v>
      </c>
    </row>
    <row r="6261" spans="1:5" x14ac:dyDescent="0.35">
      <c r="A6261" s="40">
        <v>43448</v>
      </c>
      <c r="B6261" s="38">
        <v>-13.5</v>
      </c>
      <c r="C6261" s="13" t="s">
        <v>389</v>
      </c>
      <c r="D6261" s="36">
        <v>4184.38</v>
      </c>
      <c r="E6261" s="43" t="s">
        <v>3596</v>
      </c>
    </row>
    <row r="6262" spans="1:5" x14ac:dyDescent="0.35">
      <c r="A6262" s="40">
        <v>43447</v>
      </c>
      <c r="B6262" s="38">
        <v>-10.39</v>
      </c>
      <c r="C6262" s="13" t="s">
        <v>392</v>
      </c>
      <c r="D6262" s="36">
        <v>4303.78</v>
      </c>
      <c r="E6262" s="43" t="s">
        <v>3596</v>
      </c>
    </row>
    <row r="6263" spans="1:5" x14ac:dyDescent="0.35">
      <c r="A6263" s="40">
        <v>43447</v>
      </c>
      <c r="B6263" s="38">
        <v>-14.4</v>
      </c>
      <c r="C6263" s="13" t="s">
        <v>391</v>
      </c>
      <c r="D6263" s="36">
        <v>4289.38</v>
      </c>
      <c r="E6263" s="43" t="s">
        <v>3596</v>
      </c>
    </row>
    <row r="6264" spans="1:5" x14ac:dyDescent="0.35">
      <c r="A6264" s="40">
        <v>43447</v>
      </c>
      <c r="B6264" s="38">
        <v>-73</v>
      </c>
      <c r="C6264" s="13" t="s">
        <v>37</v>
      </c>
      <c r="D6264" s="36">
        <v>4197.88</v>
      </c>
      <c r="E6264" s="43" t="s">
        <v>3596</v>
      </c>
    </row>
    <row r="6265" spans="1:5" x14ac:dyDescent="0.35">
      <c r="A6265" s="40">
        <v>43447</v>
      </c>
      <c r="B6265" s="38">
        <v>-18.5</v>
      </c>
      <c r="C6265" s="13" t="s">
        <v>390</v>
      </c>
      <c r="D6265" s="36">
        <v>4270.88</v>
      </c>
      <c r="E6265" s="43" t="s">
        <v>3596</v>
      </c>
    </row>
    <row r="6266" spans="1:5" x14ac:dyDescent="0.35">
      <c r="A6266" s="40">
        <v>43446</v>
      </c>
      <c r="B6266" s="38">
        <v>1080.25</v>
      </c>
      <c r="C6266" s="13" t="s">
        <v>10</v>
      </c>
      <c r="D6266" s="36">
        <v>4314.17</v>
      </c>
      <c r="E6266" s="43" t="s">
        <v>3596</v>
      </c>
    </row>
    <row r="6267" spans="1:5" x14ac:dyDescent="0.35">
      <c r="A6267" s="40">
        <v>43446</v>
      </c>
      <c r="B6267" s="38">
        <v>-8.5</v>
      </c>
      <c r="C6267" s="13" t="s">
        <v>393</v>
      </c>
      <c r="D6267" s="36">
        <v>3258.92</v>
      </c>
      <c r="E6267" s="43" t="s">
        <v>3596</v>
      </c>
    </row>
    <row r="6268" spans="1:5" x14ac:dyDescent="0.35">
      <c r="A6268" s="40">
        <v>43446</v>
      </c>
      <c r="B6268" s="38">
        <v>-25</v>
      </c>
      <c r="C6268" s="13" t="s">
        <v>312</v>
      </c>
      <c r="D6268" s="36">
        <v>3233.92</v>
      </c>
      <c r="E6268" s="43" t="s">
        <v>3596</v>
      </c>
    </row>
    <row r="6269" spans="1:5" x14ac:dyDescent="0.35">
      <c r="A6269" s="40">
        <v>43445</v>
      </c>
      <c r="B6269" s="38">
        <v>-30</v>
      </c>
      <c r="C6269" s="13" t="s">
        <v>394</v>
      </c>
      <c r="D6269" s="36">
        <v>3267.42</v>
      </c>
      <c r="E6269" s="43" t="s">
        <v>3596</v>
      </c>
    </row>
    <row r="6270" spans="1:5" x14ac:dyDescent="0.35">
      <c r="A6270" s="40">
        <v>43445</v>
      </c>
      <c r="B6270" s="38">
        <v>-17.8</v>
      </c>
      <c r="C6270" s="13" t="s">
        <v>398</v>
      </c>
      <c r="D6270" s="36">
        <v>3373.15</v>
      </c>
      <c r="E6270" s="43" t="s">
        <v>3596</v>
      </c>
    </row>
    <row r="6271" spans="1:5" x14ac:dyDescent="0.35">
      <c r="A6271" s="40">
        <v>43445</v>
      </c>
      <c r="B6271" s="38">
        <v>-12.8</v>
      </c>
      <c r="C6271" s="13" t="s">
        <v>395</v>
      </c>
      <c r="D6271" s="36">
        <v>3297.42</v>
      </c>
      <c r="E6271" s="43" t="s">
        <v>3596</v>
      </c>
    </row>
    <row r="6272" spans="1:5" x14ac:dyDescent="0.35">
      <c r="A6272" s="40">
        <v>43445</v>
      </c>
      <c r="B6272" s="38">
        <v>-19.43</v>
      </c>
      <c r="C6272" s="13" t="s">
        <v>397</v>
      </c>
      <c r="D6272" s="36">
        <v>3353.72</v>
      </c>
      <c r="E6272" s="43" t="s">
        <v>3596</v>
      </c>
    </row>
    <row r="6273" spans="1:5" x14ac:dyDescent="0.35">
      <c r="A6273" s="40">
        <v>43445</v>
      </c>
      <c r="B6273" s="38">
        <v>-43.5</v>
      </c>
      <c r="C6273" s="13" t="s">
        <v>396</v>
      </c>
      <c r="D6273" s="36">
        <v>3310.22</v>
      </c>
      <c r="E6273" s="43" t="s">
        <v>3596</v>
      </c>
    </row>
    <row r="6274" spans="1:5" x14ac:dyDescent="0.35">
      <c r="A6274" s="40">
        <v>43442</v>
      </c>
      <c r="B6274" s="38">
        <v>-515</v>
      </c>
      <c r="C6274" s="13" t="s">
        <v>949</v>
      </c>
      <c r="D6274" s="36">
        <v>3390.95</v>
      </c>
      <c r="E6274" s="43" t="s">
        <v>3596</v>
      </c>
    </row>
    <row r="6275" spans="1:5" x14ac:dyDescent="0.35">
      <c r="A6275" s="40">
        <v>43442</v>
      </c>
      <c r="B6275" s="38">
        <v>-18</v>
      </c>
      <c r="C6275" s="13" t="s">
        <v>399</v>
      </c>
      <c r="D6275" s="36">
        <v>4005.95</v>
      </c>
      <c r="E6275" s="43" t="s">
        <v>3596</v>
      </c>
    </row>
    <row r="6276" spans="1:5" x14ac:dyDescent="0.35">
      <c r="A6276" s="40">
        <v>43442</v>
      </c>
      <c r="B6276" s="38">
        <v>-8.5</v>
      </c>
      <c r="C6276" s="13" t="s">
        <v>400</v>
      </c>
      <c r="D6276" s="36">
        <v>4023.95</v>
      </c>
      <c r="E6276" s="43" t="s">
        <v>3596</v>
      </c>
    </row>
    <row r="6277" spans="1:5" x14ac:dyDescent="0.35">
      <c r="A6277" s="40">
        <v>43442</v>
      </c>
      <c r="B6277" s="38">
        <v>-100</v>
      </c>
      <c r="C6277" s="13" t="s">
        <v>946</v>
      </c>
      <c r="D6277" s="36">
        <v>3905.95</v>
      </c>
      <c r="E6277" s="43" t="s">
        <v>3596</v>
      </c>
    </row>
    <row r="6278" spans="1:5" x14ac:dyDescent="0.35">
      <c r="A6278" s="40">
        <v>43442</v>
      </c>
      <c r="B6278" s="38">
        <v>-13.8</v>
      </c>
      <c r="C6278" s="13" t="s">
        <v>401</v>
      </c>
      <c r="D6278" s="36">
        <v>4032.45</v>
      </c>
      <c r="E6278" s="43" t="s">
        <v>3596</v>
      </c>
    </row>
    <row r="6279" spans="1:5" x14ac:dyDescent="0.35">
      <c r="A6279" s="40">
        <v>43441</v>
      </c>
      <c r="B6279" s="38">
        <v>-50</v>
      </c>
      <c r="C6279" s="13" t="s">
        <v>1723</v>
      </c>
      <c r="D6279" s="36">
        <v>4046.25</v>
      </c>
      <c r="E6279" s="43" t="s">
        <v>3596</v>
      </c>
    </row>
    <row r="6280" spans="1:5" x14ac:dyDescent="0.35">
      <c r="A6280" s="40">
        <v>43441</v>
      </c>
      <c r="B6280" s="38">
        <v>-12.5</v>
      </c>
      <c r="C6280" s="13" t="s">
        <v>3612</v>
      </c>
      <c r="D6280" s="36">
        <v>4163.9799999999996</v>
      </c>
      <c r="E6280" s="43" t="s">
        <v>3596</v>
      </c>
    </row>
    <row r="6281" spans="1:5" x14ac:dyDescent="0.35">
      <c r="A6281" s="40">
        <v>43441</v>
      </c>
      <c r="B6281" s="38">
        <v>-10.15</v>
      </c>
      <c r="C6281" s="13" t="s">
        <v>402</v>
      </c>
      <c r="D6281" s="36">
        <v>4096.25</v>
      </c>
      <c r="E6281" s="43" t="s">
        <v>3596</v>
      </c>
    </row>
    <row r="6282" spans="1:5" x14ac:dyDescent="0.35">
      <c r="A6282" s="40">
        <v>43441</v>
      </c>
      <c r="B6282" s="38">
        <v>-57.58</v>
      </c>
      <c r="C6282" s="13" t="s">
        <v>403</v>
      </c>
      <c r="D6282" s="36">
        <v>4106.3999999999996</v>
      </c>
      <c r="E6282" s="43" t="s">
        <v>3596</v>
      </c>
    </row>
    <row r="6283" spans="1:5" x14ac:dyDescent="0.35">
      <c r="A6283" s="40">
        <v>43440</v>
      </c>
      <c r="B6283" s="38">
        <v>-12.25</v>
      </c>
      <c r="C6283" s="13" t="s">
        <v>408</v>
      </c>
      <c r="D6283" s="36">
        <v>4142.58</v>
      </c>
      <c r="E6283" s="43" t="s">
        <v>3596</v>
      </c>
    </row>
    <row r="6284" spans="1:5" x14ac:dyDescent="0.35">
      <c r="A6284" s="40">
        <v>43440</v>
      </c>
      <c r="B6284" s="38">
        <v>-6</v>
      </c>
      <c r="C6284" s="13" t="s">
        <v>406</v>
      </c>
      <c r="D6284" s="36">
        <v>4119.88</v>
      </c>
      <c r="E6284" s="43" t="s">
        <v>3596</v>
      </c>
    </row>
    <row r="6285" spans="1:5" x14ac:dyDescent="0.35">
      <c r="A6285" s="40">
        <v>43440</v>
      </c>
      <c r="B6285" s="38">
        <v>-18</v>
      </c>
      <c r="C6285" s="13" t="s">
        <v>405</v>
      </c>
      <c r="D6285" s="36">
        <v>4351.88</v>
      </c>
      <c r="E6285" s="43" t="s">
        <v>3596</v>
      </c>
    </row>
    <row r="6286" spans="1:5" x14ac:dyDescent="0.35">
      <c r="A6286" s="40">
        <v>43440</v>
      </c>
      <c r="B6286" s="38">
        <v>-16.7</v>
      </c>
      <c r="C6286" s="13" t="s">
        <v>407</v>
      </c>
      <c r="D6286" s="36">
        <v>4125.88</v>
      </c>
      <c r="E6286" s="43" t="s">
        <v>3596</v>
      </c>
    </row>
    <row r="6287" spans="1:5" x14ac:dyDescent="0.35">
      <c r="A6287" s="40">
        <v>43440</v>
      </c>
      <c r="B6287" s="38">
        <v>250</v>
      </c>
      <c r="C6287" s="13" t="s">
        <v>1686</v>
      </c>
      <c r="D6287" s="36">
        <v>4369.88</v>
      </c>
      <c r="E6287" s="43" t="s">
        <v>3596</v>
      </c>
    </row>
    <row r="6288" spans="1:5" x14ac:dyDescent="0.35">
      <c r="A6288" s="40">
        <v>43440</v>
      </c>
      <c r="B6288" s="38">
        <v>-175.4</v>
      </c>
      <c r="C6288" s="13" t="s">
        <v>404</v>
      </c>
      <c r="D6288" s="36">
        <v>4176.4799999999996</v>
      </c>
      <c r="E6288" s="43" t="s">
        <v>3596</v>
      </c>
    </row>
    <row r="6289" spans="1:5" x14ac:dyDescent="0.35">
      <c r="A6289" s="40">
        <v>43439</v>
      </c>
      <c r="B6289" s="38">
        <v>-30</v>
      </c>
      <c r="C6289" s="13" t="s">
        <v>412</v>
      </c>
      <c r="D6289" s="36">
        <v>3549.82</v>
      </c>
      <c r="E6289" s="43" t="s">
        <v>3596</v>
      </c>
    </row>
    <row r="6290" spans="1:5" x14ac:dyDescent="0.35">
      <c r="A6290" s="40">
        <v>43439</v>
      </c>
      <c r="B6290" s="38">
        <v>890.2</v>
      </c>
      <c r="C6290" s="13" t="s">
        <v>10</v>
      </c>
      <c r="D6290" s="36">
        <v>4154.83</v>
      </c>
      <c r="E6290" s="43" t="s">
        <v>3596</v>
      </c>
    </row>
    <row r="6291" spans="1:5" x14ac:dyDescent="0.35">
      <c r="A6291" s="40">
        <v>43439</v>
      </c>
      <c r="B6291" s="38">
        <v>-179</v>
      </c>
      <c r="C6291" s="13" t="s">
        <v>409</v>
      </c>
      <c r="D6291" s="36">
        <v>3264.63</v>
      </c>
      <c r="E6291" s="43" t="s">
        <v>3596</v>
      </c>
    </row>
    <row r="6292" spans="1:5" x14ac:dyDescent="0.35">
      <c r="A6292" s="40">
        <v>43439</v>
      </c>
      <c r="B6292" s="38">
        <v>-60</v>
      </c>
      <c r="C6292" s="13" t="s">
        <v>411</v>
      </c>
      <c r="D6292" s="36">
        <v>3489.82</v>
      </c>
      <c r="E6292" s="43" t="s">
        <v>3596</v>
      </c>
    </row>
    <row r="6293" spans="1:5" x14ac:dyDescent="0.35">
      <c r="A6293" s="40">
        <v>43439</v>
      </c>
      <c r="B6293" s="38">
        <v>-119</v>
      </c>
      <c r="C6293" s="13" t="s">
        <v>413</v>
      </c>
      <c r="D6293" s="36">
        <v>3579.82</v>
      </c>
      <c r="E6293" s="43" t="s">
        <v>3596</v>
      </c>
    </row>
    <row r="6294" spans="1:5" x14ac:dyDescent="0.35">
      <c r="A6294" s="40">
        <v>43439</v>
      </c>
      <c r="B6294" s="38">
        <v>-46.19</v>
      </c>
      <c r="C6294" s="13" t="s">
        <v>410</v>
      </c>
      <c r="D6294" s="36">
        <v>3443.63</v>
      </c>
      <c r="E6294" s="43" t="s">
        <v>3596</v>
      </c>
    </row>
    <row r="6295" spans="1:5" x14ac:dyDescent="0.35">
      <c r="A6295" s="40">
        <v>43438</v>
      </c>
      <c r="B6295" s="38">
        <v>-50</v>
      </c>
      <c r="C6295" s="13" t="s">
        <v>417</v>
      </c>
      <c r="D6295" s="36">
        <v>3727.61</v>
      </c>
      <c r="E6295" s="43" t="s">
        <v>3596</v>
      </c>
    </row>
    <row r="6296" spans="1:5" x14ac:dyDescent="0.35">
      <c r="A6296" s="40">
        <v>43438</v>
      </c>
      <c r="B6296" s="38">
        <v>-6.96</v>
      </c>
      <c r="C6296" s="13" t="s">
        <v>414</v>
      </c>
      <c r="D6296" s="36">
        <v>3698.82</v>
      </c>
      <c r="E6296" s="43" t="s">
        <v>3596</v>
      </c>
    </row>
    <row r="6297" spans="1:5" x14ac:dyDescent="0.35">
      <c r="A6297" s="40">
        <v>43438</v>
      </c>
      <c r="B6297" s="38">
        <v>-8.33</v>
      </c>
      <c r="C6297" s="13" t="s">
        <v>415</v>
      </c>
      <c r="D6297" s="36">
        <v>3705.78</v>
      </c>
      <c r="E6297" s="43" t="s">
        <v>3596</v>
      </c>
    </row>
    <row r="6298" spans="1:5" x14ac:dyDescent="0.35">
      <c r="A6298" s="40">
        <v>43438</v>
      </c>
      <c r="B6298" s="38">
        <v>-13.5</v>
      </c>
      <c r="C6298" s="13" t="s">
        <v>416</v>
      </c>
      <c r="D6298" s="36">
        <v>3714.11</v>
      </c>
      <c r="E6298" s="43" t="s">
        <v>3596</v>
      </c>
    </row>
    <row r="6299" spans="1:5" x14ac:dyDescent="0.35">
      <c r="A6299" s="40">
        <v>43437</v>
      </c>
      <c r="B6299" s="38">
        <v>-166.4</v>
      </c>
      <c r="C6299" s="13" t="s">
        <v>418</v>
      </c>
      <c r="D6299" s="36">
        <v>3777.61</v>
      </c>
      <c r="E6299" s="43" t="s">
        <v>3596</v>
      </c>
    </row>
    <row r="6300" spans="1:5" x14ac:dyDescent="0.35">
      <c r="A6300" s="40">
        <v>43435</v>
      </c>
      <c r="B6300" s="38">
        <v>-7.77</v>
      </c>
      <c r="C6300" s="13" t="s">
        <v>419</v>
      </c>
      <c r="D6300" s="36">
        <v>4559.01</v>
      </c>
      <c r="E6300" s="43" t="s">
        <v>3596</v>
      </c>
    </row>
    <row r="6301" spans="1:5" x14ac:dyDescent="0.35">
      <c r="A6301" s="40">
        <v>43435</v>
      </c>
      <c r="B6301" s="38">
        <v>-515</v>
      </c>
      <c r="C6301" s="13" t="s">
        <v>949</v>
      </c>
      <c r="D6301" s="36">
        <v>3944.01</v>
      </c>
      <c r="E6301" s="43" t="s">
        <v>3596</v>
      </c>
    </row>
    <row r="6302" spans="1:5" x14ac:dyDescent="0.35">
      <c r="A6302" s="40">
        <v>43435</v>
      </c>
      <c r="B6302" s="38">
        <v>-9.99</v>
      </c>
      <c r="C6302" s="13" t="s">
        <v>420</v>
      </c>
      <c r="D6302" s="36">
        <v>4566.78</v>
      </c>
      <c r="E6302" s="43" t="s">
        <v>3596</v>
      </c>
    </row>
    <row r="6303" spans="1:5" x14ac:dyDescent="0.35">
      <c r="A6303" s="40">
        <v>43435</v>
      </c>
      <c r="B6303" s="38">
        <v>-100</v>
      </c>
      <c r="C6303" s="13" t="s">
        <v>946</v>
      </c>
      <c r="D6303" s="36">
        <v>4459.01</v>
      </c>
      <c r="E6303" s="43" t="s">
        <v>3596</v>
      </c>
    </row>
    <row r="6304" spans="1:5" x14ac:dyDescent="0.35">
      <c r="A6304" s="40">
        <v>43434</v>
      </c>
      <c r="B6304" s="38">
        <v>-22.2</v>
      </c>
      <c r="C6304" s="13" t="s">
        <v>421</v>
      </c>
      <c r="D6304" s="36">
        <v>4576.7700000000004</v>
      </c>
      <c r="E6304" s="43" t="s">
        <v>3596</v>
      </c>
    </row>
    <row r="6305" spans="1:5" x14ac:dyDescent="0.35">
      <c r="A6305" s="40">
        <v>43434</v>
      </c>
      <c r="B6305" s="38">
        <v>-13.5</v>
      </c>
      <c r="C6305" s="13" t="s">
        <v>422</v>
      </c>
      <c r="D6305" s="36">
        <v>4598.97</v>
      </c>
      <c r="E6305" s="43" t="s">
        <v>3596</v>
      </c>
    </row>
    <row r="6306" spans="1:5" x14ac:dyDescent="0.35">
      <c r="A6306" s="40">
        <v>43433</v>
      </c>
      <c r="B6306" s="38">
        <v>-10.45</v>
      </c>
      <c r="C6306" s="13" t="s">
        <v>426</v>
      </c>
      <c r="D6306" s="36">
        <v>4681.22</v>
      </c>
      <c r="E6306" s="43" t="s">
        <v>3596</v>
      </c>
    </row>
    <row r="6307" spans="1:5" x14ac:dyDescent="0.35">
      <c r="A6307" s="40">
        <v>43433</v>
      </c>
      <c r="B6307" s="38">
        <v>-13.4</v>
      </c>
      <c r="C6307" s="13" t="s">
        <v>425</v>
      </c>
      <c r="D6307" s="36">
        <v>4667.82</v>
      </c>
      <c r="E6307" s="43" t="s">
        <v>3596</v>
      </c>
    </row>
    <row r="6308" spans="1:5" x14ac:dyDescent="0.35">
      <c r="A6308" s="40">
        <v>43433</v>
      </c>
      <c r="B6308" s="38">
        <v>-35.25</v>
      </c>
      <c r="C6308" s="13" t="s">
        <v>423</v>
      </c>
      <c r="D6308" s="36">
        <v>4612.47</v>
      </c>
      <c r="E6308" s="43" t="s">
        <v>3596</v>
      </c>
    </row>
    <row r="6309" spans="1:5" x14ac:dyDescent="0.35">
      <c r="A6309" s="40">
        <v>43433</v>
      </c>
      <c r="B6309" s="38">
        <v>-11.45</v>
      </c>
      <c r="C6309" s="13" t="s">
        <v>427</v>
      </c>
      <c r="D6309" s="36">
        <v>4691.67</v>
      </c>
      <c r="E6309" s="43" t="s">
        <v>3596</v>
      </c>
    </row>
    <row r="6310" spans="1:5" x14ac:dyDescent="0.35">
      <c r="A6310" s="40">
        <v>43433</v>
      </c>
      <c r="B6310" s="38">
        <v>-20.100000000000001</v>
      </c>
      <c r="C6310" s="13" t="s">
        <v>424</v>
      </c>
      <c r="D6310" s="36">
        <v>4647.72</v>
      </c>
      <c r="E6310" s="43" t="s">
        <v>3596</v>
      </c>
    </row>
    <row r="6311" spans="1:5" x14ac:dyDescent="0.35">
      <c r="A6311" s="40">
        <v>43432</v>
      </c>
      <c r="B6311" s="38">
        <v>1052.1099999999999</v>
      </c>
      <c r="C6311" s="13" t="s">
        <v>10</v>
      </c>
      <c r="D6311" s="36">
        <v>4703.12</v>
      </c>
      <c r="E6311" s="43" t="s">
        <v>3596</v>
      </c>
    </row>
    <row r="6312" spans="1:5" x14ac:dyDescent="0.35">
      <c r="A6312" s="40">
        <v>43432</v>
      </c>
      <c r="B6312" s="38">
        <v>-36.97</v>
      </c>
      <c r="C6312" s="13" t="s">
        <v>428</v>
      </c>
      <c r="D6312" s="36">
        <v>3651.01</v>
      </c>
      <c r="E6312" s="43" t="s">
        <v>3596</v>
      </c>
    </row>
    <row r="6313" spans="1:5" x14ac:dyDescent="0.35">
      <c r="A6313" s="40">
        <v>43431</v>
      </c>
      <c r="B6313" s="38">
        <v>-13.1</v>
      </c>
      <c r="C6313" s="13" t="s">
        <v>433</v>
      </c>
      <c r="D6313" s="36">
        <v>3774.07</v>
      </c>
      <c r="E6313" s="43" t="s">
        <v>3596</v>
      </c>
    </row>
    <row r="6314" spans="1:5" x14ac:dyDescent="0.35">
      <c r="A6314" s="40">
        <v>43431</v>
      </c>
      <c r="B6314" s="38">
        <v>-7.14</v>
      </c>
      <c r="C6314" s="13" t="s">
        <v>431</v>
      </c>
      <c r="D6314" s="36">
        <v>3749.13</v>
      </c>
      <c r="E6314" s="43" t="s">
        <v>3596</v>
      </c>
    </row>
    <row r="6315" spans="1:5" x14ac:dyDescent="0.35">
      <c r="A6315" s="40">
        <v>43431</v>
      </c>
      <c r="B6315" s="38">
        <v>-16</v>
      </c>
      <c r="C6315" s="13" t="s">
        <v>430</v>
      </c>
      <c r="D6315" s="36">
        <v>3733.13</v>
      </c>
      <c r="E6315" s="43" t="s">
        <v>3596</v>
      </c>
    </row>
    <row r="6316" spans="1:5" x14ac:dyDescent="0.35">
      <c r="A6316" s="40">
        <v>43431</v>
      </c>
      <c r="B6316" s="38">
        <v>-17.8</v>
      </c>
      <c r="C6316" s="13" t="s">
        <v>432</v>
      </c>
      <c r="D6316" s="36">
        <v>3756.27</v>
      </c>
      <c r="E6316" s="43" t="s">
        <v>3596</v>
      </c>
    </row>
    <row r="6317" spans="1:5" x14ac:dyDescent="0.35">
      <c r="A6317" s="40">
        <v>43431</v>
      </c>
      <c r="B6317" s="38">
        <v>-45.15</v>
      </c>
      <c r="C6317" s="13" t="s">
        <v>429</v>
      </c>
      <c r="D6317" s="36">
        <v>3687.98</v>
      </c>
      <c r="E6317" s="43" t="s">
        <v>3596</v>
      </c>
    </row>
    <row r="6318" spans="1:5" x14ac:dyDescent="0.35">
      <c r="A6318" s="40">
        <v>43428</v>
      </c>
      <c r="B6318" s="38">
        <v>-515</v>
      </c>
      <c r="C6318" s="13" t="s">
        <v>949</v>
      </c>
      <c r="D6318" s="36">
        <v>3787.17</v>
      </c>
      <c r="E6318" s="43" t="s">
        <v>3596</v>
      </c>
    </row>
    <row r="6319" spans="1:5" x14ac:dyDescent="0.35">
      <c r="A6319" s="40">
        <v>43428</v>
      </c>
      <c r="B6319" s="38">
        <v>-100</v>
      </c>
      <c r="C6319" s="13" t="s">
        <v>946</v>
      </c>
      <c r="D6319" s="36">
        <v>4302.17</v>
      </c>
      <c r="E6319" s="43" t="s">
        <v>3596</v>
      </c>
    </row>
    <row r="6320" spans="1:5" x14ac:dyDescent="0.35">
      <c r="A6320" s="40">
        <v>43427</v>
      </c>
      <c r="B6320" s="38">
        <v>-12.5</v>
      </c>
      <c r="C6320" s="13" t="s">
        <v>434</v>
      </c>
      <c r="D6320" s="36">
        <v>4452.17</v>
      </c>
      <c r="E6320" s="43" t="s">
        <v>3596</v>
      </c>
    </row>
    <row r="6321" spans="1:5" x14ac:dyDescent="0.35">
      <c r="A6321" s="40">
        <v>43427</v>
      </c>
      <c r="B6321" s="38">
        <v>-50</v>
      </c>
      <c r="C6321" s="13" t="s">
        <v>1723</v>
      </c>
      <c r="D6321" s="36">
        <v>4402.17</v>
      </c>
      <c r="E6321" s="43" t="s">
        <v>3596</v>
      </c>
    </row>
    <row r="6322" spans="1:5" x14ac:dyDescent="0.35">
      <c r="A6322" s="40">
        <v>43427</v>
      </c>
      <c r="B6322" s="38">
        <v>-5.95</v>
      </c>
      <c r="C6322" s="13" t="s">
        <v>435</v>
      </c>
      <c r="D6322" s="36">
        <v>4464.67</v>
      </c>
      <c r="E6322" s="43" t="s">
        <v>3596</v>
      </c>
    </row>
    <row r="6323" spans="1:5" x14ac:dyDescent="0.35">
      <c r="A6323" s="40">
        <v>43427</v>
      </c>
      <c r="B6323" s="38">
        <v>-4.4000000000000004</v>
      </c>
      <c r="C6323" s="13" t="s">
        <v>438</v>
      </c>
      <c r="D6323" s="36">
        <v>4498.04</v>
      </c>
      <c r="E6323" s="43" t="s">
        <v>3596</v>
      </c>
    </row>
    <row r="6324" spans="1:5" x14ac:dyDescent="0.35">
      <c r="A6324" s="40">
        <v>43427</v>
      </c>
      <c r="B6324" s="38">
        <v>-4.4000000000000004</v>
      </c>
      <c r="C6324" s="13" t="s">
        <v>438</v>
      </c>
      <c r="D6324" s="36">
        <v>4502.4399999999996</v>
      </c>
      <c r="E6324" s="43" t="s">
        <v>3596</v>
      </c>
    </row>
    <row r="6325" spans="1:5" x14ac:dyDescent="0.35">
      <c r="A6325" s="40">
        <v>43427</v>
      </c>
      <c r="B6325" s="38">
        <v>-13.92</v>
      </c>
      <c r="C6325" s="13" t="s">
        <v>436</v>
      </c>
      <c r="D6325" s="36">
        <v>4470.62</v>
      </c>
      <c r="E6325" s="43" t="s">
        <v>3596</v>
      </c>
    </row>
    <row r="6326" spans="1:5" x14ac:dyDescent="0.35">
      <c r="A6326" s="40">
        <v>43427</v>
      </c>
      <c r="B6326" s="38">
        <v>-13.5</v>
      </c>
      <c r="C6326" s="13" t="s">
        <v>437</v>
      </c>
      <c r="D6326" s="36">
        <v>4484.54</v>
      </c>
      <c r="E6326" s="43" t="s">
        <v>3596</v>
      </c>
    </row>
    <row r="6327" spans="1:5" x14ac:dyDescent="0.35">
      <c r="A6327" s="40">
        <v>43426</v>
      </c>
      <c r="B6327" s="38">
        <v>-13</v>
      </c>
      <c r="C6327" s="13" t="s">
        <v>441</v>
      </c>
      <c r="D6327" s="36">
        <v>4645.25</v>
      </c>
      <c r="E6327" s="43" t="s">
        <v>3596</v>
      </c>
    </row>
    <row r="6328" spans="1:5" x14ac:dyDescent="0.35">
      <c r="A6328" s="40">
        <v>43426</v>
      </c>
      <c r="B6328" s="38">
        <v>-8.41</v>
      </c>
      <c r="C6328" s="13" t="s">
        <v>440</v>
      </c>
      <c r="D6328" s="36">
        <v>4636.84</v>
      </c>
      <c r="E6328" s="43" t="s">
        <v>3596</v>
      </c>
    </row>
    <row r="6329" spans="1:5" x14ac:dyDescent="0.35">
      <c r="A6329" s="40">
        <v>43426</v>
      </c>
      <c r="B6329" s="38">
        <v>-130</v>
      </c>
      <c r="C6329" s="13" t="s">
        <v>439</v>
      </c>
      <c r="D6329" s="36">
        <v>4506.84</v>
      </c>
      <c r="E6329" s="43" t="s">
        <v>3596</v>
      </c>
    </row>
    <row r="6330" spans="1:5" x14ac:dyDescent="0.35">
      <c r="A6330" s="40">
        <v>43426</v>
      </c>
      <c r="B6330" s="38">
        <v>-13.5</v>
      </c>
      <c r="C6330" s="13" t="s">
        <v>442</v>
      </c>
      <c r="D6330" s="36">
        <v>4658.25</v>
      </c>
      <c r="E6330" s="43" t="s">
        <v>3596</v>
      </c>
    </row>
    <row r="6331" spans="1:5" x14ac:dyDescent="0.35">
      <c r="A6331" s="40">
        <v>43425</v>
      </c>
      <c r="B6331" s="38">
        <v>-20</v>
      </c>
      <c r="C6331" s="13" t="s">
        <v>444</v>
      </c>
      <c r="D6331" s="36">
        <v>3662.5</v>
      </c>
      <c r="E6331" s="43" t="s">
        <v>3596</v>
      </c>
    </row>
    <row r="6332" spans="1:5" x14ac:dyDescent="0.35">
      <c r="A6332" s="40">
        <v>43425</v>
      </c>
      <c r="B6332" s="38">
        <v>-10</v>
      </c>
      <c r="C6332" s="13" t="s">
        <v>445</v>
      </c>
      <c r="D6332" s="36">
        <v>3682.5</v>
      </c>
      <c r="E6332" s="43" t="s">
        <v>3596</v>
      </c>
    </row>
    <row r="6333" spans="1:5" x14ac:dyDescent="0.35">
      <c r="A6333" s="40">
        <v>43425</v>
      </c>
      <c r="B6333" s="38">
        <v>-30</v>
      </c>
      <c r="C6333" s="13" t="s">
        <v>446</v>
      </c>
      <c r="D6333" s="36">
        <v>3692.5</v>
      </c>
      <c r="E6333" s="43" t="s">
        <v>3596</v>
      </c>
    </row>
    <row r="6334" spans="1:5" x14ac:dyDescent="0.35">
      <c r="A6334" s="40">
        <v>43425</v>
      </c>
      <c r="B6334" s="38">
        <v>-50</v>
      </c>
      <c r="C6334" s="13" t="s">
        <v>447</v>
      </c>
      <c r="D6334" s="36">
        <v>3722.5</v>
      </c>
      <c r="E6334" s="43" t="s">
        <v>3596</v>
      </c>
    </row>
    <row r="6335" spans="1:5" x14ac:dyDescent="0.35">
      <c r="A6335" s="40">
        <v>43425</v>
      </c>
      <c r="B6335" s="38">
        <v>1080.25</v>
      </c>
      <c r="C6335" s="13" t="s">
        <v>10</v>
      </c>
      <c r="D6335" s="36">
        <v>4671.75</v>
      </c>
      <c r="E6335" s="43" t="s">
        <v>3596</v>
      </c>
    </row>
    <row r="6336" spans="1:5" x14ac:dyDescent="0.35">
      <c r="A6336" s="40">
        <v>43425</v>
      </c>
      <c r="B6336" s="38">
        <v>-60</v>
      </c>
      <c r="C6336" s="13" t="s">
        <v>947</v>
      </c>
      <c r="D6336" s="36">
        <v>3591.5</v>
      </c>
      <c r="E6336" s="43" t="s">
        <v>3596</v>
      </c>
    </row>
    <row r="6337" spans="1:5" x14ac:dyDescent="0.35">
      <c r="A6337" s="40">
        <v>43425</v>
      </c>
      <c r="B6337" s="38">
        <v>-11</v>
      </c>
      <c r="C6337" s="13" t="s">
        <v>443</v>
      </c>
      <c r="D6337" s="36">
        <v>3651.5</v>
      </c>
      <c r="E6337" s="43" t="s">
        <v>3596</v>
      </c>
    </row>
    <row r="6338" spans="1:5" x14ac:dyDescent="0.35">
      <c r="A6338" s="40">
        <v>43424</v>
      </c>
      <c r="B6338" s="38">
        <v>-78.5</v>
      </c>
      <c r="C6338" s="13" t="s">
        <v>450</v>
      </c>
      <c r="D6338" s="36">
        <v>3805.5</v>
      </c>
      <c r="E6338" s="43" t="s">
        <v>3596</v>
      </c>
    </row>
    <row r="6339" spans="1:5" x14ac:dyDescent="0.35">
      <c r="A6339" s="40">
        <v>43424</v>
      </c>
      <c r="B6339" s="38">
        <v>-22.5</v>
      </c>
      <c r="C6339" s="13" t="s">
        <v>448</v>
      </c>
      <c r="D6339" s="36">
        <v>3772.5</v>
      </c>
      <c r="E6339" s="43" t="s">
        <v>3596</v>
      </c>
    </row>
    <row r="6340" spans="1:5" x14ac:dyDescent="0.35">
      <c r="A6340" s="40">
        <v>43424</v>
      </c>
      <c r="B6340" s="38">
        <v>-13.5</v>
      </c>
      <c r="C6340" s="13" t="s">
        <v>451</v>
      </c>
      <c r="D6340" s="36">
        <v>3884</v>
      </c>
      <c r="E6340" s="43" t="s">
        <v>3596</v>
      </c>
    </row>
    <row r="6341" spans="1:5" x14ac:dyDescent="0.35">
      <c r="A6341" s="40">
        <v>43424</v>
      </c>
      <c r="B6341" s="38">
        <v>-10.5</v>
      </c>
      <c r="C6341" s="13" t="s">
        <v>449</v>
      </c>
      <c r="D6341" s="36">
        <v>3795</v>
      </c>
      <c r="E6341" s="43" t="s">
        <v>3596</v>
      </c>
    </row>
    <row r="6342" spans="1:5" x14ac:dyDescent="0.35">
      <c r="A6342" s="40">
        <v>43421</v>
      </c>
      <c r="B6342" s="38">
        <v>-18.5</v>
      </c>
      <c r="C6342" s="13" t="s">
        <v>452</v>
      </c>
      <c r="D6342" s="36">
        <v>3897.5</v>
      </c>
      <c r="E6342" s="43" t="s">
        <v>3596</v>
      </c>
    </row>
    <row r="6343" spans="1:5" x14ac:dyDescent="0.35">
      <c r="A6343" s="40">
        <v>43421</v>
      </c>
      <c r="B6343" s="38">
        <v>-10</v>
      </c>
      <c r="C6343" s="13" t="s">
        <v>453</v>
      </c>
      <c r="D6343" s="36">
        <v>3916</v>
      </c>
      <c r="E6343" s="43" t="s">
        <v>3596</v>
      </c>
    </row>
    <row r="6344" spans="1:5" x14ac:dyDescent="0.35">
      <c r="A6344" s="40">
        <v>43421</v>
      </c>
      <c r="B6344" s="38">
        <v>-16.239999999999998</v>
      </c>
      <c r="C6344" s="13" t="s">
        <v>454</v>
      </c>
      <c r="D6344" s="36">
        <v>3926</v>
      </c>
      <c r="E6344" s="43" t="s">
        <v>3596</v>
      </c>
    </row>
    <row r="6345" spans="1:5" x14ac:dyDescent="0.35">
      <c r="A6345" s="40">
        <v>43421</v>
      </c>
      <c r="B6345" s="38">
        <v>-8.1199999999999992</v>
      </c>
      <c r="C6345" s="13" t="s">
        <v>454</v>
      </c>
      <c r="D6345" s="36">
        <v>3942.24</v>
      </c>
      <c r="E6345" s="43" t="s">
        <v>3596</v>
      </c>
    </row>
    <row r="6346" spans="1:5" x14ac:dyDescent="0.35">
      <c r="A6346" s="40">
        <v>43421</v>
      </c>
      <c r="B6346" s="38">
        <v>-515</v>
      </c>
      <c r="C6346" s="13" t="s">
        <v>949</v>
      </c>
      <c r="D6346" s="36">
        <v>3950.36</v>
      </c>
      <c r="E6346" s="43" t="s">
        <v>3596</v>
      </c>
    </row>
    <row r="6347" spans="1:5" x14ac:dyDescent="0.35">
      <c r="A6347" s="40">
        <v>43421</v>
      </c>
      <c r="B6347" s="38">
        <v>-100</v>
      </c>
      <c r="C6347" s="13" t="s">
        <v>946</v>
      </c>
      <c r="D6347" s="36">
        <v>4465.3599999999997</v>
      </c>
      <c r="E6347" s="43" t="s">
        <v>3596</v>
      </c>
    </row>
    <row r="6348" spans="1:5" x14ac:dyDescent="0.35">
      <c r="A6348" s="40">
        <v>43420</v>
      </c>
      <c r="B6348" s="38">
        <v>30</v>
      </c>
      <c r="C6348" s="13" t="s">
        <v>456</v>
      </c>
      <c r="D6348" s="36">
        <v>4540.3599999999997</v>
      </c>
      <c r="E6348" s="43" t="s">
        <v>3596</v>
      </c>
    </row>
    <row r="6349" spans="1:5" x14ac:dyDescent="0.35">
      <c r="A6349" s="40">
        <v>43420</v>
      </c>
      <c r="B6349" s="38">
        <v>25</v>
      </c>
      <c r="C6349" s="13" t="s">
        <v>455</v>
      </c>
      <c r="D6349" s="36">
        <v>4565.3599999999997</v>
      </c>
      <c r="E6349" s="43" t="s">
        <v>3596</v>
      </c>
    </row>
    <row r="6350" spans="1:5" x14ac:dyDescent="0.35">
      <c r="A6350" s="40">
        <v>43420</v>
      </c>
      <c r="B6350" s="38">
        <v>-13.5</v>
      </c>
      <c r="C6350" s="13" t="s">
        <v>457</v>
      </c>
      <c r="D6350" s="36">
        <v>4510.3599999999997</v>
      </c>
      <c r="E6350" s="43" t="s">
        <v>3596</v>
      </c>
    </row>
    <row r="6351" spans="1:5" x14ac:dyDescent="0.35">
      <c r="A6351" s="40">
        <v>43419</v>
      </c>
      <c r="B6351" s="38">
        <v>-37.64</v>
      </c>
      <c r="C6351" s="13" t="s">
        <v>458</v>
      </c>
      <c r="D6351" s="36">
        <v>4513.3599999999997</v>
      </c>
      <c r="E6351" s="43" t="s">
        <v>3596</v>
      </c>
    </row>
    <row r="6352" spans="1:5" x14ac:dyDescent="0.35">
      <c r="A6352" s="40">
        <v>43419</v>
      </c>
      <c r="B6352" s="38">
        <v>-12.5</v>
      </c>
      <c r="C6352" s="13" t="s">
        <v>3613</v>
      </c>
      <c r="D6352" s="36">
        <v>4500.8599999999997</v>
      </c>
      <c r="E6352" s="43" t="s">
        <v>3596</v>
      </c>
    </row>
    <row r="6353" spans="1:5" x14ac:dyDescent="0.35">
      <c r="A6353" s="40">
        <v>43419</v>
      </c>
      <c r="B6353" s="38">
        <v>23</v>
      </c>
      <c r="C6353" s="13" t="s">
        <v>1246</v>
      </c>
      <c r="D6353" s="36">
        <v>4523.8599999999997</v>
      </c>
      <c r="E6353" s="43" t="s">
        <v>3596</v>
      </c>
    </row>
    <row r="6354" spans="1:5" x14ac:dyDescent="0.35">
      <c r="A6354" s="40">
        <v>43418</v>
      </c>
      <c r="B6354" s="38">
        <v>-37</v>
      </c>
      <c r="C6354" s="13" t="s">
        <v>461</v>
      </c>
      <c r="D6354" s="36">
        <v>3509.45</v>
      </c>
      <c r="E6354" s="43" t="s">
        <v>3596</v>
      </c>
    </row>
    <row r="6355" spans="1:5" x14ac:dyDescent="0.35">
      <c r="A6355" s="40">
        <v>43418</v>
      </c>
      <c r="B6355" s="38">
        <v>-30</v>
      </c>
      <c r="C6355" s="13" t="s">
        <v>460</v>
      </c>
      <c r="D6355" s="36">
        <v>3479.45</v>
      </c>
      <c r="E6355" s="43" t="s">
        <v>3596</v>
      </c>
    </row>
    <row r="6356" spans="1:5" x14ac:dyDescent="0.35">
      <c r="A6356" s="40">
        <v>43418</v>
      </c>
      <c r="B6356" s="38">
        <v>1080.25</v>
      </c>
      <c r="C6356" s="13" t="s">
        <v>10</v>
      </c>
      <c r="D6356" s="36">
        <v>4551</v>
      </c>
      <c r="E6356" s="43" t="s">
        <v>3596</v>
      </c>
    </row>
    <row r="6357" spans="1:5" x14ac:dyDescent="0.35">
      <c r="A6357" s="40">
        <v>43418</v>
      </c>
      <c r="B6357" s="38">
        <v>-8.6999999999999993</v>
      </c>
      <c r="C6357" s="13" t="s">
        <v>459</v>
      </c>
      <c r="D6357" s="36">
        <v>3470.75</v>
      </c>
      <c r="E6357" s="43" t="s">
        <v>3596</v>
      </c>
    </row>
    <row r="6358" spans="1:5" x14ac:dyDescent="0.35">
      <c r="A6358" s="40">
        <v>43417</v>
      </c>
      <c r="B6358" s="38">
        <v>-10.65</v>
      </c>
      <c r="C6358" s="13" t="s">
        <v>464</v>
      </c>
      <c r="D6358" s="36">
        <v>3709.18</v>
      </c>
      <c r="E6358" s="43" t="s">
        <v>3596</v>
      </c>
    </row>
    <row r="6359" spans="1:5" x14ac:dyDescent="0.35">
      <c r="A6359" s="40">
        <v>43417</v>
      </c>
      <c r="B6359" s="38">
        <v>-7</v>
      </c>
      <c r="C6359" s="13" t="s">
        <v>463</v>
      </c>
      <c r="D6359" s="36">
        <v>3702.18</v>
      </c>
      <c r="E6359" s="43" t="s">
        <v>3596</v>
      </c>
    </row>
    <row r="6360" spans="1:5" x14ac:dyDescent="0.35">
      <c r="A6360" s="40">
        <v>43417</v>
      </c>
      <c r="B6360" s="38">
        <v>-50</v>
      </c>
      <c r="C6360" s="13" t="s">
        <v>465</v>
      </c>
      <c r="D6360" s="36">
        <v>3719.83</v>
      </c>
      <c r="E6360" s="43" t="s">
        <v>3596</v>
      </c>
    </row>
    <row r="6361" spans="1:5" x14ac:dyDescent="0.35">
      <c r="A6361" s="40">
        <v>43417</v>
      </c>
      <c r="B6361" s="38">
        <v>-35.36</v>
      </c>
      <c r="C6361" s="13" t="s">
        <v>466</v>
      </c>
      <c r="D6361" s="36">
        <v>3769.83</v>
      </c>
      <c r="E6361" s="43" t="s">
        <v>3596</v>
      </c>
    </row>
    <row r="6362" spans="1:5" x14ac:dyDescent="0.35">
      <c r="A6362" s="40">
        <v>43417</v>
      </c>
      <c r="B6362" s="38">
        <v>-35.53</v>
      </c>
      <c r="C6362" s="13" t="s">
        <v>462</v>
      </c>
      <c r="D6362" s="36">
        <v>3619.45</v>
      </c>
      <c r="E6362" s="43" t="s">
        <v>3596</v>
      </c>
    </row>
    <row r="6363" spans="1:5" x14ac:dyDescent="0.35">
      <c r="A6363" s="40">
        <v>43417</v>
      </c>
      <c r="B6363" s="38">
        <v>-9.14</v>
      </c>
      <c r="C6363" s="13" t="s">
        <v>462</v>
      </c>
      <c r="D6363" s="36">
        <v>3654.98</v>
      </c>
      <c r="E6363" s="43" t="s">
        <v>3596</v>
      </c>
    </row>
    <row r="6364" spans="1:5" x14ac:dyDescent="0.35">
      <c r="A6364" s="40">
        <v>43417</v>
      </c>
      <c r="B6364" s="38">
        <v>-18.27</v>
      </c>
      <c r="C6364" s="13" t="s">
        <v>462</v>
      </c>
      <c r="D6364" s="36">
        <v>3664.12</v>
      </c>
      <c r="E6364" s="43" t="s">
        <v>3596</v>
      </c>
    </row>
    <row r="6365" spans="1:5" x14ac:dyDescent="0.35">
      <c r="A6365" s="40">
        <v>43417</v>
      </c>
      <c r="B6365" s="38">
        <v>-19.79</v>
      </c>
      <c r="C6365" s="13" t="s">
        <v>462</v>
      </c>
      <c r="D6365" s="36">
        <v>3682.39</v>
      </c>
      <c r="E6365" s="43" t="s">
        <v>3596</v>
      </c>
    </row>
    <row r="6366" spans="1:5" x14ac:dyDescent="0.35">
      <c r="A6366" s="40">
        <v>43417</v>
      </c>
      <c r="B6366" s="38">
        <v>-73</v>
      </c>
      <c r="C6366" s="13" t="s">
        <v>37</v>
      </c>
      <c r="D6366" s="36">
        <v>3546.45</v>
      </c>
      <c r="E6366" s="43" t="s">
        <v>3596</v>
      </c>
    </row>
    <row r="6367" spans="1:5" x14ac:dyDescent="0.35">
      <c r="A6367" s="40">
        <v>43414</v>
      </c>
      <c r="B6367" s="38">
        <v>-6</v>
      </c>
      <c r="C6367" s="13" t="s">
        <v>467</v>
      </c>
      <c r="D6367" s="36">
        <v>4420.1899999999996</v>
      </c>
      <c r="E6367" s="43" t="s">
        <v>3596</v>
      </c>
    </row>
    <row r="6368" spans="1:5" x14ac:dyDescent="0.35">
      <c r="A6368" s="40">
        <v>43414</v>
      </c>
      <c r="B6368" s="38">
        <v>-515</v>
      </c>
      <c r="C6368" s="13" t="s">
        <v>949</v>
      </c>
      <c r="D6368" s="36">
        <v>3805.19</v>
      </c>
      <c r="E6368" s="43" t="s">
        <v>3596</v>
      </c>
    </row>
    <row r="6369" spans="1:5" x14ac:dyDescent="0.35">
      <c r="A6369" s="40">
        <v>43414</v>
      </c>
      <c r="B6369" s="38">
        <v>-100</v>
      </c>
      <c r="C6369" s="13" t="s">
        <v>946</v>
      </c>
      <c r="D6369" s="36">
        <v>4320.1899999999996</v>
      </c>
      <c r="E6369" s="43" t="s">
        <v>3596</v>
      </c>
    </row>
    <row r="6370" spans="1:5" x14ac:dyDescent="0.35">
      <c r="A6370" s="40">
        <v>43413</v>
      </c>
      <c r="B6370" s="38">
        <v>-6</v>
      </c>
      <c r="C6370" s="13" t="s">
        <v>470</v>
      </c>
      <c r="D6370" s="36">
        <v>4518.18</v>
      </c>
      <c r="E6370" s="43" t="s">
        <v>3596</v>
      </c>
    </row>
    <row r="6371" spans="1:5" x14ac:dyDescent="0.35">
      <c r="A6371" s="40">
        <v>43413</v>
      </c>
      <c r="B6371" s="38">
        <v>-50</v>
      </c>
      <c r="C6371" s="13" t="s">
        <v>1723</v>
      </c>
      <c r="D6371" s="36">
        <v>4456.1899999999996</v>
      </c>
      <c r="E6371" s="43" t="s">
        <v>3596</v>
      </c>
    </row>
    <row r="6372" spans="1:5" x14ac:dyDescent="0.35">
      <c r="A6372" s="40">
        <v>43413</v>
      </c>
      <c r="B6372" s="38">
        <v>-11.99</v>
      </c>
      <c r="C6372" s="13" t="s">
        <v>469</v>
      </c>
      <c r="D6372" s="36">
        <v>4506.1899999999996</v>
      </c>
      <c r="E6372" s="43" t="s">
        <v>3596</v>
      </c>
    </row>
    <row r="6373" spans="1:5" x14ac:dyDescent="0.35">
      <c r="A6373" s="40">
        <v>43413</v>
      </c>
      <c r="B6373" s="38">
        <v>-30</v>
      </c>
      <c r="C6373" s="13" t="s">
        <v>468</v>
      </c>
      <c r="D6373" s="36">
        <v>4426.1899999999996</v>
      </c>
      <c r="E6373" s="43" t="s">
        <v>3596</v>
      </c>
    </row>
    <row r="6374" spans="1:5" x14ac:dyDescent="0.35">
      <c r="A6374" s="40">
        <v>43412</v>
      </c>
      <c r="B6374" s="38">
        <v>-17</v>
      </c>
      <c r="C6374" s="13" t="s">
        <v>472</v>
      </c>
      <c r="D6374" s="36">
        <v>4654.18</v>
      </c>
      <c r="E6374" s="43" t="s">
        <v>3596</v>
      </c>
    </row>
    <row r="6375" spans="1:5" x14ac:dyDescent="0.35">
      <c r="A6375" s="40">
        <v>43412</v>
      </c>
      <c r="B6375" s="38">
        <v>-12.5</v>
      </c>
      <c r="C6375" s="13" t="s">
        <v>3614</v>
      </c>
      <c r="D6375" s="36">
        <v>4742.1099999999997</v>
      </c>
      <c r="E6375" s="43" t="s">
        <v>3596</v>
      </c>
    </row>
    <row r="6376" spans="1:5" x14ac:dyDescent="0.35">
      <c r="A6376" s="40">
        <v>43412</v>
      </c>
      <c r="B6376" s="38">
        <v>-130</v>
      </c>
      <c r="C6376" s="13" t="s">
        <v>471</v>
      </c>
      <c r="D6376" s="36">
        <v>4524.18</v>
      </c>
      <c r="E6376" s="43" t="s">
        <v>3596</v>
      </c>
    </row>
    <row r="6377" spans="1:5" x14ac:dyDescent="0.35">
      <c r="A6377" s="40">
        <v>43412</v>
      </c>
      <c r="B6377" s="38">
        <v>-70.930000000000007</v>
      </c>
      <c r="C6377" s="13" t="s">
        <v>473</v>
      </c>
      <c r="D6377" s="36">
        <v>4671.18</v>
      </c>
      <c r="E6377" s="43" t="s">
        <v>3596</v>
      </c>
    </row>
    <row r="6378" spans="1:5" x14ac:dyDescent="0.35">
      <c r="A6378" s="40">
        <v>43411</v>
      </c>
      <c r="B6378" s="38">
        <v>-46.5</v>
      </c>
      <c r="C6378" s="13" t="s">
        <v>474</v>
      </c>
      <c r="D6378" s="36">
        <v>3674.36</v>
      </c>
      <c r="E6378" s="43" t="s">
        <v>3596</v>
      </c>
    </row>
    <row r="6379" spans="1:5" x14ac:dyDescent="0.35">
      <c r="A6379" s="40">
        <v>43411</v>
      </c>
      <c r="B6379" s="38">
        <v>1080.25</v>
      </c>
      <c r="C6379" s="13" t="s">
        <v>10</v>
      </c>
      <c r="D6379" s="36">
        <v>4754.6099999999997</v>
      </c>
      <c r="E6379" s="43" t="s">
        <v>3596</v>
      </c>
    </row>
    <row r="6380" spans="1:5" x14ac:dyDescent="0.35">
      <c r="A6380" s="40">
        <v>43411</v>
      </c>
      <c r="B6380" s="38">
        <v>-57</v>
      </c>
      <c r="C6380" s="13" t="s">
        <v>475</v>
      </c>
      <c r="D6380" s="36">
        <v>3720.86</v>
      </c>
      <c r="E6380" s="43" t="s">
        <v>3596</v>
      </c>
    </row>
    <row r="6381" spans="1:5" x14ac:dyDescent="0.35">
      <c r="A6381" s="40">
        <v>43409</v>
      </c>
      <c r="B6381" s="38">
        <v>20</v>
      </c>
      <c r="C6381" s="13" t="s">
        <v>476</v>
      </c>
      <c r="D6381" s="36">
        <v>3777.86</v>
      </c>
      <c r="E6381" s="43" t="s">
        <v>3596</v>
      </c>
    </row>
    <row r="6382" spans="1:5" x14ac:dyDescent="0.35">
      <c r="A6382" s="40">
        <v>43408</v>
      </c>
      <c r="B6382" s="38">
        <v>-15.54</v>
      </c>
      <c r="C6382" s="13" t="s">
        <v>477</v>
      </c>
      <c r="D6382" s="36">
        <v>3757.86</v>
      </c>
      <c r="E6382" s="43" t="s">
        <v>3596</v>
      </c>
    </row>
    <row r="6383" spans="1:5" x14ac:dyDescent="0.35">
      <c r="A6383" s="40">
        <v>43407</v>
      </c>
      <c r="B6383" s="38">
        <v>-50</v>
      </c>
      <c r="C6383" s="13" t="s">
        <v>1724</v>
      </c>
      <c r="D6383" s="36">
        <v>3798.9</v>
      </c>
      <c r="E6383" s="43" t="s">
        <v>3596</v>
      </c>
    </row>
    <row r="6384" spans="1:5" x14ac:dyDescent="0.35">
      <c r="A6384" s="40">
        <v>43407</v>
      </c>
      <c r="B6384" s="38">
        <v>-20</v>
      </c>
      <c r="C6384" s="13" t="s">
        <v>1724</v>
      </c>
      <c r="D6384" s="36">
        <v>3851.4</v>
      </c>
      <c r="E6384" s="43" t="s">
        <v>3596</v>
      </c>
    </row>
    <row r="6385" spans="1:5" x14ac:dyDescent="0.35">
      <c r="A6385" s="40">
        <v>43407</v>
      </c>
      <c r="B6385" s="38">
        <v>-17</v>
      </c>
      <c r="C6385" s="13" t="s">
        <v>480</v>
      </c>
      <c r="D6385" s="36">
        <v>3940.4</v>
      </c>
      <c r="E6385" s="43" t="s">
        <v>3596</v>
      </c>
    </row>
    <row r="6386" spans="1:5" x14ac:dyDescent="0.35">
      <c r="A6386" s="40">
        <v>43407</v>
      </c>
      <c r="B6386" s="38">
        <v>-515</v>
      </c>
      <c r="C6386" s="13" t="s">
        <v>949</v>
      </c>
      <c r="D6386" s="36">
        <v>3957.4</v>
      </c>
      <c r="E6386" s="43" t="s">
        <v>3596</v>
      </c>
    </row>
    <row r="6387" spans="1:5" x14ac:dyDescent="0.35">
      <c r="A6387" s="40">
        <v>43407</v>
      </c>
      <c r="B6387" s="38">
        <v>-2.5</v>
      </c>
      <c r="C6387" s="13" t="s">
        <v>24</v>
      </c>
      <c r="D6387" s="36">
        <v>3796.4</v>
      </c>
      <c r="E6387" s="43" t="s">
        <v>3596</v>
      </c>
    </row>
    <row r="6388" spans="1:5" x14ac:dyDescent="0.35">
      <c r="A6388" s="40">
        <v>43407</v>
      </c>
      <c r="B6388" s="38">
        <v>-2.5</v>
      </c>
      <c r="C6388" s="13" t="s">
        <v>24</v>
      </c>
      <c r="D6388" s="36">
        <v>3848.9</v>
      </c>
      <c r="E6388" s="43" t="s">
        <v>3596</v>
      </c>
    </row>
    <row r="6389" spans="1:5" x14ac:dyDescent="0.35">
      <c r="A6389" s="40">
        <v>43407</v>
      </c>
      <c r="B6389" s="38">
        <v>-100</v>
      </c>
      <c r="C6389" s="13" t="s">
        <v>946</v>
      </c>
      <c r="D6389" s="36">
        <v>4472.3999999999996</v>
      </c>
      <c r="E6389" s="43" t="s">
        <v>3596</v>
      </c>
    </row>
    <row r="6390" spans="1:5" x14ac:dyDescent="0.35">
      <c r="A6390" s="40">
        <v>43407</v>
      </c>
      <c r="B6390" s="38">
        <v>-12</v>
      </c>
      <c r="C6390" s="13" t="s">
        <v>312</v>
      </c>
      <c r="D6390" s="36">
        <v>3773.4</v>
      </c>
      <c r="E6390" s="43" t="s">
        <v>3596</v>
      </c>
    </row>
    <row r="6391" spans="1:5" x14ac:dyDescent="0.35">
      <c r="A6391" s="40">
        <v>43407</v>
      </c>
      <c r="B6391" s="38">
        <v>-11</v>
      </c>
      <c r="C6391" s="13" t="s">
        <v>478</v>
      </c>
      <c r="D6391" s="36">
        <v>3785.4</v>
      </c>
      <c r="E6391" s="43" t="s">
        <v>3596</v>
      </c>
    </row>
    <row r="6392" spans="1:5" x14ac:dyDescent="0.35">
      <c r="A6392" s="40">
        <v>43407</v>
      </c>
      <c r="B6392" s="38">
        <v>-9</v>
      </c>
      <c r="C6392" s="13" t="s">
        <v>478</v>
      </c>
      <c r="D6392" s="36">
        <v>3871.4</v>
      </c>
      <c r="E6392" s="43" t="s">
        <v>3596</v>
      </c>
    </row>
    <row r="6393" spans="1:5" x14ac:dyDescent="0.35">
      <c r="A6393" s="40">
        <v>43407</v>
      </c>
      <c r="B6393" s="38">
        <v>-60</v>
      </c>
      <c r="C6393" s="13" t="s">
        <v>479</v>
      </c>
      <c r="D6393" s="36">
        <v>3880.4</v>
      </c>
      <c r="E6393" s="43" t="s">
        <v>3596</v>
      </c>
    </row>
    <row r="6394" spans="1:5" x14ac:dyDescent="0.35">
      <c r="A6394" s="40">
        <v>43406</v>
      </c>
      <c r="B6394" s="38">
        <v>-11.35</v>
      </c>
      <c r="C6394" s="13" t="s">
        <v>92</v>
      </c>
      <c r="D6394" s="36">
        <v>4598.8999999999996</v>
      </c>
      <c r="E6394" s="43" t="s">
        <v>3596</v>
      </c>
    </row>
    <row r="6395" spans="1:5" x14ac:dyDescent="0.35">
      <c r="A6395" s="40">
        <v>43406</v>
      </c>
      <c r="B6395" s="38">
        <v>-50</v>
      </c>
      <c r="C6395" s="13" t="s">
        <v>482</v>
      </c>
      <c r="D6395" s="36">
        <v>4610.25</v>
      </c>
      <c r="E6395" s="43" t="s">
        <v>3596</v>
      </c>
    </row>
    <row r="6396" spans="1:5" x14ac:dyDescent="0.35">
      <c r="A6396" s="40">
        <v>43406</v>
      </c>
      <c r="B6396" s="38">
        <v>-26.5</v>
      </c>
      <c r="C6396" s="13" t="s">
        <v>481</v>
      </c>
      <c r="D6396" s="36">
        <v>4572.3999999999996</v>
      </c>
      <c r="E6396" s="43" t="s">
        <v>3596</v>
      </c>
    </row>
    <row r="6397" spans="1:5" x14ac:dyDescent="0.35">
      <c r="A6397" s="40">
        <v>43406</v>
      </c>
      <c r="B6397" s="38">
        <v>-13.5</v>
      </c>
      <c r="C6397" s="13" t="s">
        <v>483</v>
      </c>
      <c r="D6397" s="36">
        <v>4660.25</v>
      </c>
      <c r="E6397" s="43" t="s">
        <v>3596</v>
      </c>
    </row>
    <row r="6398" spans="1:5" x14ac:dyDescent="0.35">
      <c r="A6398" s="40">
        <v>43405</v>
      </c>
      <c r="B6398" s="38">
        <v>-12.6</v>
      </c>
      <c r="C6398" s="13" t="s">
        <v>489</v>
      </c>
      <c r="D6398" s="36">
        <v>4982.72</v>
      </c>
      <c r="E6398" s="43" t="s">
        <v>3596</v>
      </c>
    </row>
    <row r="6399" spans="1:5" x14ac:dyDescent="0.35">
      <c r="A6399" s="40">
        <v>43405</v>
      </c>
      <c r="B6399" s="38">
        <v>-34.85</v>
      </c>
      <c r="C6399" s="13" t="s">
        <v>487</v>
      </c>
      <c r="D6399" s="36">
        <v>4940.62</v>
      </c>
      <c r="E6399" s="43" t="s">
        <v>3596</v>
      </c>
    </row>
    <row r="6400" spans="1:5" x14ac:dyDescent="0.35">
      <c r="A6400" s="40">
        <v>43405</v>
      </c>
      <c r="B6400" s="38">
        <v>-7.25</v>
      </c>
      <c r="C6400" s="13" t="s">
        <v>488</v>
      </c>
      <c r="D6400" s="36">
        <v>4975.47</v>
      </c>
      <c r="E6400" s="43" t="s">
        <v>3596</v>
      </c>
    </row>
    <row r="6401" spans="1:5" x14ac:dyDescent="0.35">
      <c r="A6401" s="40">
        <v>43405</v>
      </c>
      <c r="B6401" s="38">
        <v>-12.5</v>
      </c>
      <c r="C6401" s="13" t="s">
        <v>3615</v>
      </c>
      <c r="D6401" s="36">
        <v>4995.32</v>
      </c>
      <c r="E6401" s="43" t="s">
        <v>3596</v>
      </c>
    </row>
    <row r="6402" spans="1:5" x14ac:dyDescent="0.35">
      <c r="A6402" s="40">
        <v>43405</v>
      </c>
      <c r="B6402" s="38">
        <v>-70</v>
      </c>
      <c r="C6402" s="13" t="s">
        <v>486</v>
      </c>
      <c r="D6402" s="36">
        <v>4870.62</v>
      </c>
      <c r="E6402" s="43" t="s">
        <v>3596</v>
      </c>
    </row>
    <row r="6403" spans="1:5" x14ac:dyDescent="0.35">
      <c r="A6403" s="40">
        <v>43405</v>
      </c>
      <c r="B6403" s="38">
        <v>-166.4</v>
      </c>
      <c r="C6403" s="13" t="s">
        <v>484</v>
      </c>
      <c r="D6403" s="36">
        <v>4673.75</v>
      </c>
      <c r="E6403" s="43" t="s">
        <v>3596</v>
      </c>
    </row>
    <row r="6404" spans="1:5" x14ac:dyDescent="0.35">
      <c r="A6404" s="40">
        <v>43405</v>
      </c>
      <c r="B6404" s="38">
        <v>-30.47</v>
      </c>
      <c r="C6404" s="13" t="s">
        <v>485</v>
      </c>
      <c r="D6404" s="36">
        <v>4840.1499999999996</v>
      </c>
      <c r="E6404" s="43" t="s">
        <v>3596</v>
      </c>
    </row>
    <row r="6405" spans="1:5" x14ac:dyDescent="0.35">
      <c r="A6405" s="40">
        <v>43404</v>
      </c>
      <c r="B6405" s="38">
        <v>-4.38</v>
      </c>
      <c r="C6405" s="13" t="s">
        <v>92</v>
      </c>
      <c r="D6405" s="36">
        <v>3946.07</v>
      </c>
      <c r="E6405" s="43" t="s">
        <v>3596</v>
      </c>
    </row>
    <row r="6406" spans="1:5" x14ac:dyDescent="0.35">
      <c r="A6406" s="40">
        <v>43404</v>
      </c>
      <c r="B6406" s="38">
        <v>-17.5</v>
      </c>
      <c r="C6406" s="13" t="s">
        <v>492</v>
      </c>
      <c r="D6406" s="36">
        <v>3960.44</v>
      </c>
      <c r="E6406" s="43" t="s">
        <v>3596</v>
      </c>
    </row>
    <row r="6407" spans="1:5" x14ac:dyDescent="0.35">
      <c r="A6407" s="40">
        <v>43404</v>
      </c>
      <c r="B6407" s="38">
        <v>1080.25</v>
      </c>
      <c r="C6407" s="13" t="s">
        <v>10</v>
      </c>
      <c r="D6407" s="36">
        <v>5007.82</v>
      </c>
      <c r="E6407" s="43" t="s">
        <v>3596</v>
      </c>
    </row>
    <row r="6408" spans="1:5" x14ac:dyDescent="0.35">
      <c r="A6408" s="40">
        <v>43404</v>
      </c>
      <c r="B6408" s="38">
        <v>-12.5</v>
      </c>
      <c r="C6408" s="13" t="s">
        <v>3616</v>
      </c>
      <c r="D6408" s="36">
        <v>3933.57</v>
      </c>
      <c r="E6408" s="43" t="s">
        <v>3596</v>
      </c>
    </row>
    <row r="6409" spans="1:5" x14ac:dyDescent="0.35">
      <c r="A6409" s="40">
        <v>43404</v>
      </c>
      <c r="B6409" s="38">
        <v>-9.99</v>
      </c>
      <c r="C6409" s="13" t="s">
        <v>491</v>
      </c>
      <c r="D6409" s="36">
        <v>3950.45</v>
      </c>
      <c r="E6409" s="43" t="s">
        <v>3596</v>
      </c>
    </row>
    <row r="6410" spans="1:5" x14ac:dyDescent="0.35">
      <c r="A6410" s="40">
        <v>43404</v>
      </c>
      <c r="B6410" s="38">
        <v>-6</v>
      </c>
      <c r="C6410" s="13" t="s">
        <v>490</v>
      </c>
      <c r="D6410" s="36">
        <v>3927.57</v>
      </c>
      <c r="E6410" s="43" t="s">
        <v>3596</v>
      </c>
    </row>
    <row r="6411" spans="1:5" x14ac:dyDescent="0.35">
      <c r="A6411" s="40">
        <v>43403</v>
      </c>
      <c r="B6411" s="38">
        <v>-6.7</v>
      </c>
      <c r="C6411" s="13" t="s">
        <v>493</v>
      </c>
      <c r="D6411" s="36">
        <v>3942.94</v>
      </c>
      <c r="E6411" s="43" t="s">
        <v>3596</v>
      </c>
    </row>
    <row r="6412" spans="1:5" x14ac:dyDescent="0.35">
      <c r="A6412" s="40">
        <v>43403</v>
      </c>
      <c r="B6412" s="38">
        <v>87.99</v>
      </c>
      <c r="C6412" s="13" t="s">
        <v>495</v>
      </c>
      <c r="D6412" s="36">
        <v>4007.74</v>
      </c>
      <c r="E6412" s="43" t="s">
        <v>3596</v>
      </c>
    </row>
    <row r="6413" spans="1:5" x14ac:dyDescent="0.35">
      <c r="A6413" s="40">
        <v>43403</v>
      </c>
      <c r="B6413" s="38">
        <v>-12.5</v>
      </c>
      <c r="C6413" s="13" t="s">
        <v>3617</v>
      </c>
      <c r="D6413" s="36">
        <v>3995.24</v>
      </c>
      <c r="E6413" s="43" t="s">
        <v>3596</v>
      </c>
    </row>
    <row r="6414" spans="1:5" x14ac:dyDescent="0.35">
      <c r="A6414" s="40">
        <v>43403</v>
      </c>
      <c r="B6414" s="38">
        <v>35</v>
      </c>
      <c r="C6414" s="13" t="s">
        <v>1243</v>
      </c>
      <c r="D6414" s="36">
        <v>3977.94</v>
      </c>
      <c r="E6414" s="43" t="s">
        <v>3596</v>
      </c>
    </row>
    <row r="6415" spans="1:5" x14ac:dyDescent="0.35">
      <c r="A6415" s="40">
        <v>43403</v>
      </c>
      <c r="B6415" s="38">
        <v>-45.6</v>
      </c>
      <c r="C6415" s="13" t="s">
        <v>494</v>
      </c>
      <c r="D6415" s="36">
        <v>3949.64</v>
      </c>
      <c r="E6415" s="43" t="s">
        <v>3596</v>
      </c>
    </row>
    <row r="6416" spans="1:5" x14ac:dyDescent="0.35">
      <c r="A6416" s="40">
        <v>43401</v>
      </c>
      <c r="B6416" s="38">
        <v>-29.82</v>
      </c>
      <c r="C6416" s="13" t="s">
        <v>371</v>
      </c>
      <c r="D6416" s="36">
        <v>3919.75</v>
      </c>
      <c r="E6416" s="43" t="s">
        <v>3596</v>
      </c>
    </row>
    <row r="6417" spans="1:5" x14ac:dyDescent="0.35">
      <c r="A6417" s="40">
        <v>43401</v>
      </c>
      <c r="B6417" s="38">
        <v>-8.5</v>
      </c>
      <c r="C6417" s="13" t="s">
        <v>497</v>
      </c>
      <c r="D6417" s="36">
        <v>3969.57</v>
      </c>
      <c r="E6417" s="43" t="s">
        <v>3596</v>
      </c>
    </row>
    <row r="6418" spans="1:5" x14ac:dyDescent="0.35">
      <c r="A6418" s="40">
        <v>43401</v>
      </c>
      <c r="B6418" s="38">
        <v>-8.5</v>
      </c>
      <c r="C6418" s="13" t="s">
        <v>497</v>
      </c>
      <c r="D6418" s="36">
        <v>3978.07</v>
      </c>
      <c r="E6418" s="43" t="s">
        <v>3596</v>
      </c>
    </row>
    <row r="6419" spans="1:5" x14ac:dyDescent="0.35">
      <c r="A6419" s="40">
        <v>43401</v>
      </c>
      <c r="B6419" s="38">
        <v>-19</v>
      </c>
      <c r="C6419" s="13" t="s">
        <v>497</v>
      </c>
      <c r="D6419" s="36">
        <v>3986.57</v>
      </c>
      <c r="E6419" s="43" t="s">
        <v>3596</v>
      </c>
    </row>
    <row r="6420" spans="1:5" x14ac:dyDescent="0.35">
      <c r="A6420" s="40">
        <v>43401</v>
      </c>
      <c r="B6420" s="38">
        <v>-8.5</v>
      </c>
      <c r="C6420" s="13" t="s">
        <v>497</v>
      </c>
      <c r="D6420" s="36">
        <v>4005.57</v>
      </c>
      <c r="E6420" s="43" t="s">
        <v>3596</v>
      </c>
    </row>
    <row r="6421" spans="1:5" x14ac:dyDescent="0.35">
      <c r="A6421" s="40">
        <v>43401</v>
      </c>
      <c r="B6421" s="38">
        <v>-20</v>
      </c>
      <c r="C6421" s="13" t="s">
        <v>496</v>
      </c>
      <c r="D6421" s="36">
        <v>3949.57</v>
      </c>
      <c r="E6421" s="43" t="s">
        <v>3596</v>
      </c>
    </row>
    <row r="6422" spans="1:5" x14ac:dyDescent="0.35">
      <c r="A6422" s="40">
        <v>43400</v>
      </c>
      <c r="B6422" s="38">
        <v>-515</v>
      </c>
      <c r="C6422" s="13" t="s">
        <v>949</v>
      </c>
      <c r="D6422" s="36">
        <v>4089.37</v>
      </c>
      <c r="E6422" s="43" t="s">
        <v>3596</v>
      </c>
    </row>
    <row r="6423" spans="1:5" x14ac:dyDescent="0.35">
      <c r="A6423" s="40">
        <v>43400</v>
      </c>
      <c r="B6423" s="38">
        <v>-32</v>
      </c>
      <c r="C6423" s="13" t="s">
        <v>500</v>
      </c>
      <c r="D6423" s="36">
        <v>4044.87</v>
      </c>
      <c r="E6423" s="43" t="s">
        <v>3596</v>
      </c>
    </row>
    <row r="6424" spans="1:5" x14ac:dyDescent="0.35">
      <c r="A6424" s="40">
        <v>43400</v>
      </c>
      <c r="B6424" s="38">
        <v>-12.5</v>
      </c>
      <c r="C6424" s="13" t="s">
        <v>3618</v>
      </c>
      <c r="D6424" s="36">
        <v>4076.87</v>
      </c>
      <c r="E6424" s="43" t="s">
        <v>3596</v>
      </c>
    </row>
    <row r="6425" spans="1:5" x14ac:dyDescent="0.35">
      <c r="A6425" s="40">
        <v>43400</v>
      </c>
      <c r="B6425" s="38">
        <v>-10.3</v>
      </c>
      <c r="C6425" s="13" t="s">
        <v>499</v>
      </c>
      <c r="D6425" s="36">
        <v>4034.57</v>
      </c>
      <c r="E6425" s="43" t="s">
        <v>3596</v>
      </c>
    </row>
    <row r="6426" spans="1:5" x14ac:dyDescent="0.35">
      <c r="A6426" s="40">
        <v>43400</v>
      </c>
      <c r="B6426" s="38">
        <v>-100</v>
      </c>
      <c r="C6426" s="13" t="s">
        <v>946</v>
      </c>
      <c r="D6426" s="36">
        <v>4604.37</v>
      </c>
      <c r="E6426" s="43" t="s">
        <v>3596</v>
      </c>
    </row>
    <row r="6427" spans="1:5" x14ac:dyDescent="0.35">
      <c r="A6427" s="40">
        <v>43400</v>
      </c>
      <c r="B6427" s="38">
        <v>-20.5</v>
      </c>
      <c r="C6427" s="13" t="s">
        <v>498</v>
      </c>
      <c r="D6427" s="36">
        <v>4014.07</v>
      </c>
      <c r="E6427" s="43" t="s">
        <v>3596</v>
      </c>
    </row>
    <row r="6428" spans="1:5" x14ac:dyDescent="0.35">
      <c r="A6428" s="40">
        <v>43399</v>
      </c>
      <c r="B6428" s="38">
        <v>-4.21</v>
      </c>
      <c r="C6428" s="13" t="s">
        <v>501</v>
      </c>
      <c r="D6428" s="36">
        <v>4704.37</v>
      </c>
      <c r="E6428" s="43" t="s">
        <v>3596</v>
      </c>
    </row>
    <row r="6429" spans="1:5" x14ac:dyDescent="0.35">
      <c r="A6429" s="40">
        <v>43399</v>
      </c>
      <c r="B6429" s="38">
        <v>-4.3</v>
      </c>
      <c r="C6429" s="13" t="s">
        <v>502</v>
      </c>
      <c r="D6429" s="36">
        <v>4708.58</v>
      </c>
      <c r="E6429" s="43" t="s">
        <v>3596</v>
      </c>
    </row>
    <row r="6430" spans="1:5" x14ac:dyDescent="0.35">
      <c r="A6430" s="40">
        <v>43398</v>
      </c>
      <c r="B6430" s="38">
        <v>-7.12</v>
      </c>
      <c r="C6430" s="13" t="s">
        <v>505</v>
      </c>
      <c r="D6430" s="36">
        <v>4859.88</v>
      </c>
      <c r="E6430" s="43" t="s">
        <v>3596</v>
      </c>
    </row>
    <row r="6431" spans="1:5" x14ac:dyDescent="0.35">
      <c r="A6431" s="40">
        <v>43398</v>
      </c>
      <c r="B6431" s="38">
        <v>-17</v>
      </c>
      <c r="C6431" s="13" t="s">
        <v>504</v>
      </c>
      <c r="D6431" s="36">
        <v>4842.88</v>
      </c>
      <c r="E6431" s="43" t="s">
        <v>3596</v>
      </c>
    </row>
    <row r="6432" spans="1:5" x14ac:dyDescent="0.35">
      <c r="A6432" s="40">
        <v>43398</v>
      </c>
      <c r="B6432" s="38">
        <v>-130</v>
      </c>
      <c r="C6432" s="13" t="s">
        <v>503</v>
      </c>
      <c r="D6432" s="36">
        <v>4712.88</v>
      </c>
      <c r="E6432" s="43" t="s">
        <v>3596</v>
      </c>
    </row>
    <row r="6433" spans="1:5" x14ac:dyDescent="0.35">
      <c r="A6433" s="40">
        <v>43398</v>
      </c>
      <c r="B6433" s="38">
        <v>-41</v>
      </c>
      <c r="C6433" s="13" t="s">
        <v>506</v>
      </c>
      <c r="D6433" s="36">
        <v>4867</v>
      </c>
      <c r="E6433" s="43" t="s">
        <v>3596</v>
      </c>
    </row>
    <row r="6434" spans="1:5" x14ac:dyDescent="0.35">
      <c r="A6434" s="40">
        <v>43398</v>
      </c>
      <c r="B6434" s="38">
        <v>-13.5</v>
      </c>
      <c r="C6434" s="13" t="s">
        <v>507</v>
      </c>
      <c r="D6434" s="36">
        <v>4908</v>
      </c>
      <c r="E6434" s="43" t="s">
        <v>3596</v>
      </c>
    </row>
    <row r="6435" spans="1:5" x14ac:dyDescent="0.35">
      <c r="A6435" s="40">
        <v>43397</v>
      </c>
      <c r="B6435" s="38">
        <v>1080.25</v>
      </c>
      <c r="C6435" s="13" t="s">
        <v>10</v>
      </c>
      <c r="D6435" s="36">
        <v>4921.5</v>
      </c>
      <c r="E6435" s="43" t="s">
        <v>3596</v>
      </c>
    </row>
    <row r="6436" spans="1:5" x14ac:dyDescent="0.35">
      <c r="A6436" s="40">
        <v>43397</v>
      </c>
      <c r="B6436" s="38">
        <v>-31.4</v>
      </c>
      <c r="C6436" s="13" t="s">
        <v>508</v>
      </c>
      <c r="D6436" s="36">
        <v>3811.25</v>
      </c>
      <c r="E6436" s="43" t="s">
        <v>3596</v>
      </c>
    </row>
    <row r="6437" spans="1:5" x14ac:dyDescent="0.35">
      <c r="A6437" s="40">
        <v>43397</v>
      </c>
      <c r="B6437" s="38">
        <v>30</v>
      </c>
      <c r="C6437" s="13" t="s">
        <v>1249</v>
      </c>
      <c r="D6437" s="36">
        <v>3841.25</v>
      </c>
      <c r="E6437" s="43" t="s">
        <v>3596</v>
      </c>
    </row>
    <row r="6438" spans="1:5" x14ac:dyDescent="0.35">
      <c r="A6438" s="40">
        <v>43396</v>
      </c>
      <c r="B6438" s="38">
        <v>-50</v>
      </c>
      <c r="C6438" s="13" t="s">
        <v>1714</v>
      </c>
      <c r="D6438" s="36">
        <v>3842.65</v>
      </c>
      <c r="E6438" s="43" t="s">
        <v>3596</v>
      </c>
    </row>
    <row r="6439" spans="1:5" x14ac:dyDescent="0.35">
      <c r="A6439" s="40">
        <v>43396</v>
      </c>
      <c r="B6439" s="38">
        <v>-13.5</v>
      </c>
      <c r="C6439" s="13" t="s">
        <v>509</v>
      </c>
      <c r="D6439" s="36">
        <v>3892.65</v>
      </c>
      <c r="E6439" s="43" t="s">
        <v>3596</v>
      </c>
    </row>
    <row r="6440" spans="1:5" x14ac:dyDescent="0.35">
      <c r="A6440" s="40">
        <v>43395</v>
      </c>
      <c r="B6440" s="38">
        <v>-6.64</v>
      </c>
      <c r="C6440" s="13" t="s">
        <v>92</v>
      </c>
      <c r="D6440" s="36">
        <v>3906.15</v>
      </c>
      <c r="E6440" s="43" t="s">
        <v>3596</v>
      </c>
    </row>
    <row r="6441" spans="1:5" x14ac:dyDescent="0.35">
      <c r="A6441" s="40">
        <v>43393</v>
      </c>
      <c r="B6441" s="38">
        <v>-515</v>
      </c>
      <c r="C6441" s="13" t="s">
        <v>949</v>
      </c>
      <c r="D6441" s="36">
        <v>3912.79</v>
      </c>
      <c r="E6441" s="43" t="s">
        <v>3596</v>
      </c>
    </row>
    <row r="6442" spans="1:5" x14ac:dyDescent="0.35">
      <c r="A6442" s="40">
        <v>43393</v>
      </c>
      <c r="B6442" s="38">
        <v>-4.59</v>
      </c>
      <c r="C6442" s="13" t="s">
        <v>510</v>
      </c>
      <c r="D6442" s="36">
        <v>4527.79</v>
      </c>
      <c r="E6442" s="43" t="s">
        <v>3596</v>
      </c>
    </row>
    <row r="6443" spans="1:5" x14ac:dyDescent="0.35">
      <c r="A6443" s="40">
        <v>43393</v>
      </c>
      <c r="B6443" s="38">
        <v>-100</v>
      </c>
      <c r="C6443" s="13" t="s">
        <v>946</v>
      </c>
      <c r="D6443" s="36">
        <v>4427.79</v>
      </c>
      <c r="E6443" s="43" t="s">
        <v>3596</v>
      </c>
    </row>
    <row r="6444" spans="1:5" x14ac:dyDescent="0.35">
      <c r="A6444" s="40">
        <v>43393</v>
      </c>
      <c r="B6444" s="38">
        <v>-153.12</v>
      </c>
      <c r="C6444" s="13" t="s">
        <v>511</v>
      </c>
      <c r="D6444" s="36">
        <v>4532.38</v>
      </c>
      <c r="E6444" s="43" t="s">
        <v>3596</v>
      </c>
    </row>
    <row r="6445" spans="1:5" x14ac:dyDescent="0.35">
      <c r="A6445" s="40">
        <v>43392</v>
      </c>
      <c r="B6445" s="38">
        <v>-50</v>
      </c>
      <c r="C6445" s="13" t="s">
        <v>1703</v>
      </c>
      <c r="D6445" s="36">
        <v>4727.33</v>
      </c>
      <c r="E6445" s="43" t="s">
        <v>3596</v>
      </c>
    </row>
    <row r="6446" spans="1:5" x14ac:dyDescent="0.35">
      <c r="A6446" s="40">
        <v>43392</v>
      </c>
      <c r="B6446" s="38">
        <v>-7.48</v>
      </c>
      <c r="C6446" s="13" t="s">
        <v>512</v>
      </c>
      <c r="D6446" s="36">
        <v>4685.5</v>
      </c>
      <c r="E6446" s="43" t="s">
        <v>3596</v>
      </c>
    </row>
    <row r="6447" spans="1:5" x14ac:dyDescent="0.35">
      <c r="A6447" s="40">
        <v>43392</v>
      </c>
      <c r="B6447" s="38">
        <v>-34.35</v>
      </c>
      <c r="C6447" s="13" t="s">
        <v>345</v>
      </c>
      <c r="D6447" s="36">
        <v>4692.9799999999996</v>
      </c>
      <c r="E6447" s="43" t="s">
        <v>3596</v>
      </c>
    </row>
    <row r="6448" spans="1:5" x14ac:dyDescent="0.35">
      <c r="A6448" s="40">
        <v>43391</v>
      </c>
      <c r="B6448" s="38">
        <v>-157.94</v>
      </c>
      <c r="C6448" s="13" t="s">
        <v>513</v>
      </c>
      <c r="D6448" s="36">
        <v>4777.33</v>
      </c>
      <c r="E6448" s="43" t="s">
        <v>3596</v>
      </c>
    </row>
    <row r="6449" spans="1:5" x14ac:dyDescent="0.35">
      <c r="A6449" s="40">
        <v>43391</v>
      </c>
      <c r="B6449" s="38">
        <v>-14</v>
      </c>
      <c r="C6449" s="13" t="s">
        <v>515</v>
      </c>
      <c r="D6449" s="36">
        <v>5010.09</v>
      </c>
      <c r="E6449" s="43" t="s">
        <v>3596</v>
      </c>
    </row>
    <row r="6450" spans="1:5" x14ac:dyDescent="0.35">
      <c r="A6450" s="40">
        <v>43391</v>
      </c>
      <c r="B6450" s="38">
        <v>-74.819999999999993</v>
      </c>
      <c r="C6450" s="13" t="s">
        <v>514</v>
      </c>
      <c r="D6450" s="36">
        <v>4935.2700000000004</v>
      </c>
      <c r="E6450" s="43" t="s">
        <v>3596</v>
      </c>
    </row>
    <row r="6451" spans="1:5" x14ac:dyDescent="0.35">
      <c r="A6451" s="40">
        <v>43391</v>
      </c>
      <c r="B6451" s="38">
        <v>-114.44</v>
      </c>
      <c r="C6451" s="13" t="s">
        <v>516</v>
      </c>
      <c r="D6451" s="36">
        <v>5024.09</v>
      </c>
      <c r="E6451" s="43" t="s">
        <v>3596</v>
      </c>
    </row>
    <row r="6452" spans="1:5" x14ac:dyDescent="0.35">
      <c r="A6452" s="40">
        <v>43390</v>
      </c>
      <c r="B6452" s="38">
        <v>-23</v>
      </c>
      <c r="C6452" s="13" t="s">
        <v>518</v>
      </c>
      <c r="D6452" s="36">
        <v>4146.28</v>
      </c>
      <c r="E6452" s="43" t="s">
        <v>3596</v>
      </c>
    </row>
    <row r="6453" spans="1:5" x14ac:dyDescent="0.35">
      <c r="A6453" s="40">
        <v>43390</v>
      </c>
      <c r="B6453" s="38">
        <v>1080.25</v>
      </c>
      <c r="C6453" s="13" t="s">
        <v>10</v>
      </c>
      <c r="D6453" s="36">
        <v>5226.53</v>
      </c>
      <c r="E6453" s="43" t="s">
        <v>3596</v>
      </c>
    </row>
    <row r="6454" spans="1:5" x14ac:dyDescent="0.35">
      <c r="A6454" s="40">
        <v>43390</v>
      </c>
      <c r="B6454" s="38">
        <v>-88</v>
      </c>
      <c r="C6454" s="13" t="s">
        <v>517</v>
      </c>
      <c r="D6454" s="36">
        <v>5138.53</v>
      </c>
      <c r="E6454" s="43" t="s">
        <v>3596</v>
      </c>
    </row>
    <row r="6455" spans="1:5" x14ac:dyDescent="0.35">
      <c r="A6455" s="40">
        <v>43389</v>
      </c>
      <c r="B6455" s="38">
        <v>-37.64</v>
      </c>
      <c r="C6455" s="13" t="s">
        <v>520</v>
      </c>
      <c r="D6455" s="36">
        <v>4212.28</v>
      </c>
      <c r="E6455" s="43" t="s">
        <v>3596</v>
      </c>
    </row>
    <row r="6456" spans="1:5" x14ac:dyDescent="0.35">
      <c r="A6456" s="40">
        <v>43389</v>
      </c>
      <c r="B6456" s="38">
        <v>-50</v>
      </c>
      <c r="C6456" s="13" t="s">
        <v>519</v>
      </c>
      <c r="D6456" s="36">
        <v>4242.28</v>
      </c>
      <c r="E6456" s="43" t="s">
        <v>3596</v>
      </c>
    </row>
    <row r="6457" spans="1:5" x14ac:dyDescent="0.35">
      <c r="A6457" s="40">
        <v>43389</v>
      </c>
      <c r="B6457" s="38">
        <v>-73</v>
      </c>
      <c r="C6457" s="13" t="s">
        <v>37</v>
      </c>
      <c r="D6457" s="36">
        <v>4169.28</v>
      </c>
      <c r="E6457" s="43" t="s">
        <v>3596</v>
      </c>
    </row>
    <row r="6458" spans="1:5" x14ac:dyDescent="0.35">
      <c r="A6458" s="40">
        <v>43389</v>
      </c>
      <c r="B6458" s="38">
        <v>80</v>
      </c>
      <c r="C6458" s="13" t="s">
        <v>35</v>
      </c>
      <c r="D6458" s="36">
        <v>4292.28</v>
      </c>
      <c r="E6458" s="43" t="s">
        <v>3596</v>
      </c>
    </row>
    <row r="6459" spans="1:5" x14ac:dyDescent="0.35">
      <c r="A6459" s="40">
        <v>43387</v>
      </c>
      <c r="B6459" s="38">
        <v>-140</v>
      </c>
      <c r="C6459" s="13" t="s">
        <v>1725</v>
      </c>
      <c r="D6459" s="36">
        <v>4252.42</v>
      </c>
      <c r="E6459" s="43" t="s">
        <v>3596</v>
      </c>
    </row>
    <row r="6460" spans="1:5" x14ac:dyDescent="0.35">
      <c r="A6460" s="40">
        <v>43387</v>
      </c>
      <c r="B6460" s="38">
        <v>-2.5</v>
      </c>
      <c r="C6460" s="13" t="s">
        <v>24</v>
      </c>
      <c r="D6460" s="36">
        <v>4249.92</v>
      </c>
      <c r="E6460" s="43" t="s">
        <v>3596</v>
      </c>
    </row>
    <row r="6461" spans="1:5" x14ac:dyDescent="0.35">
      <c r="A6461" s="40">
        <v>43386</v>
      </c>
      <c r="B6461" s="38">
        <v>-515</v>
      </c>
      <c r="C6461" s="13" t="s">
        <v>949</v>
      </c>
      <c r="D6461" s="36">
        <v>4559.91</v>
      </c>
      <c r="E6461" s="43" t="s">
        <v>3596</v>
      </c>
    </row>
    <row r="6462" spans="1:5" x14ac:dyDescent="0.35">
      <c r="A6462" s="40">
        <v>43386</v>
      </c>
      <c r="B6462" s="38">
        <v>-64.989999999999995</v>
      </c>
      <c r="C6462" s="13" t="s">
        <v>524</v>
      </c>
      <c r="D6462" s="36">
        <v>4494.92</v>
      </c>
      <c r="E6462" s="43" t="s">
        <v>3596</v>
      </c>
    </row>
    <row r="6463" spans="1:5" x14ac:dyDescent="0.35">
      <c r="A6463" s="40">
        <v>43386</v>
      </c>
      <c r="B6463" s="38">
        <v>-8.5</v>
      </c>
      <c r="C6463" s="13" t="s">
        <v>523</v>
      </c>
      <c r="D6463" s="36">
        <v>4486.42</v>
      </c>
      <c r="E6463" s="43" t="s">
        <v>3596</v>
      </c>
    </row>
    <row r="6464" spans="1:5" x14ac:dyDescent="0.35">
      <c r="A6464" s="40">
        <v>43386</v>
      </c>
      <c r="B6464" s="38">
        <v>-100</v>
      </c>
      <c r="C6464" s="13" t="s">
        <v>946</v>
      </c>
      <c r="D6464" s="36">
        <v>5074.91</v>
      </c>
      <c r="E6464" s="43" t="s">
        <v>3596</v>
      </c>
    </row>
    <row r="6465" spans="1:5" x14ac:dyDescent="0.35">
      <c r="A6465" s="40">
        <v>43386</v>
      </c>
      <c r="B6465" s="38">
        <v>-27.7</v>
      </c>
      <c r="C6465" s="13" t="s">
        <v>522</v>
      </c>
      <c r="D6465" s="36">
        <v>4408.22</v>
      </c>
      <c r="E6465" s="43" t="s">
        <v>3596</v>
      </c>
    </row>
    <row r="6466" spans="1:5" x14ac:dyDescent="0.35">
      <c r="A6466" s="40">
        <v>43386</v>
      </c>
      <c r="B6466" s="38">
        <v>-24.7</v>
      </c>
      <c r="C6466" s="13" t="s">
        <v>522</v>
      </c>
      <c r="D6466" s="36">
        <v>4435.92</v>
      </c>
      <c r="E6466" s="43" t="s">
        <v>3596</v>
      </c>
    </row>
    <row r="6467" spans="1:5" x14ac:dyDescent="0.35">
      <c r="A6467" s="40">
        <v>43386</v>
      </c>
      <c r="B6467" s="38">
        <v>-25.8</v>
      </c>
      <c r="C6467" s="13" t="s">
        <v>522</v>
      </c>
      <c r="D6467" s="36">
        <v>4460.62</v>
      </c>
      <c r="E6467" s="43" t="s">
        <v>3596</v>
      </c>
    </row>
    <row r="6468" spans="1:5" x14ac:dyDescent="0.35">
      <c r="A6468" s="40">
        <v>43386</v>
      </c>
      <c r="B6468" s="38">
        <v>-15.8</v>
      </c>
      <c r="C6468" s="13" t="s">
        <v>521</v>
      </c>
      <c r="D6468" s="36">
        <v>4392.42</v>
      </c>
      <c r="E6468" s="43" t="s">
        <v>3596</v>
      </c>
    </row>
    <row r="6469" spans="1:5" x14ac:dyDescent="0.35">
      <c r="A6469" s="40">
        <v>43385</v>
      </c>
      <c r="B6469" s="38">
        <v>-12.5</v>
      </c>
      <c r="C6469" s="13" t="s">
        <v>3616</v>
      </c>
      <c r="D6469" s="36">
        <v>5190.8500000000004</v>
      </c>
      <c r="E6469" s="43" t="s">
        <v>3596</v>
      </c>
    </row>
    <row r="6470" spans="1:5" x14ac:dyDescent="0.35">
      <c r="A6470" s="40">
        <v>43385</v>
      </c>
      <c r="B6470" s="38">
        <v>-15.94</v>
      </c>
      <c r="C6470" s="13" t="s">
        <v>525</v>
      </c>
      <c r="D6470" s="36">
        <v>5174.91</v>
      </c>
      <c r="E6470" s="43" t="s">
        <v>3596</v>
      </c>
    </row>
    <row r="6471" spans="1:5" x14ac:dyDescent="0.35">
      <c r="A6471" s="40">
        <v>43384</v>
      </c>
      <c r="B6471" s="38">
        <v>-130</v>
      </c>
      <c r="C6471" s="13" t="s">
        <v>526</v>
      </c>
      <c r="D6471" s="36">
        <v>5203.3500000000004</v>
      </c>
      <c r="E6471" s="43" t="s">
        <v>3596</v>
      </c>
    </row>
    <row r="6472" spans="1:5" x14ac:dyDescent="0.35">
      <c r="A6472" s="40">
        <v>43383</v>
      </c>
      <c r="B6472" s="38">
        <v>-11.99</v>
      </c>
      <c r="C6472" s="13" t="s">
        <v>527</v>
      </c>
      <c r="D6472" s="36">
        <v>4443.1499999999996</v>
      </c>
      <c r="E6472" s="43" t="s">
        <v>3596</v>
      </c>
    </row>
    <row r="6473" spans="1:5" x14ac:dyDescent="0.35">
      <c r="A6473" s="40">
        <v>43383</v>
      </c>
      <c r="B6473" s="38">
        <v>890.2</v>
      </c>
      <c r="C6473" s="13" t="s">
        <v>10</v>
      </c>
      <c r="D6473" s="36">
        <v>5333.35</v>
      </c>
      <c r="E6473" s="43" t="s">
        <v>3596</v>
      </c>
    </row>
    <row r="6474" spans="1:5" x14ac:dyDescent="0.35">
      <c r="A6474" s="40">
        <v>43383</v>
      </c>
      <c r="B6474" s="38">
        <v>-34.5</v>
      </c>
      <c r="C6474" s="13" t="s">
        <v>528</v>
      </c>
      <c r="D6474" s="36">
        <v>4455.1400000000003</v>
      </c>
      <c r="E6474" s="43" t="s">
        <v>3596</v>
      </c>
    </row>
    <row r="6475" spans="1:5" x14ac:dyDescent="0.35">
      <c r="A6475" s="40">
        <v>43382</v>
      </c>
      <c r="B6475" s="38">
        <v>-2.5</v>
      </c>
      <c r="C6475" s="13" t="s">
        <v>92</v>
      </c>
      <c r="D6475" s="36">
        <v>4582.6400000000003</v>
      </c>
      <c r="E6475" s="43" t="s">
        <v>3596</v>
      </c>
    </row>
    <row r="6476" spans="1:5" x14ac:dyDescent="0.35">
      <c r="A6476" s="40">
        <v>43382</v>
      </c>
      <c r="B6476" s="38">
        <v>-14.5</v>
      </c>
      <c r="C6476" s="13" t="s">
        <v>3619</v>
      </c>
      <c r="D6476" s="36">
        <v>4585.1400000000003</v>
      </c>
      <c r="E6476" s="43" t="s">
        <v>3596</v>
      </c>
    </row>
    <row r="6477" spans="1:5" x14ac:dyDescent="0.35">
      <c r="A6477" s="40">
        <v>43382</v>
      </c>
      <c r="B6477" s="38">
        <v>-93</v>
      </c>
      <c r="C6477" s="13" t="s">
        <v>959</v>
      </c>
      <c r="D6477" s="36">
        <v>4489.6400000000003</v>
      </c>
      <c r="E6477" s="43" t="s">
        <v>3596</v>
      </c>
    </row>
    <row r="6478" spans="1:5" x14ac:dyDescent="0.35">
      <c r="A6478" s="40">
        <v>43381</v>
      </c>
      <c r="B6478" s="38">
        <v>-17</v>
      </c>
      <c r="C6478" s="13" t="s">
        <v>504</v>
      </c>
      <c r="D6478" s="36">
        <v>4657.59</v>
      </c>
      <c r="E6478" s="43" t="s">
        <v>3596</v>
      </c>
    </row>
    <row r="6479" spans="1:5" x14ac:dyDescent="0.35">
      <c r="A6479" s="40">
        <v>43381</v>
      </c>
      <c r="B6479" s="38">
        <v>-57.95</v>
      </c>
      <c r="C6479" s="13" t="s">
        <v>345</v>
      </c>
      <c r="D6479" s="36">
        <v>4599.6400000000003</v>
      </c>
      <c r="E6479" s="43" t="s">
        <v>3596</v>
      </c>
    </row>
    <row r="6480" spans="1:5" x14ac:dyDescent="0.35">
      <c r="A6480" s="40">
        <v>43380</v>
      </c>
      <c r="B6480" s="38">
        <v>-10.5</v>
      </c>
      <c r="C6480" s="13" t="s">
        <v>477</v>
      </c>
      <c r="D6480" s="36">
        <v>4684.99</v>
      </c>
      <c r="E6480" s="43" t="s">
        <v>3596</v>
      </c>
    </row>
    <row r="6481" spans="1:5" x14ac:dyDescent="0.35">
      <c r="A6481" s="40">
        <v>43380</v>
      </c>
      <c r="B6481" s="38">
        <v>-10.4</v>
      </c>
      <c r="C6481" s="13" t="s">
        <v>525</v>
      </c>
      <c r="D6481" s="36">
        <v>4674.59</v>
      </c>
      <c r="E6481" s="43" t="s">
        <v>3596</v>
      </c>
    </row>
    <row r="6482" spans="1:5" x14ac:dyDescent="0.35">
      <c r="A6482" s="40">
        <v>43379</v>
      </c>
      <c r="B6482" s="38">
        <v>-50</v>
      </c>
      <c r="C6482" s="13" t="s">
        <v>1714</v>
      </c>
      <c r="D6482" s="36">
        <v>4695.49</v>
      </c>
      <c r="E6482" s="43" t="s">
        <v>3596</v>
      </c>
    </row>
    <row r="6483" spans="1:5" x14ac:dyDescent="0.35">
      <c r="A6483" s="40">
        <v>43379</v>
      </c>
      <c r="B6483" s="38">
        <v>-515</v>
      </c>
      <c r="C6483" s="13" t="s">
        <v>949</v>
      </c>
      <c r="D6483" s="36">
        <v>4765.99</v>
      </c>
      <c r="E6483" s="43" t="s">
        <v>3596</v>
      </c>
    </row>
    <row r="6484" spans="1:5" x14ac:dyDescent="0.35">
      <c r="A6484" s="40">
        <v>43379</v>
      </c>
      <c r="B6484" s="38">
        <v>-20.5</v>
      </c>
      <c r="C6484" s="13" t="s">
        <v>292</v>
      </c>
      <c r="D6484" s="36">
        <v>4745.49</v>
      </c>
      <c r="E6484" s="43" t="s">
        <v>3596</v>
      </c>
    </row>
    <row r="6485" spans="1:5" x14ac:dyDescent="0.35">
      <c r="A6485" s="40">
        <v>43379</v>
      </c>
      <c r="B6485" s="38">
        <v>-100</v>
      </c>
      <c r="C6485" s="13" t="s">
        <v>946</v>
      </c>
      <c r="D6485" s="36">
        <v>5280.99</v>
      </c>
      <c r="E6485" s="43" t="s">
        <v>3596</v>
      </c>
    </row>
    <row r="6486" spans="1:5" x14ac:dyDescent="0.35">
      <c r="A6486" s="40">
        <v>43378</v>
      </c>
      <c r="B6486" s="38">
        <v>-50</v>
      </c>
      <c r="C6486" s="13" t="s">
        <v>529</v>
      </c>
      <c r="D6486" s="36">
        <v>5380.99</v>
      </c>
      <c r="E6486" s="43" t="s">
        <v>3596</v>
      </c>
    </row>
    <row r="6487" spans="1:5" x14ac:dyDescent="0.35">
      <c r="A6487" s="40">
        <v>43377</v>
      </c>
      <c r="B6487" s="38">
        <v>-50</v>
      </c>
      <c r="C6487" s="13" t="s">
        <v>1723</v>
      </c>
      <c r="D6487" s="36">
        <v>5430.99</v>
      </c>
      <c r="E6487" s="43" t="s">
        <v>3596</v>
      </c>
    </row>
    <row r="6488" spans="1:5" x14ac:dyDescent="0.35">
      <c r="A6488" s="40">
        <v>43377</v>
      </c>
      <c r="B6488" s="38">
        <v>-9.99</v>
      </c>
      <c r="C6488" s="13" t="s">
        <v>530</v>
      </c>
      <c r="D6488" s="36">
        <v>5480.99</v>
      </c>
      <c r="E6488" s="43" t="s">
        <v>3596</v>
      </c>
    </row>
    <row r="6489" spans="1:5" x14ac:dyDescent="0.35">
      <c r="A6489" s="40">
        <v>43376</v>
      </c>
      <c r="B6489" s="38">
        <v>1080.25</v>
      </c>
      <c r="C6489" s="13" t="s">
        <v>10</v>
      </c>
      <c r="D6489" s="36">
        <v>5490.98</v>
      </c>
      <c r="E6489" s="43" t="s">
        <v>3596</v>
      </c>
    </row>
    <row r="6490" spans="1:5" x14ac:dyDescent="0.35">
      <c r="A6490" s="40">
        <v>43376</v>
      </c>
      <c r="B6490" s="38">
        <v>-75</v>
      </c>
      <c r="C6490" s="13" t="s">
        <v>532</v>
      </c>
      <c r="D6490" s="36">
        <v>4470.7299999999996</v>
      </c>
      <c r="E6490" s="43" t="s">
        <v>3596</v>
      </c>
    </row>
    <row r="6491" spans="1:5" x14ac:dyDescent="0.35">
      <c r="A6491" s="40">
        <v>43376</v>
      </c>
      <c r="B6491" s="38">
        <v>-60</v>
      </c>
      <c r="C6491" s="13" t="s">
        <v>531</v>
      </c>
      <c r="D6491" s="36">
        <v>4410.7299999999996</v>
      </c>
      <c r="E6491" s="43" t="s">
        <v>3596</v>
      </c>
    </row>
    <row r="6492" spans="1:5" x14ac:dyDescent="0.35">
      <c r="A6492" s="40">
        <v>43375</v>
      </c>
      <c r="B6492" s="38">
        <v>-35</v>
      </c>
      <c r="C6492" s="13" t="s">
        <v>535</v>
      </c>
      <c r="D6492" s="36">
        <v>4762.6499999999996</v>
      </c>
      <c r="E6492" s="43" t="s">
        <v>3596</v>
      </c>
    </row>
    <row r="6493" spans="1:5" x14ac:dyDescent="0.35">
      <c r="A6493" s="40">
        <v>43375</v>
      </c>
      <c r="B6493" s="38">
        <v>-166.4</v>
      </c>
      <c r="C6493" s="13" t="s">
        <v>533</v>
      </c>
      <c r="D6493" s="36">
        <v>4545.7299999999996</v>
      </c>
      <c r="E6493" s="43" t="s">
        <v>3596</v>
      </c>
    </row>
    <row r="6494" spans="1:5" x14ac:dyDescent="0.35">
      <c r="A6494" s="40">
        <v>43375</v>
      </c>
      <c r="B6494" s="38">
        <v>-37.020000000000003</v>
      </c>
      <c r="C6494" s="13" t="s">
        <v>345</v>
      </c>
      <c r="D6494" s="36">
        <v>4712.13</v>
      </c>
      <c r="E6494" s="43" t="s">
        <v>3596</v>
      </c>
    </row>
    <row r="6495" spans="1:5" x14ac:dyDescent="0.35">
      <c r="A6495" s="40">
        <v>43375</v>
      </c>
      <c r="B6495" s="38">
        <v>-13.5</v>
      </c>
      <c r="C6495" s="13" t="s">
        <v>534</v>
      </c>
      <c r="D6495" s="36">
        <v>4749.1499999999996</v>
      </c>
      <c r="E6495" s="43" t="s">
        <v>3596</v>
      </c>
    </row>
    <row r="6496" spans="1:5" x14ac:dyDescent="0.35">
      <c r="A6496" s="40">
        <v>43374</v>
      </c>
      <c r="B6496" s="38">
        <v>400</v>
      </c>
      <c r="C6496" s="13" t="s">
        <v>536</v>
      </c>
      <c r="D6496" s="36">
        <v>4797.6499999999996</v>
      </c>
      <c r="E6496" s="43" t="s">
        <v>3596</v>
      </c>
    </row>
    <row r="6497" spans="1:5" x14ac:dyDescent="0.35">
      <c r="A6497" s="40">
        <v>43372</v>
      </c>
      <c r="B6497" s="38">
        <v>-515</v>
      </c>
      <c r="C6497" s="13" t="s">
        <v>949</v>
      </c>
      <c r="D6497" s="36">
        <v>4397.6499999999996</v>
      </c>
      <c r="E6497" s="43" t="s">
        <v>3596</v>
      </c>
    </row>
    <row r="6498" spans="1:5" x14ac:dyDescent="0.35">
      <c r="A6498" s="40">
        <v>43372</v>
      </c>
      <c r="B6498" s="38">
        <v>-100</v>
      </c>
      <c r="C6498" s="13" t="s">
        <v>946</v>
      </c>
      <c r="D6498" s="36">
        <v>4912.6499999999996</v>
      </c>
      <c r="E6498" s="43" t="s">
        <v>3596</v>
      </c>
    </row>
    <row r="6499" spans="1:5" x14ac:dyDescent="0.35">
      <c r="A6499" s="40">
        <v>43371</v>
      </c>
      <c r="B6499" s="38">
        <v>-70</v>
      </c>
      <c r="C6499" s="13" t="s">
        <v>1723</v>
      </c>
      <c r="D6499" s="36">
        <v>5012.6499999999996</v>
      </c>
      <c r="E6499" s="43" t="s">
        <v>3596</v>
      </c>
    </row>
    <row r="6500" spans="1:5" x14ac:dyDescent="0.35">
      <c r="A6500" s="40">
        <v>43371</v>
      </c>
      <c r="B6500" s="38">
        <v>-29.9</v>
      </c>
      <c r="C6500" s="13" t="s">
        <v>537</v>
      </c>
      <c r="D6500" s="36">
        <v>5082.6499999999996</v>
      </c>
      <c r="E6500" s="43" t="s">
        <v>3596</v>
      </c>
    </row>
    <row r="6501" spans="1:5" x14ac:dyDescent="0.35">
      <c r="A6501" s="40">
        <v>43370</v>
      </c>
      <c r="B6501" s="38">
        <v>-13.5</v>
      </c>
      <c r="C6501" s="13" t="s">
        <v>3616</v>
      </c>
      <c r="D6501" s="36">
        <v>5242.55</v>
      </c>
      <c r="E6501" s="43" t="s">
        <v>3596</v>
      </c>
    </row>
    <row r="6502" spans="1:5" x14ac:dyDescent="0.35">
      <c r="A6502" s="40">
        <v>43370</v>
      </c>
      <c r="B6502" s="38">
        <v>-130</v>
      </c>
      <c r="C6502" s="13" t="s">
        <v>538</v>
      </c>
      <c r="D6502" s="36">
        <v>5112.55</v>
      </c>
      <c r="E6502" s="43" t="s">
        <v>3596</v>
      </c>
    </row>
    <row r="6503" spans="1:5" x14ac:dyDescent="0.35">
      <c r="A6503" s="40">
        <v>43369</v>
      </c>
      <c r="B6503" s="38">
        <v>1080.25</v>
      </c>
      <c r="C6503" s="13" t="s">
        <v>10</v>
      </c>
      <c r="D6503" s="36">
        <v>5256.05</v>
      </c>
      <c r="E6503" s="43" t="s">
        <v>3596</v>
      </c>
    </row>
    <row r="6504" spans="1:5" x14ac:dyDescent="0.35">
      <c r="A6504" s="40">
        <v>43369</v>
      </c>
      <c r="B6504" s="38">
        <v>-32.31</v>
      </c>
      <c r="C6504" s="13" t="s">
        <v>539</v>
      </c>
      <c r="D6504" s="36">
        <v>4175.8</v>
      </c>
      <c r="E6504" s="43" t="s">
        <v>3596</v>
      </c>
    </row>
    <row r="6505" spans="1:5" x14ac:dyDescent="0.35">
      <c r="A6505" s="40">
        <v>43368</v>
      </c>
      <c r="B6505" s="38">
        <v>-50</v>
      </c>
      <c r="C6505" s="13" t="s">
        <v>519</v>
      </c>
      <c r="D6505" s="36">
        <v>4208.1099999999997</v>
      </c>
      <c r="E6505" s="43" t="s">
        <v>3596</v>
      </c>
    </row>
    <row r="6506" spans="1:5" x14ac:dyDescent="0.35">
      <c r="A6506" s="40">
        <v>43367</v>
      </c>
      <c r="B6506" s="38">
        <v>-85.36</v>
      </c>
      <c r="C6506" s="13" t="s">
        <v>345</v>
      </c>
      <c r="D6506" s="36">
        <v>4258.1099999999997</v>
      </c>
      <c r="E6506" s="43" t="s">
        <v>3596</v>
      </c>
    </row>
    <row r="6507" spans="1:5" x14ac:dyDescent="0.35">
      <c r="A6507" s="40">
        <v>43367</v>
      </c>
      <c r="B6507" s="38">
        <v>-13.5</v>
      </c>
      <c r="C6507" s="13" t="s">
        <v>534</v>
      </c>
      <c r="D6507" s="36">
        <v>4343.47</v>
      </c>
      <c r="E6507" s="43" t="s">
        <v>3596</v>
      </c>
    </row>
    <row r="6508" spans="1:5" x14ac:dyDescent="0.35">
      <c r="A6508" s="40">
        <v>43365</v>
      </c>
      <c r="B6508" s="38">
        <v>-50</v>
      </c>
      <c r="C6508" s="13" t="s">
        <v>1714</v>
      </c>
      <c r="D6508" s="36">
        <v>4356.97</v>
      </c>
      <c r="E6508" s="43" t="s">
        <v>3596</v>
      </c>
    </row>
    <row r="6509" spans="1:5" x14ac:dyDescent="0.35">
      <c r="A6509" s="40">
        <v>43365</v>
      </c>
      <c r="B6509" s="38">
        <v>-515</v>
      </c>
      <c r="C6509" s="13" t="s">
        <v>949</v>
      </c>
      <c r="D6509" s="36">
        <v>4427.47</v>
      </c>
      <c r="E6509" s="43" t="s">
        <v>3596</v>
      </c>
    </row>
    <row r="6510" spans="1:5" x14ac:dyDescent="0.35">
      <c r="A6510" s="40">
        <v>43365</v>
      </c>
      <c r="B6510" s="38">
        <v>-20.5</v>
      </c>
      <c r="C6510" s="13" t="s">
        <v>292</v>
      </c>
      <c r="D6510" s="36">
        <v>4406.97</v>
      </c>
      <c r="E6510" s="43" t="s">
        <v>3596</v>
      </c>
    </row>
    <row r="6511" spans="1:5" x14ac:dyDescent="0.35">
      <c r="A6511" s="40">
        <v>43365</v>
      </c>
      <c r="B6511" s="38">
        <v>-100</v>
      </c>
      <c r="C6511" s="13" t="s">
        <v>946</v>
      </c>
      <c r="D6511" s="36">
        <v>4942.47</v>
      </c>
      <c r="E6511" s="43" t="s">
        <v>3596</v>
      </c>
    </row>
    <row r="6512" spans="1:5" x14ac:dyDescent="0.35">
      <c r="A6512" s="40">
        <v>43364</v>
      </c>
      <c r="B6512" s="38">
        <v>-7.2</v>
      </c>
      <c r="C6512" s="13" t="s">
        <v>504</v>
      </c>
      <c r="D6512" s="36">
        <v>5095.25</v>
      </c>
      <c r="E6512" s="43" t="s">
        <v>3596</v>
      </c>
    </row>
    <row r="6513" spans="1:5" x14ac:dyDescent="0.35">
      <c r="A6513" s="40">
        <v>43364</v>
      </c>
      <c r="B6513" s="38">
        <v>-13.9</v>
      </c>
      <c r="C6513" s="13" t="s">
        <v>541</v>
      </c>
      <c r="D6513" s="36">
        <v>5102.45</v>
      </c>
      <c r="E6513" s="43" t="s">
        <v>3596</v>
      </c>
    </row>
    <row r="6514" spans="1:5" x14ac:dyDescent="0.35">
      <c r="A6514" s="40">
        <v>43364</v>
      </c>
      <c r="B6514" s="38">
        <v>-52.78</v>
      </c>
      <c r="C6514" s="13" t="s">
        <v>540</v>
      </c>
      <c r="D6514" s="36">
        <v>5042.47</v>
      </c>
      <c r="E6514" s="43" t="s">
        <v>3596</v>
      </c>
    </row>
    <row r="6515" spans="1:5" x14ac:dyDescent="0.35">
      <c r="A6515" s="40">
        <v>43363</v>
      </c>
      <c r="B6515" s="38">
        <v>-5.5</v>
      </c>
      <c r="C6515" s="13" t="s">
        <v>92</v>
      </c>
      <c r="D6515" s="36">
        <v>5116.3500000000004</v>
      </c>
      <c r="E6515" s="43" t="s">
        <v>3596</v>
      </c>
    </row>
    <row r="6516" spans="1:5" x14ac:dyDescent="0.35">
      <c r="A6516" s="40">
        <v>43363</v>
      </c>
      <c r="B6516" s="38">
        <v>-15.5</v>
      </c>
      <c r="C6516" s="13" t="s">
        <v>3616</v>
      </c>
      <c r="D6516" s="36">
        <v>5121.8500000000004</v>
      </c>
      <c r="E6516" s="43" t="s">
        <v>3596</v>
      </c>
    </row>
    <row r="6517" spans="1:5" x14ac:dyDescent="0.35">
      <c r="A6517" s="40">
        <v>43363</v>
      </c>
      <c r="B6517" s="38">
        <v>-19.399999999999999</v>
      </c>
      <c r="C6517" s="13" t="s">
        <v>542</v>
      </c>
      <c r="D6517" s="36">
        <v>5137.3500000000004</v>
      </c>
      <c r="E6517" s="43" t="s">
        <v>3596</v>
      </c>
    </row>
    <row r="6518" spans="1:5" x14ac:dyDescent="0.35">
      <c r="A6518" s="40">
        <v>43362</v>
      </c>
      <c r="B6518" s="38">
        <v>1080.25</v>
      </c>
      <c r="C6518" s="13" t="s">
        <v>10</v>
      </c>
      <c r="D6518" s="36">
        <v>5207.74</v>
      </c>
      <c r="E6518" s="43" t="s">
        <v>3596</v>
      </c>
    </row>
    <row r="6519" spans="1:5" x14ac:dyDescent="0.35">
      <c r="A6519" s="40">
        <v>43362</v>
      </c>
      <c r="B6519" s="38">
        <v>-50.99</v>
      </c>
      <c r="C6519" s="13" t="s">
        <v>543</v>
      </c>
      <c r="D6519" s="36">
        <v>5156.75</v>
      </c>
      <c r="E6519" s="43" t="s">
        <v>3596</v>
      </c>
    </row>
    <row r="6520" spans="1:5" x14ac:dyDescent="0.35">
      <c r="A6520" s="40">
        <v>43361</v>
      </c>
      <c r="B6520" s="38">
        <v>-13.2</v>
      </c>
      <c r="C6520" s="13" t="s">
        <v>92</v>
      </c>
      <c r="D6520" s="36">
        <v>4127.49</v>
      </c>
      <c r="E6520" s="43" t="s">
        <v>3596</v>
      </c>
    </row>
    <row r="6521" spans="1:5" x14ac:dyDescent="0.35">
      <c r="A6521" s="40">
        <v>43360</v>
      </c>
      <c r="B6521" s="38">
        <v>-34</v>
      </c>
      <c r="C6521" s="13" t="s">
        <v>504</v>
      </c>
      <c r="D6521" s="36">
        <v>4090.69</v>
      </c>
      <c r="E6521" s="43" t="s">
        <v>3596</v>
      </c>
    </row>
    <row r="6522" spans="1:5" x14ac:dyDescent="0.35">
      <c r="A6522" s="40">
        <v>43360</v>
      </c>
      <c r="B6522" s="38">
        <v>1.22</v>
      </c>
      <c r="C6522" s="13" t="s">
        <v>544</v>
      </c>
      <c r="D6522" s="36">
        <v>4124.6899999999996</v>
      </c>
      <c r="E6522" s="43" t="s">
        <v>3596</v>
      </c>
    </row>
    <row r="6523" spans="1:5" x14ac:dyDescent="0.35">
      <c r="A6523" s="40">
        <v>43360</v>
      </c>
      <c r="B6523" s="38">
        <v>50</v>
      </c>
      <c r="C6523" s="13" t="s">
        <v>1957</v>
      </c>
      <c r="D6523" s="36">
        <v>4140.6899999999996</v>
      </c>
      <c r="E6523" s="43" t="s">
        <v>3596</v>
      </c>
    </row>
    <row r="6524" spans="1:5" x14ac:dyDescent="0.35">
      <c r="A6524" s="40">
        <v>43359</v>
      </c>
      <c r="B6524" s="38">
        <v>-26.5</v>
      </c>
      <c r="C6524" s="13" t="s">
        <v>546</v>
      </c>
      <c r="D6524" s="36">
        <v>4155.92</v>
      </c>
      <c r="E6524" s="43" t="s">
        <v>3596</v>
      </c>
    </row>
    <row r="6525" spans="1:5" x14ac:dyDescent="0.35">
      <c r="A6525" s="40">
        <v>43359</v>
      </c>
      <c r="B6525" s="38">
        <v>-32.450000000000003</v>
      </c>
      <c r="C6525" s="13" t="s">
        <v>545</v>
      </c>
      <c r="D6525" s="36">
        <v>4123.47</v>
      </c>
      <c r="E6525" s="43" t="s">
        <v>3596</v>
      </c>
    </row>
    <row r="6526" spans="1:5" x14ac:dyDescent="0.35">
      <c r="A6526" s="40">
        <v>43359</v>
      </c>
      <c r="B6526" s="38">
        <v>-20</v>
      </c>
      <c r="C6526" s="13" t="s">
        <v>547</v>
      </c>
      <c r="D6526" s="36">
        <v>4182.42</v>
      </c>
      <c r="E6526" s="43" t="s">
        <v>3596</v>
      </c>
    </row>
    <row r="6527" spans="1:5" x14ac:dyDescent="0.35">
      <c r="A6527" s="40">
        <v>43359</v>
      </c>
      <c r="B6527" s="38">
        <v>-20</v>
      </c>
      <c r="C6527" s="13" t="s">
        <v>547</v>
      </c>
      <c r="D6527" s="36">
        <v>4202.42</v>
      </c>
      <c r="E6527" s="43" t="s">
        <v>3596</v>
      </c>
    </row>
    <row r="6528" spans="1:5" x14ac:dyDescent="0.35">
      <c r="A6528" s="40">
        <v>43359</v>
      </c>
      <c r="B6528" s="38">
        <v>-20</v>
      </c>
      <c r="C6528" s="13" t="s">
        <v>547</v>
      </c>
      <c r="D6528" s="36">
        <v>4222.42</v>
      </c>
      <c r="E6528" s="43" t="s">
        <v>3596</v>
      </c>
    </row>
    <row r="6529" spans="1:5" x14ac:dyDescent="0.35">
      <c r="A6529" s="40">
        <v>43358</v>
      </c>
      <c r="B6529" s="38">
        <v>-37.64</v>
      </c>
      <c r="C6529" s="13" t="s">
        <v>552</v>
      </c>
      <c r="D6529" s="36">
        <v>4403.22</v>
      </c>
      <c r="E6529" s="43" t="s">
        <v>3596</v>
      </c>
    </row>
    <row r="6530" spans="1:5" x14ac:dyDescent="0.35">
      <c r="A6530" s="40">
        <v>43358</v>
      </c>
      <c r="B6530" s="38">
        <v>-515</v>
      </c>
      <c r="C6530" s="13" t="s">
        <v>949</v>
      </c>
      <c r="D6530" s="36">
        <v>4440.8599999999997</v>
      </c>
      <c r="E6530" s="43" t="s">
        <v>3596</v>
      </c>
    </row>
    <row r="6531" spans="1:5" x14ac:dyDescent="0.35">
      <c r="A6531" s="40">
        <v>43358</v>
      </c>
      <c r="B6531" s="38">
        <v>-13.5</v>
      </c>
      <c r="C6531" s="13" t="s">
        <v>549</v>
      </c>
      <c r="D6531" s="36">
        <v>4320.42</v>
      </c>
      <c r="E6531" s="43" t="s">
        <v>3596</v>
      </c>
    </row>
    <row r="6532" spans="1:5" x14ac:dyDescent="0.35">
      <c r="A6532" s="40">
        <v>43358</v>
      </c>
      <c r="B6532" s="38">
        <v>-100</v>
      </c>
      <c r="C6532" s="13" t="s">
        <v>946</v>
      </c>
      <c r="D6532" s="36">
        <v>4955.8599999999997</v>
      </c>
      <c r="E6532" s="43" t="s">
        <v>3596</v>
      </c>
    </row>
    <row r="6533" spans="1:5" x14ac:dyDescent="0.35">
      <c r="A6533" s="40">
        <v>43358</v>
      </c>
      <c r="B6533" s="38">
        <v>-40</v>
      </c>
      <c r="C6533" s="13" t="s">
        <v>550</v>
      </c>
      <c r="D6533" s="36">
        <v>4333.92</v>
      </c>
      <c r="E6533" s="43" t="s">
        <v>3596</v>
      </c>
    </row>
    <row r="6534" spans="1:5" x14ac:dyDescent="0.35">
      <c r="A6534" s="40">
        <v>43358</v>
      </c>
      <c r="B6534" s="38">
        <v>-49.5</v>
      </c>
      <c r="C6534" s="13" t="s">
        <v>548</v>
      </c>
      <c r="D6534" s="36">
        <v>4242.42</v>
      </c>
      <c r="E6534" s="43" t="s">
        <v>3596</v>
      </c>
    </row>
    <row r="6535" spans="1:5" x14ac:dyDescent="0.35">
      <c r="A6535" s="40">
        <v>43358</v>
      </c>
      <c r="B6535" s="38">
        <v>-19</v>
      </c>
      <c r="C6535" s="13" t="s">
        <v>547</v>
      </c>
      <c r="D6535" s="36">
        <v>4291.92</v>
      </c>
      <c r="E6535" s="43" t="s">
        <v>3596</v>
      </c>
    </row>
    <row r="6536" spans="1:5" x14ac:dyDescent="0.35">
      <c r="A6536" s="40">
        <v>43358</v>
      </c>
      <c r="B6536" s="38">
        <v>-9.5</v>
      </c>
      <c r="C6536" s="13" t="s">
        <v>547</v>
      </c>
      <c r="D6536" s="36">
        <v>4310.92</v>
      </c>
      <c r="E6536" s="43" t="s">
        <v>3596</v>
      </c>
    </row>
    <row r="6537" spans="1:5" x14ac:dyDescent="0.35">
      <c r="A6537" s="40">
        <v>43358</v>
      </c>
      <c r="B6537" s="38">
        <v>-17.8</v>
      </c>
      <c r="C6537" s="13" t="s">
        <v>551</v>
      </c>
      <c r="D6537" s="36">
        <v>4373.92</v>
      </c>
      <c r="E6537" s="43" t="s">
        <v>3596</v>
      </c>
    </row>
    <row r="6538" spans="1:5" x14ac:dyDescent="0.35">
      <c r="A6538" s="40">
        <v>43358</v>
      </c>
      <c r="B6538" s="38">
        <v>-11.5</v>
      </c>
      <c r="C6538" s="13" t="s">
        <v>551</v>
      </c>
      <c r="D6538" s="36">
        <v>4391.72</v>
      </c>
      <c r="E6538" s="43" t="s">
        <v>3596</v>
      </c>
    </row>
    <row r="6539" spans="1:5" x14ac:dyDescent="0.35">
      <c r="A6539" s="40">
        <v>43357</v>
      </c>
      <c r="B6539" s="38">
        <v>-9.1</v>
      </c>
      <c r="C6539" s="13" t="s">
        <v>554</v>
      </c>
      <c r="D6539" s="36">
        <v>5071.3599999999997</v>
      </c>
      <c r="E6539" s="43" t="s">
        <v>3596</v>
      </c>
    </row>
    <row r="6540" spans="1:5" x14ac:dyDescent="0.35">
      <c r="A6540" s="40">
        <v>43357</v>
      </c>
      <c r="B6540" s="38">
        <v>-2</v>
      </c>
      <c r="C6540" s="13" t="s">
        <v>92</v>
      </c>
      <c r="D6540" s="36">
        <v>5055.8599999999997</v>
      </c>
      <c r="E6540" s="43" t="s">
        <v>3596</v>
      </c>
    </row>
    <row r="6541" spans="1:5" x14ac:dyDescent="0.35">
      <c r="A6541" s="40">
        <v>43357</v>
      </c>
      <c r="B6541" s="38">
        <v>-13.5</v>
      </c>
      <c r="C6541" s="13" t="s">
        <v>553</v>
      </c>
      <c r="D6541" s="36">
        <v>5057.8599999999997</v>
      </c>
      <c r="E6541" s="43" t="s">
        <v>3596</v>
      </c>
    </row>
    <row r="6542" spans="1:5" x14ac:dyDescent="0.35">
      <c r="A6542" s="40">
        <v>43356</v>
      </c>
      <c r="B6542" s="38">
        <v>-50</v>
      </c>
      <c r="C6542" s="13" t="s">
        <v>519</v>
      </c>
      <c r="D6542" s="36">
        <v>5295.46</v>
      </c>
      <c r="E6542" s="43" t="s">
        <v>3596</v>
      </c>
    </row>
    <row r="6543" spans="1:5" x14ac:dyDescent="0.35">
      <c r="A6543" s="40">
        <v>43356</v>
      </c>
      <c r="B6543" s="38">
        <v>-12</v>
      </c>
      <c r="C6543" s="13" t="s">
        <v>556</v>
      </c>
      <c r="D6543" s="36">
        <v>5283.46</v>
      </c>
      <c r="E6543" s="43" t="s">
        <v>3596</v>
      </c>
    </row>
    <row r="6544" spans="1:5" x14ac:dyDescent="0.35">
      <c r="A6544" s="40">
        <v>43356</v>
      </c>
      <c r="B6544" s="38">
        <v>-23.7</v>
      </c>
      <c r="C6544" s="13" t="s">
        <v>559</v>
      </c>
      <c r="D6544" s="36">
        <v>5506.11</v>
      </c>
      <c r="E6544" s="43" t="s">
        <v>3596</v>
      </c>
    </row>
    <row r="6545" spans="1:5" x14ac:dyDescent="0.35">
      <c r="A6545" s="40">
        <v>43356</v>
      </c>
      <c r="B6545" s="38">
        <v>-16</v>
      </c>
      <c r="C6545" s="13" t="s">
        <v>557</v>
      </c>
      <c r="D6545" s="36">
        <v>5345.46</v>
      </c>
      <c r="E6545" s="43" t="s">
        <v>3596</v>
      </c>
    </row>
    <row r="6546" spans="1:5" x14ac:dyDescent="0.35">
      <c r="A6546" s="40">
        <v>43356</v>
      </c>
      <c r="B6546" s="38">
        <v>-41.11</v>
      </c>
      <c r="C6546" s="13" t="s">
        <v>558</v>
      </c>
      <c r="D6546" s="36">
        <v>5361.46</v>
      </c>
      <c r="E6546" s="43" t="s">
        <v>3596</v>
      </c>
    </row>
    <row r="6547" spans="1:5" x14ac:dyDescent="0.35">
      <c r="A6547" s="40">
        <v>43356</v>
      </c>
      <c r="B6547" s="38">
        <v>-30.45</v>
      </c>
      <c r="C6547" s="13" t="s">
        <v>558</v>
      </c>
      <c r="D6547" s="36">
        <v>5402.57</v>
      </c>
      <c r="E6547" s="43" t="s">
        <v>3596</v>
      </c>
    </row>
    <row r="6548" spans="1:5" x14ac:dyDescent="0.35">
      <c r="A6548" s="40">
        <v>43356</v>
      </c>
      <c r="B6548" s="38">
        <v>-21.32</v>
      </c>
      <c r="C6548" s="13" t="s">
        <v>558</v>
      </c>
      <c r="D6548" s="36">
        <v>5433.02</v>
      </c>
      <c r="E6548" s="43" t="s">
        <v>3596</v>
      </c>
    </row>
    <row r="6549" spans="1:5" x14ac:dyDescent="0.35">
      <c r="A6549" s="40">
        <v>43356</v>
      </c>
      <c r="B6549" s="38">
        <v>-41.11</v>
      </c>
      <c r="C6549" s="13" t="s">
        <v>558</v>
      </c>
      <c r="D6549" s="36">
        <v>5454.34</v>
      </c>
      <c r="E6549" s="43" t="s">
        <v>3596</v>
      </c>
    </row>
    <row r="6550" spans="1:5" x14ac:dyDescent="0.35">
      <c r="A6550" s="40">
        <v>43356</v>
      </c>
      <c r="B6550" s="38">
        <v>-10.66</v>
      </c>
      <c r="C6550" s="13" t="s">
        <v>558</v>
      </c>
      <c r="D6550" s="36">
        <v>5495.45</v>
      </c>
      <c r="E6550" s="43" t="s">
        <v>3596</v>
      </c>
    </row>
    <row r="6551" spans="1:5" x14ac:dyDescent="0.35">
      <c r="A6551" s="40">
        <v>43356</v>
      </c>
      <c r="B6551" s="38">
        <v>-73</v>
      </c>
      <c r="C6551" s="13" t="s">
        <v>37</v>
      </c>
      <c r="D6551" s="36">
        <v>5210.46</v>
      </c>
      <c r="E6551" s="43" t="s">
        <v>3596</v>
      </c>
    </row>
    <row r="6552" spans="1:5" x14ac:dyDescent="0.35">
      <c r="A6552" s="40">
        <v>43356</v>
      </c>
      <c r="B6552" s="38">
        <v>-130</v>
      </c>
      <c r="C6552" s="13" t="s">
        <v>555</v>
      </c>
      <c r="D6552" s="36">
        <v>5080.46</v>
      </c>
      <c r="E6552" s="43" t="s">
        <v>3596</v>
      </c>
    </row>
    <row r="6553" spans="1:5" x14ac:dyDescent="0.35">
      <c r="A6553" s="40">
        <v>43355</v>
      </c>
      <c r="B6553" s="38">
        <v>1071.02</v>
      </c>
      <c r="C6553" s="13" t="s">
        <v>10</v>
      </c>
      <c r="D6553" s="36">
        <v>5529.81</v>
      </c>
      <c r="E6553" s="43" t="s">
        <v>3596</v>
      </c>
    </row>
    <row r="6554" spans="1:5" x14ac:dyDescent="0.35">
      <c r="A6554" s="40">
        <v>43355</v>
      </c>
      <c r="B6554" s="38">
        <v>-44.63</v>
      </c>
      <c r="C6554" s="13" t="s">
        <v>560</v>
      </c>
      <c r="D6554" s="36">
        <v>4482.17</v>
      </c>
      <c r="E6554" s="43" t="s">
        <v>3596</v>
      </c>
    </row>
    <row r="6555" spans="1:5" x14ac:dyDescent="0.35">
      <c r="A6555" s="40">
        <v>43355</v>
      </c>
      <c r="B6555" s="38">
        <v>-30.9</v>
      </c>
      <c r="C6555" s="13" t="s">
        <v>561</v>
      </c>
      <c r="D6555" s="36">
        <v>4526.8</v>
      </c>
      <c r="E6555" s="43" t="s">
        <v>3596</v>
      </c>
    </row>
    <row r="6556" spans="1:5" x14ac:dyDescent="0.35">
      <c r="A6556" s="40">
        <v>43355</v>
      </c>
      <c r="B6556" s="38">
        <v>-8.48</v>
      </c>
      <c r="C6556" s="13" t="s">
        <v>525</v>
      </c>
      <c r="D6556" s="36">
        <v>4458.79</v>
      </c>
      <c r="E6556" s="43" t="s">
        <v>3596</v>
      </c>
    </row>
    <row r="6557" spans="1:5" x14ac:dyDescent="0.35">
      <c r="A6557" s="40">
        <v>43355</v>
      </c>
      <c r="B6557" s="38">
        <v>-14.9</v>
      </c>
      <c r="C6557" s="13" t="s">
        <v>534</v>
      </c>
      <c r="D6557" s="36">
        <v>4467.2700000000004</v>
      </c>
      <c r="E6557" s="43" t="s">
        <v>3596</v>
      </c>
    </row>
    <row r="6558" spans="1:5" x14ac:dyDescent="0.35">
      <c r="A6558" s="40">
        <v>43355</v>
      </c>
      <c r="B6558" s="38">
        <v>-9.5</v>
      </c>
      <c r="C6558" s="13" t="s">
        <v>562</v>
      </c>
      <c r="D6558" s="36">
        <v>4557.7</v>
      </c>
      <c r="E6558" s="43" t="s">
        <v>3596</v>
      </c>
    </row>
    <row r="6559" spans="1:5" x14ac:dyDescent="0.35">
      <c r="A6559" s="40">
        <v>43355</v>
      </c>
      <c r="B6559" s="38">
        <v>-19</v>
      </c>
      <c r="C6559" s="13" t="s">
        <v>562</v>
      </c>
      <c r="D6559" s="36">
        <v>4567.2</v>
      </c>
      <c r="E6559" s="43" t="s">
        <v>3596</v>
      </c>
    </row>
    <row r="6560" spans="1:5" x14ac:dyDescent="0.35">
      <c r="A6560" s="40">
        <v>43355</v>
      </c>
      <c r="B6560" s="38">
        <v>-9.5</v>
      </c>
      <c r="C6560" s="13" t="s">
        <v>562</v>
      </c>
      <c r="D6560" s="36">
        <v>4586.2</v>
      </c>
      <c r="E6560" s="43" t="s">
        <v>3596</v>
      </c>
    </row>
    <row r="6561" spans="1:5" x14ac:dyDescent="0.35">
      <c r="A6561" s="40">
        <v>43354</v>
      </c>
      <c r="B6561" s="38">
        <v>-9.1999999999999993</v>
      </c>
      <c r="C6561" s="13" t="s">
        <v>565</v>
      </c>
      <c r="D6561" s="36">
        <v>4649.49</v>
      </c>
      <c r="E6561" s="43" t="s">
        <v>3596</v>
      </c>
    </row>
    <row r="6562" spans="1:5" x14ac:dyDescent="0.35">
      <c r="A6562" s="40">
        <v>43354</v>
      </c>
      <c r="B6562" s="38">
        <v>-43.79</v>
      </c>
      <c r="C6562" s="13" t="s">
        <v>563</v>
      </c>
      <c r="D6562" s="36">
        <v>4595.7</v>
      </c>
      <c r="E6562" s="43" t="s">
        <v>3596</v>
      </c>
    </row>
    <row r="6563" spans="1:5" x14ac:dyDescent="0.35">
      <c r="A6563" s="40">
        <v>43354</v>
      </c>
      <c r="B6563" s="38">
        <v>-27</v>
      </c>
      <c r="C6563" s="13" t="s">
        <v>566</v>
      </c>
      <c r="D6563" s="36">
        <v>4658.6899999999996</v>
      </c>
      <c r="E6563" s="43" t="s">
        <v>3596</v>
      </c>
    </row>
    <row r="6564" spans="1:5" x14ac:dyDescent="0.35">
      <c r="A6564" s="40">
        <v>43354</v>
      </c>
      <c r="B6564" s="38">
        <v>-10</v>
      </c>
      <c r="C6564" s="13" t="s">
        <v>564</v>
      </c>
      <c r="D6564" s="36">
        <v>4639.49</v>
      </c>
      <c r="E6564" s="43" t="s">
        <v>3596</v>
      </c>
    </row>
    <row r="6565" spans="1:5" x14ac:dyDescent="0.35">
      <c r="A6565" s="40">
        <v>43353</v>
      </c>
      <c r="B6565" s="38">
        <v>-70</v>
      </c>
      <c r="C6565" s="13" t="s">
        <v>1726</v>
      </c>
      <c r="D6565" s="36">
        <v>4685.6899999999996</v>
      </c>
      <c r="E6565" s="43" t="s">
        <v>3596</v>
      </c>
    </row>
    <row r="6566" spans="1:5" x14ac:dyDescent="0.35">
      <c r="A6566" s="40">
        <v>43353</v>
      </c>
      <c r="B6566" s="38">
        <v>-20.100000000000001</v>
      </c>
      <c r="C6566" s="13" t="s">
        <v>567</v>
      </c>
      <c r="D6566" s="36">
        <v>4755.6899999999996</v>
      </c>
      <c r="E6566" s="43" t="s">
        <v>3596</v>
      </c>
    </row>
    <row r="6567" spans="1:5" x14ac:dyDescent="0.35">
      <c r="A6567" s="40">
        <v>43351</v>
      </c>
      <c r="B6567" s="38">
        <v>-515</v>
      </c>
      <c r="C6567" s="13" t="s">
        <v>949</v>
      </c>
      <c r="D6567" s="36">
        <v>4775.79</v>
      </c>
      <c r="E6567" s="43" t="s">
        <v>3596</v>
      </c>
    </row>
    <row r="6568" spans="1:5" x14ac:dyDescent="0.35">
      <c r="A6568" s="40">
        <v>43351</v>
      </c>
      <c r="B6568" s="38">
        <v>-100</v>
      </c>
      <c r="C6568" s="13" t="s">
        <v>946</v>
      </c>
      <c r="D6568" s="36">
        <v>5290.79</v>
      </c>
      <c r="E6568" s="43" t="s">
        <v>3596</v>
      </c>
    </row>
    <row r="6569" spans="1:5" x14ac:dyDescent="0.35">
      <c r="A6569" s="40">
        <v>43350</v>
      </c>
      <c r="B6569" s="38">
        <v>-50</v>
      </c>
      <c r="C6569" s="13" t="s">
        <v>1723</v>
      </c>
      <c r="D6569" s="36">
        <v>5414.79</v>
      </c>
      <c r="E6569" s="43" t="s">
        <v>3596</v>
      </c>
    </row>
    <row r="6570" spans="1:5" x14ac:dyDescent="0.35">
      <c r="A6570" s="40">
        <v>43350</v>
      </c>
      <c r="B6570" s="38">
        <v>-7</v>
      </c>
      <c r="C6570" s="13" t="s">
        <v>568</v>
      </c>
      <c r="D6570" s="36">
        <v>5464.79</v>
      </c>
      <c r="E6570" s="43" t="s">
        <v>3596</v>
      </c>
    </row>
    <row r="6571" spans="1:5" x14ac:dyDescent="0.35">
      <c r="A6571" s="40">
        <v>43350</v>
      </c>
      <c r="B6571" s="38">
        <v>-24</v>
      </c>
      <c r="C6571" s="13" t="s">
        <v>468</v>
      </c>
      <c r="D6571" s="36">
        <v>5390.79</v>
      </c>
      <c r="E6571" s="43" t="s">
        <v>3596</v>
      </c>
    </row>
    <row r="6572" spans="1:5" x14ac:dyDescent="0.35">
      <c r="A6572" s="40">
        <v>43349</v>
      </c>
      <c r="B6572" s="38">
        <v>-9.35</v>
      </c>
      <c r="C6572" s="13" t="s">
        <v>3632</v>
      </c>
      <c r="D6572" s="36">
        <v>5487.69</v>
      </c>
      <c r="E6572" s="43" t="s">
        <v>3596</v>
      </c>
    </row>
    <row r="6573" spans="1:5" x14ac:dyDescent="0.35">
      <c r="A6573" s="40">
        <v>43349</v>
      </c>
      <c r="B6573" s="38">
        <v>-50</v>
      </c>
      <c r="C6573" s="13" t="s">
        <v>570</v>
      </c>
      <c r="D6573" s="36">
        <v>5497.04</v>
      </c>
      <c r="E6573" s="43" t="s">
        <v>3596</v>
      </c>
    </row>
    <row r="6574" spans="1:5" x14ac:dyDescent="0.35">
      <c r="A6574" s="40">
        <v>43349</v>
      </c>
      <c r="B6574" s="38">
        <v>-15.9</v>
      </c>
      <c r="C6574" s="13" t="s">
        <v>569</v>
      </c>
      <c r="D6574" s="36">
        <v>5471.79</v>
      </c>
      <c r="E6574" s="43" t="s">
        <v>3596</v>
      </c>
    </row>
    <row r="6575" spans="1:5" x14ac:dyDescent="0.35">
      <c r="A6575" s="40">
        <v>43348</v>
      </c>
      <c r="B6575" s="38">
        <v>1080.25</v>
      </c>
      <c r="C6575" s="13" t="s">
        <v>10</v>
      </c>
      <c r="D6575" s="36">
        <v>5547.04</v>
      </c>
      <c r="E6575" s="43" t="s">
        <v>3596</v>
      </c>
    </row>
    <row r="6576" spans="1:5" x14ac:dyDescent="0.35">
      <c r="A6576" s="40">
        <v>43348</v>
      </c>
      <c r="B6576" s="38">
        <v>-17.8</v>
      </c>
      <c r="C6576" s="13" t="s">
        <v>572</v>
      </c>
      <c r="D6576" s="36">
        <v>4496.8500000000004</v>
      </c>
      <c r="E6576" s="43" t="s">
        <v>3596</v>
      </c>
    </row>
    <row r="6577" spans="1:5" x14ac:dyDescent="0.35">
      <c r="A6577" s="40">
        <v>43348</v>
      </c>
      <c r="B6577" s="38">
        <v>-30.06</v>
      </c>
      <c r="C6577" s="13" t="s">
        <v>571</v>
      </c>
      <c r="D6577" s="36">
        <v>4466.79</v>
      </c>
      <c r="E6577" s="43" t="s">
        <v>3596</v>
      </c>
    </row>
    <row r="6578" spans="1:5" x14ac:dyDescent="0.35">
      <c r="A6578" s="40">
        <v>43348</v>
      </c>
      <c r="B6578" s="38">
        <v>-12.95</v>
      </c>
      <c r="C6578" s="13" t="s">
        <v>574</v>
      </c>
      <c r="D6578" s="36">
        <v>4574.6499999999996</v>
      </c>
      <c r="E6578" s="43" t="s">
        <v>3596</v>
      </c>
    </row>
    <row r="6579" spans="1:5" x14ac:dyDescent="0.35">
      <c r="A6579" s="40">
        <v>43348</v>
      </c>
      <c r="B6579" s="38">
        <v>-13.9</v>
      </c>
      <c r="C6579" s="13" t="s">
        <v>575</v>
      </c>
      <c r="D6579" s="36">
        <v>4587.6000000000004</v>
      </c>
      <c r="E6579" s="43" t="s">
        <v>3596</v>
      </c>
    </row>
    <row r="6580" spans="1:5" x14ac:dyDescent="0.35">
      <c r="A6580" s="40">
        <v>43348</v>
      </c>
      <c r="B6580" s="38">
        <v>-60</v>
      </c>
      <c r="C6580" s="13" t="s">
        <v>573</v>
      </c>
      <c r="D6580" s="36">
        <v>4514.6499999999996</v>
      </c>
      <c r="E6580" s="43" t="s">
        <v>3596</v>
      </c>
    </row>
    <row r="6581" spans="1:5" x14ac:dyDescent="0.35">
      <c r="A6581" s="40">
        <v>43347</v>
      </c>
      <c r="B6581" s="38">
        <v>-7.2</v>
      </c>
      <c r="C6581" s="13" t="s">
        <v>578</v>
      </c>
      <c r="D6581" s="36">
        <v>4636.1000000000004</v>
      </c>
      <c r="E6581" s="43" t="s">
        <v>3596</v>
      </c>
    </row>
    <row r="6582" spans="1:5" x14ac:dyDescent="0.35">
      <c r="A6582" s="40">
        <v>43347</v>
      </c>
      <c r="B6582" s="38">
        <v>-17</v>
      </c>
      <c r="C6582" s="13" t="s">
        <v>576</v>
      </c>
      <c r="D6582" s="36">
        <v>4601.5</v>
      </c>
      <c r="E6582" s="43" t="s">
        <v>3596</v>
      </c>
    </row>
    <row r="6583" spans="1:5" x14ac:dyDescent="0.35">
      <c r="A6583" s="40">
        <v>43347</v>
      </c>
      <c r="B6583" s="38">
        <v>-17.600000000000001</v>
      </c>
      <c r="C6583" s="13" t="s">
        <v>577</v>
      </c>
      <c r="D6583" s="36">
        <v>4618.5</v>
      </c>
      <c r="E6583" s="43" t="s">
        <v>3596</v>
      </c>
    </row>
    <row r="6584" spans="1:5" x14ac:dyDescent="0.35">
      <c r="A6584" s="40">
        <v>43346</v>
      </c>
      <c r="B6584" s="38">
        <v>-12.5</v>
      </c>
      <c r="C6584" s="13" t="s">
        <v>3620</v>
      </c>
      <c r="D6584" s="36">
        <v>5004.7</v>
      </c>
      <c r="E6584" s="43" t="s">
        <v>3596</v>
      </c>
    </row>
    <row r="6585" spans="1:5" x14ac:dyDescent="0.35">
      <c r="A6585" s="40">
        <v>43346</v>
      </c>
      <c r="B6585" s="38">
        <v>-166.4</v>
      </c>
      <c r="C6585" s="13" t="s">
        <v>581</v>
      </c>
      <c r="D6585" s="36">
        <v>4838.3</v>
      </c>
      <c r="E6585" s="43" t="s">
        <v>3596</v>
      </c>
    </row>
    <row r="6586" spans="1:5" x14ac:dyDescent="0.35">
      <c r="A6586" s="40">
        <v>43346</v>
      </c>
      <c r="B6586" s="38">
        <v>-65</v>
      </c>
      <c r="C6586" s="13" t="s">
        <v>580</v>
      </c>
      <c r="D6586" s="36">
        <v>4773.3</v>
      </c>
      <c r="E6586" s="43" t="s">
        <v>3596</v>
      </c>
    </row>
    <row r="6587" spans="1:5" x14ac:dyDescent="0.35">
      <c r="A6587" s="40">
        <v>43346</v>
      </c>
      <c r="B6587" s="38">
        <v>-130</v>
      </c>
      <c r="C6587" s="13" t="s">
        <v>579</v>
      </c>
      <c r="D6587" s="36">
        <v>4643.3</v>
      </c>
      <c r="E6587" s="43" t="s">
        <v>3596</v>
      </c>
    </row>
    <row r="6588" spans="1:5" x14ac:dyDescent="0.35">
      <c r="A6588" s="40">
        <v>43344</v>
      </c>
      <c r="B6588" s="38">
        <v>-515</v>
      </c>
      <c r="C6588" s="13" t="s">
        <v>949</v>
      </c>
      <c r="D6588" s="36">
        <v>5040.68</v>
      </c>
      <c r="E6588" s="43" t="s">
        <v>3596</v>
      </c>
    </row>
    <row r="6589" spans="1:5" x14ac:dyDescent="0.35">
      <c r="A6589" s="40">
        <v>43344</v>
      </c>
      <c r="B6589" s="38">
        <v>-13.49</v>
      </c>
      <c r="C6589" s="13" t="s">
        <v>582</v>
      </c>
      <c r="D6589" s="36">
        <v>5017.2</v>
      </c>
      <c r="E6589" s="43" t="s">
        <v>3596</v>
      </c>
    </row>
    <row r="6590" spans="1:5" x14ac:dyDescent="0.35">
      <c r="A6590" s="40">
        <v>43344</v>
      </c>
      <c r="B6590" s="38">
        <v>-9.99</v>
      </c>
      <c r="C6590" s="13" t="s">
        <v>583</v>
      </c>
      <c r="D6590" s="36">
        <v>5030.6899999999996</v>
      </c>
      <c r="E6590" s="43" t="s">
        <v>3596</v>
      </c>
    </row>
    <row r="6591" spans="1:5" x14ac:dyDescent="0.35">
      <c r="A6591" s="40">
        <v>43344</v>
      </c>
      <c r="B6591" s="38">
        <v>-100</v>
      </c>
      <c r="C6591" s="13" t="s">
        <v>946</v>
      </c>
      <c r="D6591" s="36">
        <v>5555.68</v>
      </c>
      <c r="E6591" s="43" t="s">
        <v>3596</v>
      </c>
    </row>
    <row r="6592" spans="1:5" x14ac:dyDescent="0.35">
      <c r="A6592" s="40">
        <v>43343</v>
      </c>
      <c r="B6592" s="38">
        <v>-13.35</v>
      </c>
      <c r="C6592" s="13" t="s">
        <v>3633</v>
      </c>
      <c r="D6592" s="36">
        <v>5727.88</v>
      </c>
      <c r="E6592" s="43" t="s">
        <v>3596</v>
      </c>
    </row>
    <row r="6593" spans="1:5" x14ac:dyDescent="0.35">
      <c r="A6593" s="40">
        <v>43343</v>
      </c>
      <c r="B6593" s="38">
        <v>-41.6</v>
      </c>
      <c r="C6593" s="13" t="s">
        <v>584</v>
      </c>
      <c r="D6593" s="36">
        <v>5655.68</v>
      </c>
      <c r="E6593" s="43" t="s">
        <v>3596</v>
      </c>
    </row>
    <row r="6594" spans="1:5" x14ac:dyDescent="0.35">
      <c r="A6594" s="40">
        <v>43343</v>
      </c>
      <c r="B6594" s="38">
        <v>-30.6</v>
      </c>
      <c r="C6594" s="13" t="s">
        <v>585</v>
      </c>
      <c r="D6594" s="36">
        <v>5697.28</v>
      </c>
      <c r="E6594" s="43" t="s">
        <v>3596</v>
      </c>
    </row>
    <row r="6595" spans="1:5" x14ac:dyDescent="0.35">
      <c r="A6595" s="40">
        <v>43342</v>
      </c>
      <c r="B6595" s="38">
        <v>-11.8</v>
      </c>
      <c r="C6595" s="13" t="s">
        <v>3634</v>
      </c>
      <c r="D6595" s="36">
        <v>5789.57</v>
      </c>
      <c r="E6595" s="43" t="s">
        <v>3596</v>
      </c>
    </row>
    <row r="6596" spans="1:5" x14ac:dyDescent="0.35">
      <c r="A6596" s="40">
        <v>43342</v>
      </c>
      <c r="B6596" s="38">
        <v>-19.09</v>
      </c>
      <c r="C6596" s="13" t="s">
        <v>588</v>
      </c>
      <c r="D6596" s="36">
        <v>5770.48</v>
      </c>
      <c r="E6596" s="43" t="s">
        <v>3596</v>
      </c>
    </row>
    <row r="6597" spans="1:5" x14ac:dyDescent="0.35">
      <c r="A6597" s="40">
        <v>43342</v>
      </c>
      <c r="B6597" s="38">
        <v>-13.15</v>
      </c>
      <c r="C6597" s="13" t="s">
        <v>587</v>
      </c>
      <c r="D6597" s="36">
        <v>5757.33</v>
      </c>
      <c r="E6597" s="43" t="s">
        <v>3596</v>
      </c>
    </row>
    <row r="6598" spans="1:5" x14ac:dyDescent="0.35">
      <c r="A6598" s="40">
        <v>43342</v>
      </c>
      <c r="B6598" s="38">
        <v>-16.100000000000001</v>
      </c>
      <c r="C6598" s="13" t="s">
        <v>586</v>
      </c>
      <c r="D6598" s="36">
        <v>5741.23</v>
      </c>
      <c r="E6598" s="43" t="s">
        <v>3596</v>
      </c>
    </row>
    <row r="6599" spans="1:5" x14ac:dyDescent="0.35">
      <c r="A6599" s="40">
        <v>43341</v>
      </c>
      <c r="B6599" s="38">
        <v>-6</v>
      </c>
      <c r="C6599" s="13" t="s">
        <v>589</v>
      </c>
      <c r="D6599" s="36">
        <v>4598.3500000000004</v>
      </c>
      <c r="E6599" s="43" t="s">
        <v>3596</v>
      </c>
    </row>
    <row r="6600" spans="1:5" x14ac:dyDescent="0.35">
      <c r="A6600" s="40">
        <v>43341</v>
      </c>
      <c r="B6600" s="38">
        <v>-20.16</v>
      </c>
      <c r="C6600" s="13" t="s">
        <v>590</v>
      </c>
      <c r="D6600" s="36">
        <v>4604.3500000000004</v>
      </c>
      <c r="E6600" s="43" t="s">
        <v>3596</v>
      </c>
    </row>
    <row r="6601" spans="1:5" x14ac:dyDescent="0.35">
      <c r="A6601" s="40">
        <v>43341</v>
      </c>
      <c r="B6601" s="38">
        <v>1203.02</v>
      </c>
      <c r="C6601" s="13" t="s">
        <v>10</v>
      </c>
      <c r="D6601" s="36">
        <v>5801.37</v>
      </c>
      <c r="E6601" s="43" t="s">
        <v>3596</v>
      </c>
    </row>
    <row r="6602" spans="1:5" x14ac:dyDescent="0.35">
      <c r="A6602" s="40">
        <v>43340</v>
      </c>
      <c r="B6602" s="38">
        <v>-17</v>
      </c>
      <c r="C6602" s="13" t="s">
        <v>591</v>
      </c>
      <c r="D6602" s="36">
        <v>4624.51</v>
      </c>
      <c r="E6602" s="43" t="s">
        <v>3596</v>
      </c>
    </row>
    <row r="6603" spans="1:5" x14ac:dyDescent="0.35">
      <c r="A6603" s="40">
        <v>43340</v>
      </c>
      <c r="B6603" s="38">
        <v>-13.05</v>
      </c>
      <c r="C6603" s="13" t="s">
        <v>592</v>
      </c>
      <c r="D6603" s="36">
        <v>4641.51</v>
      </c>
      <c r="E6603" s="43" t="s">
        <v>3596</v>
      </c>
    </row>
    <row r="6604" spans="1:5" x14ac:dyDescent="0.35">
      <c r="A6604" s="40">
        <v>43340</v>
      </c>
      <c r="B6604" s="38">
        <v>-6.05</v>
      </c>
      <c r="C6604" s="13" t="s">
        <v>594</v>
      </c>
      <c r="D6604" s="36">
        <v>4681.67</v>
      </c>
      <c r="E6604" s="43" t="s">
        <v>3596</v>
      </c>
    </row>
    <row r="6605" spans="1:5" x14ac:dyDescent="0.35">
      <c r="A6605" s="40">
        <v>43340</v>
      </c>
      <c r="B6605" s="38">
        <v>-27.11</v>
      </c>
      <c r="C6605" s="13" t="s">
        <v>593</v>
      </c>
      <c r="D6605" s="36">
        <v>4654.5600000000004</v>
      </c>
      <c r="E6605" s="43" t="s">
        <v>3596</v>
      </c>
    </row>
    <row r="6606" spans="1:5" x14ac:dyDescent="0.35">
      <c r="A6606" s="40">
        <v>43339</v>
      </c>
      <c r="B6606" s="38">
        <v>-13.5</v>
      </c>
      <c r="C6606" s="13" t="s">
        <v>595</v>
      </c>
      <c r="D6606" s="36">
        <v>4687.72</v>
      </c>
      <c r="E6606" s="43" t="s">
        <v>3596</v>
      </c>
    </row>
    <row r="6607" spans="1:5" x14ac:dyDescent="0.35">
      <c r="A6607" s="40">
        <v>43337</v>
      </c>
      <c r="B6607" s="38">
        <v>-50</v>
      </c>
      <c r="C6607" s="13" t="s">
        <v>1714</v>
      </c>
      <c r="D6607" s="36">
        <v>4701.22</v>
      </c>
      <c r="E6607" s="43" t="s">
        <v>3596</v>
      </c>
    </row>
    <row r="6608" spans="1:5" x14ac:dyDescent="0.35">
      <c r="A6608" s="40">
        <v>43337</v>
      </c>
      <c r="B6608" s="38">
        <v>-50</v>
      </c>
      <c r="C6608" s="13" t="s">
        <v>601</v>
      </c>
      <c r="D6608" s="36">
        <v>5714.54</v>
      </c>
      <c r="E6608" s="43" t="s">
        <v>3596</v>
      </c>
    </row>
    <row r="6609" spans="1:5" x14ac:dyDescent="0.35">
      <c r="A6609" s="40">
        <v>43337</v>
      </c>
      <c r="B6609" s="38">
        <v>-17</v>
      </c>
      <c r="C6609" s="13" t="s">
        <v>599</v>
      </c>
      <c r="D6609" s="36">
        <v>5687.04</v>
      </c>
      <c r="E6609" s="43" t="s">
        <v>3596</v>
      </c>
    </row>
    <row r="6610" spans="1:5" x14ac:dyDescent="0.35">
      <c r="A6610" s="40">
        <v>43337</v>
      </c>
      <c r="B6610" s="38">
        <v>-515</v>
      </c>
      <c r="C6610" s="13" t="s">
        <v>949</v>
      </c>
      <c r="D6610" s="36">
        <v>4751.22</v>
      </c>
      <c r="E6610" s="43" t="s">
        <v>3596</v>
      </c>
    </row>
    <row r="6611" spans="1:5" x14ac:dyDescent="0.35">
      <c r="A6611" s="40">
        <v>43337</v>
      </c>
      <c r="B6611" s="38">
        <v>-8.18</v>
      </c>
      <c r="C6611" s="13" t="s">
        <v>597</v>
      </c>
      <c r="D6611" s="36">
        <v>5406.23</v>
      </c>
      <c r="E6611" s="43" t="s">
        <v>3596</v>
      </c>
    </row>
    <row r="6612" spans="1:5" x14ac:dyDescent="0.35">
      <c r="A6612" s="40">
        <v>43337</v>
      </c>
      <c r="B6612" s="38">
        <v>-100</v>
      </c>
      <c r="C6612" s="13" t="s">
        <v>946</v>
      </c>
      <c r="D6612" s="36">
        <v>5266.22</v>
      </c>
      <c r="E6612" s="43" t="s">
        <v>3596</v>
      </c>
    </row>
    <row r="6613" spans="1:5" x14ac:dyDescent="0.35">
      <c r="A6613" s="40">
        <v>43337</v>
      </c>
      <c r="B6613" s="38">
        <v>-272.63</v>
      </c>
      <c r="C6613" s="13" t="s">
        <v>598</v>
      </c>
      <c r="D6613" s="36">
        <v>5414.41</v>
      </c>
      <c r="E6613" s="43" t="s">
        <v>3596</v>
      </c>
    </row>
    <row r="6614" spans="1:5" x14ac:dyDescent="0.35">
      <c r="A6614" s="40">
        <v>43337</v>
      </c>
      <c r="B6614" s="38">
        <v>-7</v>
      </c>
      <c r="C6614" s="13" t="s">
        <v>600</v>
      </c>
      <c r="D6614" s="36">
        <v>5704.04</v>
      </c>
      <c r="E6614" s="43" t="s">
        <v>3596</v>
      </c>
    </row>
    <row r="6615" spans="1:5" x14ac:dyDescent="0.35">
      <c r="A6615" s="40">
        <v>43337</v>
      </c>
      <c r="B6615" s="38">
        <v>-3.5</v>
      </c>
      <c r="C6615" s="13" t="s">
        <v>600</v>
      </c>
      <c r="D6615" s="36">
        <v>5711.04</v>
      </c>
      <c r="E6615" s="43" t="s">
        <v>3596</v>
      </c>
    </row>
    <row r="6616" spans="1:5" x14ac:dyDescent="0.35">
      <c r="A6616" s="40">
        <v>43337</v>
      </c>
      <c r="B6616" s="38">
        <v>-40.01</v>
      </c>
      <c r="C6616" s="13" t="s">
        <v>596</v>
      </c>
      <c r="D6616" s="36">
        <v>5366.22</v>
      </c>
      <c r="E6616" s="43" t="s">
        <v>3596</v>
      </c>
    </row>
    <row r="6617" spans="1:5" x14ac:dyDescent="0.35">
      <c r="A6617" s="40">
        <v>43336</v>
      </c>
      <c r="B6617" s="38">
        <v>-46.5</v>
      </c>
      <c r="C6617" s="13" t="s">
        <v>603</v>
      </c>
      <c r="D6617" s="36">
        <v>5779.54</v>
      </c>
      <c r="E6617" s="43" t="s">
        <v>3596</v>
      </c>
    </row>
    <row r="6618" spans="1:5" x14ac:dyDescent="0.35">
      <c r="A6618" s="40">
        <v>43336</v>
      </c>
      <c r="B6618" s="38">
        <v>-15</v>
      </c>
      <c r="C6618" s="13" t="s">
        <v>602</v>
      </c>
      <c r="D6618" s="36">
        <v>5764.54</v>
      </c>
      <c r="E6618" s="43" t="s">
        <v>3596</v>
      </c>
    </row>
    <row r="6619" spans="1:5" x14ac:dyDescent="0.35">
      <c r="A6619" s="40">
        <v>43335</v>
      </c>
      <c r="B6619" s="38">
        <v>-12.1</v>
      </c>
      <c r="C6619" s="13" t="s">
        <v>3635</v>
      </c>
      <c r="D6619" s="36">
        <v>6042.54</v>
      </c>
      <c r="E6619" s="43" t="s">
        <v>3596</v>
      </c>
    </row>
    <row r="6620" spans="1:5" x14ac:dyDescent="0.35">
      <c r="A6620" s="40">
        <v>43335</v>
      </c>
      <c r="B6620" s="38">
        <v>-20.45</v>
      </c>
      <c r="C6620" s="13" t="s">
        <v>609</v>
      </c>
      <c r="D6620" s="36">
        <v>6022.09</v>
      </c>
      <c r="E6620" s="43" t="s">
        <v>3596</v>
      </c>
    </row>
    <row r="6621" spans="1:5" x14ac:dyDescent="0.35">
      <c r="A6621" s="40">
        <v>43335</v>
      </c>
      <c r="B6621" s="38">
        <v>-13.6</v>
      </c>
      <c r="C6621" s="13" t="s">
        <v>607</v>
      </c>
      <c r="D6621" s="36">
        <v>5954.79</v>
      </c>
      <c r="E6621" s="43" t="s">
        <v>3596</v>
      </c>
    </row>
    <row r="6622" spans="1:5" x14ac:dyDescent="0.35">
      <c r="A6622" s="40">
        <v>43335</v>
      </c>
      <c r="B6622" s="38">
        <v>-95.55</v>
      </c>
      <c r="C6622" s="13" t="s">
        <v>605</v>
      </c>
      <c r="D6622" s="36">
        <v>5844.04</v>
      </c>
      <c r="E6622" s="43" t="s">
        <v>3596</v>
      </c>
    </row>
    <row r="6623" spans="1:5" x14ac:dyDescent="0.35">
      <c r="A6623" s="40">
        <v>43335</v>
      </c>
      <c r="B6623" s="38">
        <v>-53.7</v>
      </c>
      <c r="C6623" s="13" t="s">
        <v>608</v>
      </c>
      <c r="D6623" s="36">
        <v>5968.39</v>
      </c>
      <c r="E6623" s="43" t="s">
        <v>3596</v>
      </c>
    </row>
    <row r="6624" spans="1:5" x14ac:dyDescent="0.35">
      <c r="A6624" s="40">
        <v>43335</v>
      </c>
      <c r="B6624" s="38">
        <v>-6</v>
      </c>
      <c r="C6624" s="13" t="s">
        <v>604</v>
      </c>
      <c r="D6624" s="36">
        <v>5826.04</v>
      </c>
      <c r="E6624" s="43" t="s">
        <v>3596</v>
      </c>
    </row>
    <row r="6625" spans="1:5" x14ac:dyDescent="0.35">
      <c r="A6625" s="40">
        <v>43335</v>
      </c>
      <c r="B6625" s="38">
        <v>-6</v>
      </c>
      <c r="C6625" s="13" t="s">
        <v>604</v>
      </c>
      <c r="D6625" s="36">
        <v>5832.04</v>
      </c>
      <c r="E6625" s="43" t="s">
        <v>3596</v>
      </c>
    </row>
    <row r="6626" spans="1:5" x14ac:dyDescent="0.35">
      <c r="A6626" s="40">
        <v>43335</v>
      </c>
      <c r="B6626" s="38">
        <v>-6</v>
      </c>
      <c r="C6626" s="13" t="s">
        <v>604</v>
      </c>
      <c r="D6626" s="36">
        <v>5838.04</v>
      </c>
      <c r="E6626" s="43" t="s">
        <v>3596</v>
      </c>
    </row>
    <row r="6627" spans="1:5" x14ac:dyDescent="0.35">
      <c r="A6627" s="40">
        <v>43335</v>
      </c>
      <c r="B6627" s="38">
        <v>-15.2</v>
      </c>
      <c r="C6627" s="13" t="s">
        <v>606</v>
      </c>
      <c r="D6627" s="36">
        <v>5939.59</v>
      </c>
      <c r="E6627" s="43" t="s">
        <v>3596</v>
      </c>
    </row>
    <row r="6628" spans="1:5" x14ac:dyDescent="0.35">
      <c r="A6628" s="40">
        <v>43334</v>
      </c>
      <c r="B6628" s="38">
        <v>-78.86</v>
      </c>
      <c r="C6628" s="13" t="s">
        <v>611</v>
      </c>
      <c r="D6628" s="36">
        <v>4969.75</v>
      </c>
      <c r="E6628" s="43" t="s">
        <v>3596</v>
      </c>
    </row>
    <row r="6629" spans="1:5" x14ac:dyDescent="0.35">
      <c r="A6629" s="40">
        <v>43334</v>
      </c>
      <c r="B6629" s="38">
        <v>-16.59</v>
      </c>
      <c r="C6629" s="13" t="s">
        <v>613</v>
      </c>
      <c r="D6629" s="36">
        <v>5129.8100000000004</v>
      </c>
      <c r="E6629" s="43" t="s">
        <v>3596</v>
      </c>
    </row>
    <row r="6630" spans="1:5" x14ac:dyDescent="0.35">
      <c r="A6630" s="40">
        <v>43334</v>
      </c>
      <c r="B6630" s="38">
        <v>1080.25</v>
      </c>
      <c r="C6630" s="13" t="s">
        <v>10</v>
      </c>
      <c r="D6630" s="36">
        <v>6040.64</v>
      </c>
      <c r="E6630" s="43" t="s">
        <v>3596</v>
      </c>
    </row>
    <row r="6631" spans="1:5" x14ac:dyDescent="0.35">
      <c r="A6631" s="40">
        <v>43334</v>
      </c>
      <c r="B6631" s="38">
        <v>-63</v>
      </c>
      <c r="C6631" s="13" t="s">
        <v>612</v>
      </c>
      <c r="D6631" s="36">
        <v>5048.6099999999997</v>
      </c>
      <c r="E6631" s="43" t="s">
        <v>3596</v>
      </c>
    </row>
    <row r="6632" spans="1:5" x14ac:dyDescent="0.35">
      <c r="A6632" s="40">
        <v>43334</v>
      </c>
      <c r="B6632" s="38">
        <v>-18.2</v>
      </c>
      <c r="C6632" s="13" t="s">
        <v>612</v>
      </c>
      <c r="D6632" s="36">
        <v>5111.6099999999997</v>
      </c>
      <c r="E6632" s="43" t="s">
        <v>3596</v>
      </c>
    </row>
    <row r="6633" spans="1:5" x14ac:dyDescent="0.35">
      <c r="A6633" s="40">
        <v>43334</v>
      </c>
      <c r="B6633" s="38">
        <v>14</v>
      </c>
      <c r="C6633" s="13" t="s">
        <v>247</v>
      </c>
      <c r="D6633" s="36">
        <v>6054.64</v>
      </c>
      <c r="E6633" s="43" t="s">
        <v>3596</v>
      </c>
    </row>
    <row r="6634" spans="1:5" x14ac:dyDescent="0.35">
      <c r="A6634" s="40">
        <v>43334</v>
      </c>
      <c r="B6634" s="38">
        <v>13.44</v>
      </c>
      <c r="C6634" s="13" t="s">
        <v>610</v>
      </c>
      <c r="D6634" s="36">
        <v>4960.3900000000003</v>
      </c>
      <c r="E6634" s="43" t="s">
        <v>3596</v>
      </c>
    </row>
    <row r="6635" spans="1:5" x14ac:dyDescent="0.35">
      <c r="A6635" s="40">
        <v>43334</v>
      </c>
      <c r="B6635" s="38">
        <v>-14.9</v>
      </c>
      <c r="C6635" s="13" t="s">
        <v>606</v>
      </c>
      <c r="D6635" s="36">
        <v>4946.95</v>
      </c>
      <c r="E6635" s="43" t="s">
        <v>3596</v>
      </c>
    </row>
    <row r="6636" spans="1:5" x14ac:dyDescent="0.35">
      <c r="A6636" s="40">
        <v>43334</v>
      </c>
      <c r="B6636" s="38">
        <v>-7.9</v>
      </c>
      <c r="C6636" s="13" t="s">
        <v>606</v>
      </c>
      <c r="D6636" s="36">
        <v>4961.8500000000004</v>
      </c>
      <c r="E6636" s="43" t="s">
        <v>3596</v>
      </c>
    </row>
    <row r="6637" spans="1:5" x14ac:dyDescent="0.35">
      <c r="A6637" s="40">
        <v>43333</v>
      </c>
      <c r="B6637" s="38">
        <v>-9.8000000000000007</v>
      </c>
      <c r="C6637" s="13" t="s">
        <v>622</v>
      </c>
      <c r="D6637" s="36">
        <v>5327.29</v>
      </c>
      <c r="E6637" s="43" t="s">
        <v>3596</v>
      </c>
    </row>
    <row r="6638" spans="1:5" x14ac:dyDescent="0.35">
      <c r="A6638" s="40">
        <v>43333</v>
      </c>
      <c r="B6638" s="38">
        <v>-75</v>
      </c>
      <c r="C6638" s="13" t="s">
        <v>621</v>
      </c>
      <c r="D6638" s="36">
        <v>5252.29</v>
      </c>
      <c r="E6638" s="43" t="s">
        <v>3596</v>
      </c>
    </row>
    <row r="6639" spans="1:5" x14ac:dyDescent="0.35">
      <c r="A6639" s="40">
        <v>43333</v>
      </c>
      <c r="B6639" s="38">
        <v>-10</v>
      </c>
      <c r="C6639" s="13" t="s">
        <v>615</v>
      </c>
      <c r="D6639" s="36">
        <v>5161.3900000000003</v>
      </c>
      <c r="E6639" s="43" t="s">
        <v>3596</v>
      </c>
    </row>
    <row r="6640" spans="1:5" x14ac:dyDescent="0.35">
      <c r="A6640" s="40">
        <v>43333</v>
      </c>
      <c r="B6640" s="38">
        <v>-10</v>
      </c>
      <c r="C6640" s="13" t="s">
        <v>620</v>
      </c>
      <c r="D6640" s="36">
        <v>5242.29</v>
      </c>
      <c r="E6640" s="43" t="s">
        <v>3596</v>
      </c>
    </row>
    <row r="6641" spans="1:5" x14ac:dyDescent="0.35">
      <c r="A6641" s="40">
        <v>43333</v>
      </c>
      <c r="B6641" s="38">
        <v>-30</v>
      </c>
      <c r="C6641" s="13" t="s">
        <v>617</v>
      </c>
      <c r="D6641" s="36">
        <v>5174.8900000000003</v>
      </c>
      <c r="E6641" s="43" t="s">
        <v>3596</v>
      </c>
    </row>
    <row r="6642" spans="1:5" x14ac:dyDescent="0.35">
      <c r="A6642" s="40">
        <v>43333</v>
      </c>
      <c r="B6642" s="38">
        <v>-3.5</v>
      </c>
      <c r="C6642" s="13" t="s">
        <v>616</v>
      </c>
      <c r="D6642" s="36">
        <v>5171.3900000000003</v>
      </c>
      <c r="E6642" s="43" t="s">
        <v>3596</v>
      </c>
    </row>
    <row r="6643" spans="1:5" x14ac:dyDescent="0.35">
      <c r="A6643" s="40">
        <v>43333</v>
      </c>
      <c r="B6643" s="38">
        <v>-25</v>
      </c>
      <c r="C6643" s="13" t="s">
        <v>618</v>
      </c>
      <c r="D6643" s="36">
        <v>5204.8900000000003</v>
      </c>
      <c r="E6643" s="43" t="s">
        <v>3596</v>
      </c>
    </row>
    <row r="6644" spans="1:5" x14ac:dyDescent="0.35">
      <c r="A6644" s="40">
        <v>43333</v>
      </c>
      <c r="B6644" s="38">
        <v>-12.4</v>
      </c>
      <c r="C6644" s="13" t="s">
        <v>619</v>
      </c>
      <c r="D6644" s="36">
        <v>5229.8900000000003</v>
      </c>
      <c r="E6644" s="43" t="s">
        <v>3596</v>
      </c>
    </row>
    <row r="6645" spans="1:5" x14ac:dyDescent="0.35">
      <c r="A6645" s="40">
        <v>43333</v>
      </c>
      <c r="B6645" s="38">
        <v>-14.99</v>
      </c>
      <c r="C6645" s="13" t="s">
        <v>614</v>
      </c>
      <c r="D6645" s="36">
        <v>5146.3999999999996</v>
      </c>
      <c r="E6645" s="43" t="s">
        <v>3596</v>
      </c>
    </row>
    <row r="6646" spans="1:5" x14ac:dyDescent="0.35">
      <c r="A6646" s="40">
        <v>43330</v>
      </c>
      <c r="B6646" s="38">
        <v>-515</v>
      </c>
      <c r="C6646" s="13" t="s">
        <v>949</v>
      </c>
      <c r="D6646" s="36">
        <v>5386.58</v>
      </c>
      <c r="E6646" s="43" t="s">
        <v>3596</v>
      </c>
    </row>
    <row r="6647" spans="1:5" x14ac:dyDescent="0.35">
      <c r="A6647" s="40">
        <v>43330</v>
      </c>
      <c r="B6647" s="38">
        <v>-100</v>
      </c>
      <c r="C6647" s="13" t="s">
        <v>946</v>
      </c>
      <c r="D6647" s="36">
        <v>5901.58</v>
      </c>
      <c r="E6647" s="43" t="s">
        <v>3596</v>
      </c>
    </row>
    <row r="6648" spans="1:5" x14ac:dyDescent="0.35">
      <c r="A6648" s="40">
        <v>43330</v>
      </c>
      <c r="B6648" s="38">
        <v>-35.99</v>
      </c>
      <c r="C6648" s="13" t="s">
        <v>623</v>
      </c>
      <c r="D6648" s="36">
        <v>5337.09</v>
      </c>
      <c r="E6648" s="43" t="s">
        <v>3596</v>
      </c>
    </row>
    <row r="6649" spans="1:5" x14ac:dyDescent="0.35">
      <c r="A6649" s="40">
        <v>43330</v>
      </c>
      <c r="B6649" s="38">
        <v>-13.5</v>
      </c>
      <c r="C6649" s="13" t="s">
        <v>624</v>
      </c>
      <c r="D6649" s="36">
        <v>5373.08</v>
      </c>
      <c r="E6649" s="43" t="s">
        <v>3596</v>
      </c>
    </row>
    <row r="6650" spans="1:5" x14ac:dyDescent="0.35">
      <c r="A6650" s="40">
        <v>43329</v>
      </c>
      <c r="B6650" s="38">
        <v>-19.45</v>
      </c>
      <c r="C6650" s="13" t="s">
        <v>625</v>
      </c>
      <c r="D6650" s="36">
        <v>6001.58</v>
      </c>
      <c r="E6650" s="43" t="s">
        <v>3596</v>
      </c>
    </row>
    <row r="6651" spans="1:5" x14ac:dyDescent="0.35">
      <c r="A6651" s="40">
        <v>43329</v>
      </c>
      <c r="B6651" s="38">
        <v>-14.9</v>
      </c>
      <c r="C6651" s="13" t="s">
        <v>626</v>
      </c>
      <c r="D6651" s="36">
        <v>6021.03</v>
      </c>
      <c r="E6651" s="43" t="s">
        <v>3596</v>
      </c>
    </row>
    <row r="6652" spans="1:5" x14ac:dyDescent="0.35">
      <c r="A6652" s="40">
        <v>43328</v>
      </c>
      <c r="B6652" s="38">
        <v>-11.5</v>
      </c>
      <c r="C6652" s="13" t="s">
        <v>629</v>
      </c>
      <c r="D6652" s="36">
        <v>6081.63</v>
      </c>
      <c r="E6652" s="43" t="s">
        <v>3596</v>
      </c>
    </row>
    <row r="6653" spans="1:5" x14ac:dyDescent="0.35">
      <c r="A6653" s="40">
        <v>43328</v>
      </c>
      <c r="B6653" s="38">
        <v>-19.7</v>
      </c>
      <c r="C6653" s="13" t="s">
        <v>3636</v>
      </c>
      <c r="D6653" s="36">
        <v>6061.93</v>
      </c>
      <c r="E6653" s="43" t="s">
        <v>3596</v>
      </c>
    </row>
    <row r="6654" spans="1:5" x14ac:dyDescent="0.35">
      <c r="A6654" s="40">
        <v>43328</v>
      </c>
      <c r="B6654" s="38">
        <v>-5.2</v>
      </c>
      <c r="C6654" s="13" t="s">
        <v>627</v>
      </c>
      <c r="D6654" s="36">
        <v>6035.93</v>
      </c>
      <c r="E6654" s="43" t="s">
        <v>3596</v>
      </c>
    </row>
    <row r="6655" spans="1:5" x14ac:dyDescent="0.35">
      <c r="A6655" s="40">
        <v>43328</v>
      </c>
      <c r="B6655" s="38">
        <v>-20.8</v>
      </c>
      <c r="C6655" s="13" t="s">
        <v>628</v>
      </c>
      <c r="D6655" s="36">
        <v>6041.13</v>
      </c>
      <c r="E6655" s="43" t="s">
        <v>3596</v>
      </c>
    </row>
    <row r="6656" spans="1:5" x14ac:dyDescent="0.35">
      <c r="A6656" s="40">
        <v>43327</v>
      </c>
      <c r="B6656" s="38">
        <v>-37.64</v>
      </c>
      <c r="C6656" s="13" t="s">
        <v>634</v>
      </c>
      <c r="D6656" s="36">
        <v>5104.2700000000004</v>
      </c>
      <c r="E6656" s="43" t="s">
        <v>3596</v>
      </c>
    </row>
    <row r="6657" spans="1:5" x14ac:dyDescent="0.35">
      <c r="A6657" s="40">
        <v>43327</v>
      </c>
      <c r="B6657" s="38">
        <v>-7.2</v>
      </c>
      <c r="C6657" s="13" t="s">
        <v>633</v>
      </c>
      <c r="D6657" s="36">
        <v>5084.57</v>
      </c>
      <c r="E6657" s="43" t="s">
        <v>3596</v>
      </c>
    </row>
    <row r="6658" spans="1:5" x14ac:dyDescent="0.35">
      <c r="A6658" s="40">
        <v>43327</v>
      </c>
      <c r="B6658" s="38">
        <v>-20.16</v>
      </c>
      <c r="C6658" s="13" t="s">
        <v>631</v>
      </c>
      <c r="D6658" s="36">
        <v>5035.6099999999997</v>
      </c>
      <c r="E6658" s="43" t="s">
        <v>3596</v>
      </c>
    </row>
    <row r="6659" spans="1:5" x14ac:dyDescent="0.35">
      <c r="A6659" s="40">
        <v>43327</v>
      </c>
      <c r="B6659" s="38">
        <v>1081.47</v>
      </c>
      <c r="C6659" s="13" t="s">
        <v>10</v>
      </c>
      <c r="D6659" s="36">
        <v>6093.13</v>
      </c>
      <c r="E6659" s="43" t="s">
        <v>3596</v>
      </c>
    </row>
    <row r="6660" spans="1:5" x14ac:dyDescent="0.35">
      <c r="A6660" s="40">
        <v>43327</v>
      </c>
      <c r="B6660" s="38">
        <v>-12.5</v>
      </c>
      <c r="C6660" s="13" t="s">
        <v>3621</v>
      </c>
      <c r="D6660" s="36">
        <v>5091.7700000000004</v>
      </c>
      <c r="E6660" s="43" t="s">
        <v>3596</v>
      </c>
    </row>
    <row r="6661" spans="1:5" x14ac:dyDescent="0.35">
      <c r="A6661" s="40">
        <v>43327</v>
      </c>
      <c r="B6661" s="38">
        <v>-28.8</v>
      </c>
      <c r="C6661" s="13" t="s">
        <v>632</v>
      </c>
      <c r="D6661" s="36">
        <v>5055.7700000000004</v>
      </c>
      <c r="E6661" s="43" t="s">
        <v>3596</v>
      </c>
    </row>
    <row r="6662" spans="1:5" x14ac:dyDescent="0.35">
      <c r="A6662" s="40">
        <v>43327</v>
      </c>
      <c r="B6662" s="38">
        <v>-23.95</v>
      </c>
      <c r="C6662" s="13" t="s">
        <v>630</v>
      </c>
      <c r="D6662" s="36">
        <v>5011.66</v>
      </c>
      <c r="E6662" s="43" t="s">
        <v>3596</v>
      </c>
    </row>
    <row r="6663" spans="1:5" x14ac:dyDescent="0.35">
      <c r="A6663" s="40">
        <v>43326</v>
      </c>
      <c r="B6663" s="38">
        <v>-3.9</v>
      </c>
      <c r="C6663" s="13" t="s">
        <v>637</v>
      </c>
      <c r="D6663" s="36">
        <v>5237.91</v>
      </c>
      <c r="E6663" s="43" t="s">
        <v>3596</v>
      </c>
    </row>
    <row r="6664" spans="1:5" x14ac:dyDescent="0.35">
      <c r="A6664" s="40">
        <v>43326</v>
      </c>
      <c r="B6664" s="38">
        <v>-17</v>
      </c>
      <c r="C6664" s="13" t="s">
        <v>636</v>
      </c>
      <c r="D6664" s="36">
        <v>5220.91</v>
      </c>
      <c r="E6664" s="43" t="s">
        <v>3596</v>
      </c>
    </row>
    <row r="6665" spans="1:5" x14ac:dyDescent="0.35">
      <c r="A6665" s="40">
        <v>43326</v>
      </c>
      <c r="B6665" s="38">
        <v>79</v>
      </c>
      <c r="C6665" s="13" t="s">
        <v>642</v>
      </c>
      <c r="D6665" s="36">
        <v>5263.95</v>
      </c>
      <c r="E6665" s="43" t="s">
        <v>3596</v>
      </c>
    </row>
    <row r="6666" spans="1:5" x14ac:dyDescent="0.35">
      <c r="A6666" s="40">
        <v>43326</v>
      </c>
      <c r="B6666" s="38">
        <v>-7.5</v>
      </c>
      <c r="C6666" s="13" t="s">
        <v>638</v>
      </c>
      <c r="D6666" s="36">
        <v>5241.8100000000004</v>
      </c>
      <c r="E6666" s="43" t="s">
        <v>3596</v>
      </c>
    </row>
    <row r="6667" spans="1:5" x14ac:dyDescent="0.35">
      <c r="A6667" s="40">
        <v>43326</v>
      </c>
      <c r="B6667" s="38">
        <v>-79</v>
      </c>
      <c r="C6667" s="13" t="s">
        <v>635</v>
      </c>
      <c r="D6667" s="36">
        <v>5141.91</v>
      </c>
      <c r="E6667" s="43" t="s">
        <v>3596</v>
      </c>
    </row>
    <row r="6668" spans="1:5" x14ac:dyDescent="0.35">
      <c r="A6668" s="40">
        <v>43326</v>
      </c>
      <c r="B6668" s="38">
        <v>-0.12</v>
      </c>
      <c r="C6668" s="13" t="s">
        <v>640</v>
      </c>
      <c r="D6668" s="36">
        <v>5259.71</v>
      </c>
      <c r="E6668" s="43" t="s">
        <v>3596</v>
      </c>
    </row>
    <row r="6669" spans="1:5" x14ac:dyDescent="0.35">
      <c r="A6669" s="40">
        <v>43326</v>
      </c>
      <c r="B6669" s="38">
        <v>-10.4</v>
      </c>
      <c r="C6669" s="13" t="s">
        <v>639</v>
      </c>
      <c r="D6669" s="36">
        <v>5249.31</v>
      </c>
      <c r="E6669" s="43" t="s">
        <v>3596</v>
      </c>
    </row>
    <row r="6670" spans="1:5" x14ac:dyDescent="0.35">
      <c r="A6670" s="40">
        <v>43326</v>
      </c>
      <c r="B6670" s="38">
        <v>-13.5</v>
      </c>
      <c r="C6670" s="13" t="s">
        <v>643</v>
      </c>
      <c r="D6670" s="36">
        <v>5184.95</v>
      </c>
      <c r="E6670" s="43" t="s">
        <v>3596</v>
      </c>
    </row>
    <row r="6671" spans="1:5" x14ac:dyDescent="0.35">
      <c r="A6671" s="40">
        <v>43326</v>
      </c>
      <c r="B6671" s="38">
        <v>-4.12</v>
      </c>
      <c r="C6671" s="13" t="s">
        <v>641</v>
      </c>
      <c r="D6671" s="36">
        <v>5259.83</v>
      </c>
      <c r="E6671" s="43" t="s">
        <v>3596</v>
      </c>
    </row>
    <row r="6672" spans="1:5" x14ac:dyDescent="0.35">
      <c r="A6672" s="40">
        <v>43323</v>
      </c>
      <c r="B6672" s="38">
        <v>-515</v>
      </c>
      <c r="C6672" s="13" t="s">
        <v>949</v>
      </c>
      <c r="D6672" s="36">
        <v>5344.45</v>
      </c>
      <c r="E6672" s="43" t="s">
        <v>3596</v>
      </c>
    </row>
    <row r="6673" spans="1:5" x14ac:dyDescent="0.35">
      <c r="A6673" s="40">
        <v>43323</v>
      </c>
      <c r="B6673" s="38">
        <v>-41</v>
      </c>
      <c r="C6673" s="13" t="s">
        <v>646</v>
      </c>
      <c r="D6673" s="36">
        <v>5303.45</v>
      </c>
      <c r="E6673" s="43" t="s">
        <v>3596</v>
      </c>
    </row>
    <row r="6674" spans="1:5" x14ac:dyDescent="0.35">
      <c r="A6674" s="40">
        <v>43323</v>
      </c>
      <c r="B6674" s="38">
        <v>-9</v>
      </c>
      <c r="C6674" s="13" t="s">
        <v>644</v>
      </c>
      <c r="D6674" s="36">
        <v>5215.45</v>
      </c>
      <c r="E6674" s="43" t="s">
        <v>3596</v>
      </c>
    </row>
    <row r="6675" spans="1:5" x14ac:dyDescent="0.35">
      <c r="A6675" s="40">
        <v>43323</v>
      </c>
      <c r="B6675" s="38">
        <v>-100</v>
      </c>
      <c r="C6675" s="13" t="s">
        <v>946</v>
      </c>
      <c r="D6675" s="36">
        <v>5859.45</v>
      </c>
      <c r="E6675" s="43" t="s">
        <v>3596</v>
      </c>
    </row>
    <row r="6676" spans="1:5" x14ac:dyDescent="0.35">
      <c r="A6676" s="40">
        <v>43323</v>
      </c>
      <c r="B6676" s="38">
        <v>-17</v>
      </c>
      <c r="C6676" s="13" t="s">
        <v>312</v>
      </c>
      <c r="D6676" s="36">
        <v>5198.45</v>
      </c>
      <c r="E6676" s="43" t="s">
        <v>3596</v>
      </c>
    </row>
    <row r="6677" spans="1:5" x14ac:dyDescent="0.35">
      <c r="A6677" s="40">
        <v>43323</v>
      </c>
      <c r="B6677" s="38">
        <v>-79</v>
      </c>
      <c r="C6677" s="13" t="s">
        <v>645</v>
      </c>
      <c r="D6677" s="36">
        <v>5224.45</v>
      </c>
      <c r="E6677" s="43" t="s">
        <v>3596</v>
      </c>
    </row>
    <row r="6678" spans="1:5" x14ac:dyDescent="0.35">
      <c r="A6678" s="40">
        <v>43322</v>
      </c>
      <c r="B6678" s="38">
        <v>-50</v>
      </c>
      <c r="C6678" s="13" t="s">
        <v>648</v>
      </c>
      <c r="D6678" s="36">
        <v>6076.45</v>
      </c>
      <c r="E6678" s="43" t="s">
        <v>3596</v>
      </c>
    </row>
    <row r="6679" spans="1:5" x14ac:dyDescent="0.35">
      <c r="A6679" s="40">
        <v>43322</v>
      </c>
      <c r="B6679" s="38">
        <v>-12.5</v>
      </c>
      <c r="C6679" s="13" t="s">
        <v>3622</v>
      </c>
      <c r="D6679" s="36">
        <v>6126.45</v>
      </c>
      <c r="E6679" s="43" t="s">
        <v>3596</v>
      </c>
    </row>
    <row r="6680" spans="1:5" x14ac:dyDescent="0.35">
      <c r="A6680" s="40">
        <v>43322</v>
      </c>
      <c r="B6680" s="38">
        <v>-14</v>
      </c>
      <c r="C6680" s="13" t="s">
        <v>647</v>
      </c>
      <c r="D6680" s="36">
        <v>6062.45</v>
      </c>
      <c r="E6680" s="43" t="s">
        <v>3596</v>
      </c>
    </row>
    <row r="6681" spans="1:5" x14ac:dyDescent="0.35">
      <c r="A6681" s="40">
        <v>43322</v>
      </c>
      <c r="B6681" s="38">
        <v>-103</v>
      </c>
      <c r="C6681" s="13" t="s">
        <v>37</v>
      </c>
      <c r="D6681" s="36">
        <v>5959.45</v>
      </c>
      <c r="E6681" s="43" t="s">
        <v>3596</v>
      </c>
    </row>
    <row r="6682" spans="1:5" x14ac:dyDescent="0.35">
      <c r="A6682" s="40">
        <v>43321</v>
      </c>
      <c r="B6682" s="38">
        <v>-17</v>
      </c>
      <c r="C6682" s="13" t="s">
        <v>649</v>
      </c>
      <c r="D6682" s="36">
        <v>6138.95</v>
      </c>
      <c r="E6682" s="43" t="s">
        <v>3596</v>
      </c>
    </row>
    <row r="6683" spans="1:5" x14ac:dyDescent="0.35">
      <c r="A6683" s="40">
        <v>43321</v>
      </c>
      <c r="B6683" s="38">
        <v>-12.5</v>
      </c>
      <c r="C6683" s="13" t="s">
        <v>3623</v>
      </c>
      <c r="D6683" s="36">
        <v>6233.81</v>
      </c>
      <c r="E6683" s="43" t="s">
        <v>3596</v>
      </c>
    </row>
    <row r="6684" spans="1:5" x14ac:dyDescent="0.35">
      <c r="A6684" s="40">
        <v>43321</v>
      </c>
      <c r="B6684" s="38">
        <v>-77.86</v>
      </c>
      <c r="C6684" s="13" t="s">
        <v>650</v>
      </c>
      <c r="D6684" s="36">
        <v>6155.95</v>
      </c>
      <c r="E6684" s="43" t="s">
        <v>3596</v>
      </c>
    </row>
    <row r="6685" spans="1:5" x14ac:dyDescent="0.35">
      <c r="A6685" s="40">
        <v>43320</v>
      </c>
      <c r="B6685" s="38">
        <v>1080.25</v>
      </c>
      <c r="C6685" s="13" t="s">
        <v>10</v>
      </c>
      <c r="D6685" s="36">
        <v>6226.31</v>
      </c>
      <c r="E6685" s="43" t="s">
        <v>3596</v>
      </c>
    </row>
    <row r="6686" spans="1:5" x14ac:dyDescent="0.35">
      <c r="A6686" s="40">
        <v>43320</v>
      </c>
      <c r="B6686" s="38">
        <v>-25.5</v>
      </c>
      <c r="C6686" s="13" t="s">
        <v>651</v>
      </c>
      <c r="D6686" s="36">
        <v>5146.0600000000004</v>
      </c>
      <c r="E6686" s="43" t="s">
        <v>3596</v>
      </c>
    </row>
    <row r="6687" spans="1:5" x14ac:dyDescent="0.35">
      <c r="A6687" s="40">
        <v>43320</v>
      </c>
      <c r="B6687" s="38">
        <v>-14</v>
      </c>
      <c r="C6687" s="13" t="s">
        <v>652</v>
      </c>
      <c r="D6687" s="36">
        <v>5171.5600000000004</v>
      </c>
      <c r="E6687" s="43" t="s">
        <v>3596</v>
      </c>
    </row>
    <row r="6688" spans="1:5" x14ac:dyDescent="0.35">
      <c r="A6688" s="40">
        <v>43320</v>
      </c>
      <c r="B6688" s="38">
        <v>20</v>
      </c>
      <c r="C6688" s="13" t="s">
        <v>1243</v>
      </c>
      <c r="D6688" s="36">
        <v>6246.31</v>
      </c>
      <c r="E6688" s="43" t="s">
        <v>3596</v>
      </c>
    </row>
    <row r="6689" spans="1:5" x14ac:dyDescent="0.35">
      <c r="A6689" s="40">
        <v>43319</v>
      </c>
      <c r="B6689" s="38">
        <v>-50</v>
      </c>
      <c r="C6689" s="13" t="s">
        <v>1723</v>
      </c>
      <c r="D6689" s="36">
        <v>5185.5600000000004</v>
      </c>
      <c r="E6689" s="43" t="s">
        <v>3596</v>
      </c>
    </row>
    <row r="6690" spans="1:5" x14ac:dyDescent="0.35">
      <c r="A6690" s="40">
        <v>43319</v>
      </c>
      <c r="B6690" s="38">
        <v>-68.09</v>
      </c>
      <c r="C6690" s="13" t="s">
        <v>654</v>
      </c>
      <c r="D6690" s="36">
        <v>5246.56</v>
      </c>
      <c r="E6690" s="43" t="s">
        <v>3596</v>
      </c>
    </row>
    <row r="6691" spans="1:5" x14ac:dyDescent="0.35">
      <c r="A6691" s="40">
        <v>43319</v>
      </c>
      <c r="B6691" s="38">
        <v>-13.65</v>
      </c>
      <c r="C6691" s="13" t="s">
        <v>657</v>
      </c>
      <c r="D6691" s="36">
        <v>5360.71</v>
      </c>
      <c r="E6691" s="43" t="s">
        <v>3596</v>
      </c>
    </row>
    <row r="6692" spans="1:5" x14ac:dyDescent="0.35">
      <c r="A6692" s="40">
        <v>43319</v>
      </c>
      <c r="B6692" s="38">
        <v>-1.9</v>
      </c>
      <c r="C6692" s="13" t="s">
        <v>655</v>
      </c>
      <c r="D6692" s="36">
        <v>5314.65</v>
      </c>
      <c r="E6692" s="43" t="s">
        <v>3596</v>
      </c>
    </row>
    <row r="6693" spans="1:5" x14ac:dyDescent="0.35">
      <c r="A6693" s="40">
        <v>43319</v>
      </c>
      <c r="B6693" s="38">
        <v>-4.8600000000000003</v>
      </c>
      <c r="C6693" s="13" t="s">
        <v>655</v>
      </c>
      <c r="D6693" s="36">
        <v>5316.55</v>
      </c>
      <c r="E6693" s="43" t="s">
        <v>3596</v>
      </c>
    </row>
    <row r="6694" spans="1:5" x14ac:dyDescent="0.35">
      <c r="A6694" s="40">
        <v>43319</v>
      </c>
      <c r="B6694" s="38">
        <v>-25.8</v>
      </c>
      <c r="C6694" s="13" t="s">
        <v>655</v>
      </c>
      <c r="D6694" s="36">
        <v>5321.41</v>
      </c>
      <c r="E6694" s="43" t="s">
        <v>3596</v>
      </c>
    </row>
    <row r="6695" spans="1:5" x14ac:dyDescent="0.35">
      <c r="A6695" s="40">
        <v>43319</v>
      </c>
      <c r="B6695" s="38">
        <v>-11</v>
      </c>
      <c r="C6695" s="13" t="s">
        <v>653</v>
      </c>
      <c r="D6695" s="36">
        <v>5235.5600000000004</v>
      </c>
      <c r="E6695" s="43" t="s">
        <v>3596</v>
      </c>
    </row>
    <row r="6696" spans="1:5" x14ac:dyDescent="0.35">
      <c r="A6696" s="40">
        <v>43319</v>
      </c>
      <c r="B6696" s="38">
        <v>-13.5</v>
      </c>
      <c r="C6696" s="13" t="s">
        <v>656</v>
      </c>
      <c r="D6696" s="36">
        <v>5347.21</v>
      </c>
      <c r="E6696" s="43" t="s">
        <v>3596</v>
      </c>
    </row>
    <row r="6697" spans="1:5" x14ac:dyDescent="0.35">
      <c r="A6697" s="40">
        <v>43318</v>
      </c>
      <c r="B6697" s="38">
        <v>400</v>
      </c>
      <c r="C6697" s="13" t="s">
        <v>536</v>
      </c>
      <c r="D6697" s="36">
        <v>5374.36</v>
      </c>
      <c r="E6697" s="43" t="s">
        <v>3596</v>
      </c>
    </row>
    <row r="6698" spans="1:5" x14ac:dyDescent="0.35">
      <c r="A6698" s="40">
        <v>43317</v>
      </c>
      <c r="B6698" s="38">
        <v>18</v>
      </c>
      <c r="C6698" s="13" t="s">
        <v>1243</v>
      </c>
      <c r="D6698" s="36">
        <v>4974.3599999999997</v>
      </c>
      <c r="E6698" s="43" t="s">
        <v>3596</v>
      </c>
    </row>
    <row r="6699" spans="1:5" x14ac:dyDescent="0.35">
      <c r="A6699" s="40">
        <v>43316</v>
      </c>
      <c r="B6699" s="38">
        <v>-5.2</v>
      </c>
      <c r="C6699" s="13" t="s">
        <v>659</v>
      </c>
      <c r="D6699" s="36">
        <v>5608.06</v>
      </c>
      <c r="E6699" s="43" t="s">
        <v>3596</v>
      </c>
    </row>
    <row r="6700" spans="1:5" x14ac:dyDescent="0.35">
      <c r="A6700" s="40">
        <v>43316</v>
      </c>
      <c r="B6700" s="38">
        <v>-515</v>
      </c>
      <c r="C6700" s="13" t="s">
        <v>949</v>
      </c>
      <c r="D6700" s="36">
        <v>4956.3599999999997</v>
      </c>
      <c r="E6700" s="43" t="s">
        <v>3596</v>
      </c>
    </row>
    <row r="6701" spans="1:5" x14ac:dyDescent="0.35">
      <c r="A6701" s="40">
        <v>43316</v>
      </c>
      <c r="B6701" s="38">
        <v>-36.700000000000003</v>
      </c>
      <c r="C6701" s="13" t="s">
        <v>658</v>
      </c>
      <c r="D6701" s="36">
        <v>5571.36</v>
      </c>
      <c r="E6701" s="43" t="s">
        <v>3596</v>
      </c>
    </row>
    <row r="6702" spans="1:5" x14ac:dyDescent="0.35">
      <c r="A6702" s="40">
        <v>43316</v>
      </c>
      <c r="B6702" s="38">
        <v>-14.96</v>
      </c>
      <c r="C6702" s="13" t="s">
        <v>660</v>
      </c>
      <c r="D6702" s="36">
        <v>5613.26</v>
      </c>
      <c r="E6702" s="43" t="s">
        <v>3596</v>
      </c>
    </row>
    <row r="6703" spans="1:5" x14ac:dyDescent="0.35">
      <c r="A6703" s="40">
        <v>43316</v>
      </c>
      <c r="B6703" s="38">
        <v>-100</v>
      </c>
      <c r="C6703" s="13" t="s">
        <v>946</v>
      </c>
      <c r="D6703" s="36">
        <v>5471.36</v>
      </c>
      <c r="E6703" s="43" t="s">
        <v>3596</v>
      </c>
    </row>
    <row r="6704" spans="1:5" x14ac:dyDescent="0.35">
      <c r="A6704" s="40">
        <v>43315</v>
      </c>
      <c r="B6704" s="38">
        <v>-17</v>
      </c>
      <c r="C6704" s="13" t="s">
        <v>662</v>
      </c>
      <c r="D6704" s="36">
        <v>5688.22</v>
      </c>
      <c r="E6704" s="43" t="s">
        <v>3596</v>
      </c>
    </row>
    <row r="6705" spans="1:5" x14ac:dyDescent="0.35">
      <c r="A6705" s="40">
        <v>43315</v>
      </c>
      <c r="B6705" s="38">
        <v>-10.7</v>
      </c>
      <c r="C6705" s="13" t="s">
        <v>663</v>
      </c>
      <c r="D6705" s="36">
        <v>5705.22</v>
      </c>
      <c r="E6705" s="43" t="s">
        <v>3596</v>
      </c>
    </row>
    <row r="6706" spans="1:5" x14ac:dyDescent="0.35">
      <c r="A6706" s="40">
        <v>43315</v>
      </c>
      <c r="B6706" s="38">
        <v>-13.5</v>
      </c>
      <c r="C6706" s="13" t="s">
        <v>664</v>
      </c>
      <c r="D6706" s="36">
        <v>5715.92</v>
      </c>
      <c r="E6706" s="43" t="s">
        <v>3596</v>
      </c>
    </row>
    <row r="6707" spans="1:5" x14ac:dyDescent="0.35">
      <c r="A6707" s="40">
        <v>43315</v>
      </c>
      <c r="B6707" s="38">
        <v>-60</v>
      </c>
      <c r="C6707" s="13" t="s">
        <v>661</v>
      </c>
      <c r="D6707" s="36">
        <v>5628.22</v>
      </c>
      <c r="E6707" s="43" t="s">
        <v>3596</v>
      </c>
    </row>
    <row r="6708" spans="1:5" x14ac:dyDescent="0.35">
      <c r="A6708" s="40">
        <v>43314</v>
      </c>
      <c r="B6708" s="38">
        <v>-10.199999999999999</v>
      </c>
      <c r="C6708" s="13" t="s">
        <v>3637</v>
      </c>
      <c r="D6708" s="36">
        <v>5730.42</v>
      </c>
      <c r="E6708" s="43" t="s">
        <v>3596</v>
      </c>
    </row>
    <row r="6709" spans="1:5" x14ac:dyDescent="0.35">
      <c r="A6709" s="40">
        <v>43314</v>
      </c>
      <c r="B6709" s="38">
        <v>-11.1</v>
      </c>
      <c r="C6709" s="13" t="s">
        <v>667</v>
      </c>
      <c r="D6709" s="36">
        <v>5750.61</v>
      </c>
      <c r="E6709" s="43" t="s">
        <v>3596</v>
      </c>
    </row>
    <row r="6710" spans="1:5" x14ac:dyDescent="0.35">
      <c r="A6710" s="40">
        <v>43314</v>
      </c>
      <c r="B6710" s="38">
        <v>-9.99</v>
      </c>
      <c r="C6710" s="13" t="s">
        <v>666</v>
      </c>
      <c r="D6710" s="36">
        <v>5740.62</v>
      </c>
      <c r="E6710" s="43" t="s">
        <v>3596</v>
      </c>
    </row>
    <row r="6711" spans="1:5" x14ac:dyDescent="0.35">
      <c r="A6711" s="40">
        <v>43314</v>
      </c>
      <c r="B6711" s="38">
        <v>-1</v>
      </c>
      <c r="C6711" s="13" t="s">
        <v>665</v>
      </c>
      <c r="D6711" s="36">
        <v>5729.42</v>
      </c>
      <c r="E6711" s="43" t="s">
        <v>3596</v>
      </c>
    </row>
    <row r="6712" spans="1:5" x14ac:dyDescent="0.35">
      <c r="A6712" s="40">
        <v>43313</v>
      </c>
      <c r="B6712" s="38">
        <v>-12.3</v>
      </c>
      <c r="C6712" s="13" t="s">
        <v>672</v>
      </c>
      <c r="D6712" s="36">
        <v>4888.3599999999997</v>
      </c>
      <c r="E6712" s="43" t="s">
        <v>3596</v>
      </c>
    </row>
    <row r="6713" spans="1:5" x14ac:dyDescent="0.35">
      <c r="A6713" s="40">
        <v>43313</v>
      </c>
      <c r="B6713" s="38">
        <v>-20.16</v>
      </c>
      <c r="C6713" s="13" t="s">
        <v>671</v>
      </c>
      <c r="D6713" s="36">
        <v>4868.2</v>
      </c>
      <c r="E6713" s="43" t="s">
        <v>3596</v>
      </c>
    </row>
    <row r="6714" spans="1:5" x14ac:dyDescent="0.35">
      <c r="A6714" s="40">
        <v>43313</v>
      </c>
      <c r="B6714" s="38">
        <v>1080.25</v>
      </c>
      <c r="C6714" s="13" t="s">
        <v>10</v>
      </c>
      <c r="D6714" s="36">
        <v>5761.71</v>
      </c>
      <c r="E6714" s="43" t="s">
        <v>3596</v>
      </c>
    </row>
    <row r="6715" spans="1:5" x14ac:dyDescent="0.35">
      <c r="A6715" s="40">
        <v>43313</v>
      </c>
      <c r="B6715" s="38">
        <v>-166.4</v>
      </c>
      <c r="C6715" s="13" t="s">
        <v>668</v>
      </c>
      <c r="D6715" s="36">
        <v>4681.46</v>
      </c>
      <c r="E6715" s="43" t="s">
        <v>3596</v>
      </c>
    </row>
    <row r="6716" spans="1:5" x14ac:dyDescent="0.35">
      <c r="A6716" s="40">
        <v>43313</v>
      </c>
      <c r="B6716" s="38">
        <v>-16.34</v>
      </c>
      <c r="C6716" s="13" t="s">
        <v>669</v>
      </c>
      <c r="D6716" s="36">
        <v>4847.8599999999997</v>
      </c>
      <c r="E6716" s="43" t="s">
        <v>3596</v>
      </c>
    </row>
    <row r="6717" spans="1:5" x14ac:dyDescent="0.35">
      <c r="A6717" s="40">
        <v>43313</v>
      </c>
      <c r="B6717" s="38">
        <v>-4</v>
      </c>
      <c r="C6717" s="13" t="s">
        <v>670</v>
      </c>
      <c r="D6717" s="36">
        <v>4864.2</v>
      </c>
      <c r="E6717" s="43" t="s">
        <v>3596</v>
      </c>
    </row>
    <row r="6718" spans="1:5" x14ac:dyDescent="0.35">
      <c r="A6718" s="40">
        <v>43312</v>
      </c>
      <c r="B6718" s="38">
        <v>-14.2</v>
      </c>
      <c r="C6718" s="13" t="s">
        <v>676</v>
      </c>
      <c r="D6718" s="36">
        <v>4937.6499999999996</v>
      </c>
      <c r="E6718" s="43" t="s">
        <v>3596</v>
      </c>
    </row>
    <row r="6719" spans="1:5" x14ac:dyDescent="0.35">
      <c r="A6719" s="40">
        <v>43312</v>
      </c>
      <c r="B6719" s="38">
        <v>-8.5500000000000007</v>
      </c>
      <c r="C6719" s="13" t="s">
        <v>676</v>
      </c>
      <c r="D6719" s="36">
        <v>4951.8500000000004</v>
      </c>
      <c r="E6719" s="43" t="s">
        <v>3596</v>
      </c>
    </row>
    <row r="6720" spans="1:5" x14ac:dyDescent="0.35">
      <c r="A6720" s="40">
        <v>43312</v>
      </c>
      <c r="B6720" s="38">
        <v>-17</v>
      </c>
      <c r="C6720" s="13" t="s">
        <v>673</v>
      </c>
      <c r="D6720" s="36">
        <v>4900.66</v>
      </c>
      <c r="E6720" s="43" t="s">
        <v>3596</v>
      </c>
    </row>
    <row r="6721" spans="1:5" x14ac:dyDescent="0.35">
      <c r="A6721" s="40">
        <v>43312</v>
      </c>
      <c r="B6721" s="38">
        <v>-15</v>
      </c>
      <c r="C6721" s="13" t="s">
        <v>674</v>
      </c>
      <c r="D6721" s="36">
        <v>4917.66</v>
      </c>
      <c r="E6721" s="43" t="s">
        <v>3596</v>
      </c>
    </row>
    <row r="6722" spans="1:5" x14ac:dyDescent="0.35">
      <c r="A6722" s="40">
        <v>43312</v>
      </c>
      <c r="B6722" s="38">
        <v>-4.99</v>
      </c>
      <c r="C6722" s="13" t="s">
        <v>675</v>
      </c>
      <c r="D6722" s="36">
        <v>4932.66</v>
      </c>
      <c r="E6722" s="43" t="s">
        <v>3596</v>
      </c>
    </row>
    <row r="6723" spans="1:5" x14ac:dyDescent="0.35">
      <c r="A6723" s="40">
        <v>43309</v>
      </c>
      <c r="B6723" s="38">
        <v>-515</v>
      </c>
      <c r="C6723" s="13" t="s">
        <v>949</v>
      </c>
      <c r="D6723" s="36">
        <v>4960.3999999999996</v>
      </c>
      <c r="E6723" s="43" t="s">
        <v>3596</v>
      </c>
    </row>
    <row r="6724" spans="1:5" x14ac:dyDescent="0.35">
      <c r="A6724" s="40">
        <v>43309</v>
      </c>
      <c r="B6724" s="38">
        <v>-100</v>
      </c>
      <c r="C6724" s="13" t="s">
        <v>946</v>
      </c>
      <c r="D6724" s="36">
        <v>5475.4</v>
      </c>
      <c r="E6724" s="43" t="s">
        <v>3596</v>
      </c>
    </row>
    <row r="6725" spans="1:5" x14ac:dyDescent="0.35">
      <c r="A6725" s="40">
        <v>43308</v>
      </c>
      <c r="B6725" s="38">
        <v>-12.5</v>
      </c>
      <c r="C6725" s="13" t="s">
        <v>677</v>
      </c>
      <c r="D6725" s="36">
        <v>5575.4</v>
      </c>
      <c r="E6725" s="43" t="s">
        <v>3596</v>
      </c>
    </row>
    <row r="6726" spans="1:5" x14ac:dyDescent="0.35">
      <c r="A6726" s="40">
        <v>43308</v>
      </c>
      <c r="B6726" s="38">
        <v>-12.47</v>
      </c>
      <c r="C6726" s="13" t="s">
        <v>678</v>
      </c>
      <c r="D6726" s="36">
        <v>5587.9</v>
      </c>
      <c r="E6726" s="43" t="s">
        <v>3596</v>
      </c>
    </row>
    <row r="6727" spans="1:5" x14ac:dyDescent="0.35">
      <c r="A6727" s="40">
        <v>43308</v>
      </c>
      <c r="B6727" s="38">
        <v>-13.5</v>
      </c>
      <c r="C6727" s="13" t="s">
        <v>679</v>
      </c>
      <c r="D6727" s="36">
        <v>5600.37</v>
      </c>
      <c r="E6727" s="43" t="s">
        <v>3596</v>
      </c>
    </row>
    <row r="6728" spans="1:5" x14ac:dyDescent="0.35">
      <c r="A6728" s="40">
        <v>43307</v>
      </c>
      <c r="B6728" s="38">
        <v>-13</v>
      </c>
      <c r="C6728" s="13" t="s">
        <v>3638</v>
      </c>
      <c r="D6728" s="36">
        <v>5822.57</v>
      </c>
      <c r="E6728" s="43" t="s">
        <v>3596</v>
      </c>
    </row>
    <row r="6729" spans="1:5" x14ac:dyDescent="0.35">
      <c r="A6729" s="40">
        <v>43307</v>
      </c>
      <c r="B6729" s="38">
        <v>-14.8</v>
      </c>
      <c r="C6729" s="13" t="s">
        <v>682</v>
      </c>
      <c r="D6729" s="36">
        <v>5835.57</v>
      </c>
      <c r="E6729" s="43" t="s">
        <v>3596</v>
      </c>
    </row>
    <row r="6730" spans="1:5" x14ac:dyDescent="0.35">
      <c r="A6730" s="40">
        <v>43307</v>
      </c>
      <c r="B6730" s="38">
        <v>-50</v>
      </c>
      <c r="C6730" s="13" t="s">
        <v>232</v>
      </c>
      <c r="D6730" s="36">
        <v>5613.87</v>
      </c>
      <c r="E6730" s="43" t="s">
        <v>3596</v>
      </c>
    </row>
    <row r="6731" spans="1:5" x14ac:dyDescent="0.35">
      <c r="A6731" s="40">
        <v>43307</v>
      </c>
      <c r="B6731" s="38">
        <v>-14.7</v>
      </c>
      <c r="C6731" s="13" t="s">
        <v>680</v>
      </c>
      <c r="D6731" s="36">
        <v>5663.87</v>
      </c>
      <c r="E6731" s="43" t="s">
        <v>3596</v>
      </c>
    </row>
    <row r="6732" spans="1:5" x14ac:dyDescent="0.35">
      <c r="A6732" s="40">
        <v>43307</v>
      </c>
      <c r="B6732" s="38">
        <v>-144</v>
      </c>
      <c r="C6732" s="13" t="s">
        <v>681</v>
      </c>
      <c r="D6732" s="36">
        <v>5678.57</v>
      </c>
      <c r="E6732" s="43" t="s">
        <v>3596</v>
      </c>
    </row>
    <row r="6733" spans="1:5" x14ac:dyDescent="0.35">
      <c r="A6733" s="40">
        <v>43306</v>
      </c>
      <c r="B6733" s="38">
        <v>-20.16</v>
      </c>
      <c r="C6733" s="13" t="s">
        <v>684</v>
      </c>
      <c r="D6733" s="36">
        <v>4727.6400000000003</v>
      </c>
      <c r="E6733" s="43" t="s">
        <v>3596</v>
      </c>
    </row>
    <row r="6734" spans="1:5" x14ac:dyDescent="0.35">
      <c r="A6734" s="40">
        <v>43306</v>
      </c>
      <c r="B6734" s="38">
        <v>-15.75</v>
      </c>
      <c r="C6734" s="13" t="s">
        <v>688</v>
      </c>
      <c r="D6734" s="36">
        <v>4827.2299999999996</v>
      </c>
      <c r="E6734" s="43" t="s">
        <v>3596</v>
      </c>
    </row>
    <row r="6735" spans="1:5" x14ac:dyDescent="0.35">
      <c r="A6735" s="40">
        <v>43306</v>
      </c>
      <c r="B6735" s="38">
        <v>-17</v>
      </c>
      <c r="C6735" s="13" t="s">
        <v>690</v>
      </c>
      <c r="D6735" s="36">
        <v>4854.53</v>
      </c>
      <c r="E6735" s="43" t="s">
        <v>3596</v>
      </c>
    </row>
    <row r="6736" spans="1:5" x14ac:dyDescent="0.35">
      <c r="A6736" s="40">
        <v>43306</v>
      </c>
      <c r="B6736" s="38">
        <v>1137.78</v>
      </c>
      <c r="C6736" s="13" t="s">
        <v>10</v>
      </c>
      <c r="D6736" s="36">
        <v>5850.37</v>
      </c>
      <c r="E6736" s="43" t="s">
        <v>3596</v>
      </c>
    </row>
    <row r="6737" spans="1:5" x14ac:dyDescent="0.35">
      <c r="A6737" s="40">
        <v>43306</v>
      </c>
      <c r="B6737" s="38">
        <v>-27</v>
      </c>
      <c r="C6737" s="13" t="s">
        <v>691</v>
      </c>
      <c r="D6737" s="36">
        <v>4871.53</v>
      </c>
      <c r="E6737" s="43" t="s">
        <v>3596</v>
      </c>
    </row>
    <row r="6738" spans="1:5" x14ac:dyDescent="0.35">
      <c r="A6738" s="40">
        <v>43306</v>
      </c>
      <c r="B6738" s="38">
        <v>-11.55</v>
      </c>
      <c r="C6738" s="13" t="s">
        <v>689</v>
      </c>
      <c r="D6738" s="36">
        <v>4842.9799999999996</v>
      </c>
      <c r="E6738" s="43" t="s">
        <v>3596</v>
      </c>
    </row>
    <row r="6739" spans="1:5" x14ac:dyDescent="0.35">
      <c r="A6739" s="40">
        <v>43306</v>
      </c>
      <c r="B6739" s="38">
        <v>-54.63</v>
      </c>
      <c r="C6739" s="13" t="s">
        <v>686</v>
      </c>
      <c r="D6739" s="36">
        <v>4749.4399999999996</v>
      </c>
      <c r="E6739" s="43" t="s">
        <v>3596</v>
      </c>
    </row>
    <row r="6740" spans="1:5" x14ac:dyDescent="0.35">
      <c r="A6740" s="40">
        <v>43306</v>
      </c>
      <c r="B6740" s="38">
        <v>-1.64</v>
      </c>
      <c r="C6740" s="13" t="s">
        <v>685</v>
      </c>
      <c r="D6740" s="36">
        <v>4747.8</v>
      </c>
      <c r="E6740" s="43" t="s">
        <v>3596</v>
      </c>
    </row>
    <row r="6741" spans="1:5" x14ac:dyDescent="0.35">
      <c r="A6741" s="40">
        <v>43306</v>
      </c>
      <c r="B6741" s="38">
        <v>-15.05</v>
      </c>
      <c r="C6741" s="13" t="s">
        <v>683</v>
      </c>
      <c r="D6741" s="36">
        <v>4712.59</v>
      </c>
      <c r="E6741" s="43" t="s">
        <v>3596</v>
      </c>
    </row>
    <row r="6742" spans="1:5" x14ac:dyDescent="0.35">
      <c r="A6742" s="40">
        <v>43306</v>
      </c>
      <c r="B6742" s="38">
        <v>-14.1</v>
      </c>
      <c r="C6742" s="13" t="s">
        <v>687</v>
      </c>
      <c r="D6742" s="36">
        <v>4804.07</v>
      </c>
      <c r="E6742" s="43" t="s">
        <v>3596</v>
      </c>
    </row>
    <row r="6743" spans="1:5" x14ac:dyDescent="0.35">
      <c r="A6743" s="40">
        <v>43306</v>
      </c>
      <c r="B6743" s="38">
        <v>-9.06</v>
      </c>
      <c r="C6743" s="13" t="s">
        <v>687</v>
      </c>
      <c r="D6743" s="36">
        <v>4818.17</v>
      </c>
      <c r="E6743" s="43" t="s">
        <v>3596</v>
      </c>
    </row>
    <row r="6744" spans="1:5" x14ac:dyDescent="0.35">
      <c r="A6744" s="40">
        <v>43306</v>
      </c>
      <c r="B6744" s="38">
        <v>-13.5</v>
      </c>
      <c r="C6744" s="13" t="s">
        <v>692</v>
      </c>
      <c r="D6744" s="36">
        <v>4898.53</v>
      </c>
      <c r="E6744" s="43" t="s">
        <v>3596</v>
      </c>
    </row>
    <row r="6745" spans="1:5" x14ac:dyDescent="0.35">
      <c r="A6745" s="40">
        <v>43305</v>
      </c>
      <c r="B6745" s="38">
        <v>-9.0500000000000007</v>
      </c>
      <c r="C6745" s="13" t="s">
        <v>693</v>
      </c>
      <c r="D6745" s="36">
        <v>4912.03</v>
      </c>
      <c r="E6745" s="43" t="s">
        <v>3596</v>
      </c>
    </row>
    <row r="6746" spans="1:5" x14ac:dyDescent="0.35">
      <c r="A6746" s="40">
        <v>43305</v>
      </c>
      <c r="B6746" s="38">
        <v>-9.8000000000000007</v>
      </c>
      <c r="C6746" s="13" t="s">
        <v>694</v>
      </c>
      <c r="D6746" s="36">
        <v>4921.08</v>
      </c>
      <c r="E6746" s="43" t="s">
        <v>3596</v>
      </c>
    </row>
    <row r="6747" spans="1:5" x14ac:dyDescent="0.35">
      <c r="A6747" s="40">
        <v>43305</v>
      </c>
      <c r="B6747" s="38">
        <v>-7</v>
      </c>
      <c r="C6747" s="13" t="s">
        <v>695</v>
      </c>
      <c r="D6747" s="36">
        <v>4930.88</v>
      </c>
      <c r="E6747" s="43" t="s">
        <v>3596</v>
      </c>
    </row>
    <row r="6748" spans="1:5" x14ac:dyDescent="0.35">
      <c r="A6748" s="40">
        <v>43305</v>
      </c>
      <c r="B6748" s="38">
        <v>-24</v>
      </c>
      <c r="C6748" s="13" t="s">
        <v>695</v>
      </c>
      <c r="D6748" s="36">
        <v>4937.88</v>
      </c>
      <c r="E6748" s="43" t="s">
        <v>3596</v>
      </c>
    </row>
    <row r="6749" spans="1:5" x14ac:dyDescent="0.35">
      <c r="A6749" s="40">
        <v>43305</v>
      </c>
      <c r="B6749" s="38">
        <v>-25</v>
      </c>
      <c r="C6749" s="13" t="s">
        <v>696</v>
      </c>
      <c r="D6749" s="36">
        <v>4961.88</v>
      </c>
      <c r="E6749" s="43" t="s">
        <v>3596</v>
      </c>
    </row>
    <row r="6750" spans="1:5" x14ac:dyDescent="0.35">
      <c r="A6750" s="40">
        <v>43305</v>
      </c>
      <c r="B6750" s="38">
        <v>-5.49</v>
      </c>
      <c r="C6750" s="13" t="s">
        <v>699</v>
      </c>
      <c r="D6750" s="36">
        <v>5016.88</v>
      </c>
      <c r="E6750" s="43" t="s">
        <v>3596</v>
      </c>
    </row>
    <row r="6751" spans="1:5" x14ac:dyDescent="0.35">
      <c r="A6751" s="40">
        <v>43305</v>
      </c>
      <c r="B6751" s="38">
        <v>-30</v>
      </c>
      <c r="C6751" s="13" t="s">
        <v>698</v>
      </c>
      <c r="D6751" s="36">
        <v>4986.88</v>
      </c>
      <c r="E6751" s="43" t="s">
        <v>3596</v>
      </c>
    </row>
    <row r="6752" spans="1:5" x14ac:dyDescent="0.35">
      <c r="A6752" s="40">
        <v>43302</v>
      </c>
      <c r="B6752" s="38">
        <v>-50</v>
      </c>
      <c r="C6752" s="13" t="s">
        <v>702</v>
      </c>
      <c r="D6752" s="36">
        <v>5045.37</v>
      </c>
      <c r="E6752" s="43" t="s">
        <v>3596</v>
      </c>
    </row>
    <row r="6753" spans="1:5" x14ac:dyDescent="0.35">
      <c r="A6753" s="40">
        <v>43302</v>
      </c>
      <c r="B6753" s="38">
        <v>-515</v>
      </c>
      <c r="C6753" s="13" t="s">
        <v>949</v>
      </c>
      <c r="D6753" s="36">
        <v>5095.37</v>
      </c>
      <c r="E6753" s="43" t="s">
        <v>3596</v>
      </c>
    </row>
    <row r="6754" spans="1:5" x14ac:dyDescent="0.35">
      <c r="A6754" s="40">
        <v>43302</v>
      </c>
      <c r="B6754" s="38">
        <v>-100</v>
      </c>
      <c r="C6754" s="13" t="s">
        <v>946</v>
      </c>
      <c r="D6754" s="36">
        <v>5610.37</v>
      </c>
      <c r="E6754" s="43" t="s">
        <v>3596</v>
      </c>
    </row>
    <row r="6755" spans="1:5" x14ac:dyDescent="0.35">
      <c r="A6755" s="40">
        <v>43302</v>
      </c>
      <c r="B6755" s="38">
        <v>-9.5</v>
      </c>
      <c r="C6755" s="13" t="s">
        <v>700</v>
      </c>
      <c r="D6755" s="36">
        <v>5022.37</v>
      </c>
      <c r="E6755" s="43" t="s">
        <v>3596</v>
      </c>
    </row>
    <row r="6756" spans="1:5" x14ac:dyDescent="0.35">
      <c r="A6756" s="40">
        <v>43302</v>
      </c>
      <c r="B6756" s="38">
        <v>-13.5</v>
      </c>
      <c r="C6756" s="13" t="s">
        <v>701</v>
      </c>
      <c r="D6756" s="36">
        <v>5031.87</v>
      </c>
      <c r="E6756" s="43" t="s">
        <v>3596</v>
      </c>
    </row>
    <row r="6757" spans="1:5" x14ac:dyDescent="0.35">
      <c r="A6757" s="40">
        <v>43301</v>
      </c>
      <c r="B6757" s="38">
        <v>-20</v>
      </c>
      <c r="C6757" s="13" t="s">
        <v>1727</v>
      </c>
      <c r="D6757" s="36">
        <v>5712.87</v>
      </c>
      <c r="E6757" s="43" t="s">
        <v>3596</v>
      </c>
    </row>
    <row r="6758" spans="1:5" x14ac:dyDescent="0.35">
      <c r="A6758" s="40">
        <v>43301</v>
      </c>
      <c r="B6758" s="38">
        <v>-14.44</v>
      </c>
      <c r="C6758" s="13" t="s">
        <v>704</v>
      </c>
      <c r="D6758" s="36">
        <v>5732.87</v>
      </c>
      <c r="E6758" s="43" t="s">
        <v>3596</v>
      </c>
    </row>
    <row r="6759" spans="1:5" x14ac:dyDescent="0.35">
      <c r="A6759" s="40">
        <v>43301</v>
      </c>
      <c r="B6759" s="38">
        <v>-2.5</v>
      </c>
      <c r="C6759" s="13" t="s">
        <v>703</v>
      </c>
      <c r="D6759" s="36">
        <v>5710.37</v>
      </c>
      <c r="E6759" s="43" t="s">
        <v>3596</v>
      </c>
    </row>
    <row r="6760" spans="1:5" x14ac:dyDescent="0.35">
      <c r="A6760" s="40">
        <v>43300</v>
      </c>
      <c r="B6760" s="38">
        <v>-11.55</v>
      </c>
      <c r="C6760" s="13" t="s">
        <v>3639</v>
      </c>
      <c r="D6760" s="36">
        <v>5786.81</v>
      </c>
      <c r="E6760" s="43" t="s">
        <v>3596</v>
      </c>
    </row>
    <row r="6761" spans="1:5" x14ac:dyDescent="0.35">
      <c r="A6761" s="40">
        <v>43300</v>
      </c>
      <c r="B6761" s="38">
        <v>-16.36</v>
      </c>
      <c r="C6761" s="13" t="s">
        <v>706</v>
      </c>
      <c r="D6761" s="36">
        <v>5798.36</v>
      </c>
      <c r="E6761" s="43" t="s">
        <v>3596</v>
      </c>
    </row>
    <row r="6762" spans="1:5" x14ac:dyDescent="0.35">
      <c r="A6762" s="40">
        <v>43300</v>
      </c>
      <c r="B6762" s="38">
        <v>-20</v>
      </c>
      <c r="C6762" s="13" t="s">
        <v>1728</v>
      </c>
      <c r="D6762" s="36">
        <v>5749.81</v>
      </c>
      <c r="E6762" s="43" t="s">
        <v>3596</v>
      </c>
    </row>
    <row r="6763" spans="1:5" x14ac:dyDescent="0.35">
      <c r="A6763" s="40">
        <v>43300</v>
      </c>
      <c r="B6763" s="38">
        <v>-17</v>
      </c>
      <c r="C6763" s="13" t="s">
        <v>705</v>
      </c>
      <c r="D6763" s="36">
        <v>5769.81</v>
      </c>
      <c r="E6763" s="43" t="s">
        <v>3596</v>
      </c>
    </row>
    <row r="6764" spans="1:5" x14ac:dyDescent="0.35">
      <c r="A6764" s="40">
        <v>43300</v>
      </c>
      <c r="B6764" s="38">
        <v>-2.5</v>
      </c>
      <c r="C6764" s="13" t="s">
        <v>24</v>
      </c>
      <c r="D6764" s="36">
        <v>5747.31</v>
      </c>
      <c r="E6764" s="43" t="s">
        <v>3596</v>
      </c>
    </row>
    <row r="6765" spans="1:5" x14ac:dyDescent="0.35">
      <c r="A6765" s="40">
        <v>43300</v>
      </c>
      <c r="B6765" s="38">
        <v>-12.5</v>
      </c>
      <c r="C6765" s="13" t="s">
        <v>3624</v>
      </c>
      <c r="D6765" s="36">
        <v>5814.72</v>
      </c>
      <c r="E6765" s="43" t="s">
        <v>3596</v>
      </c>
    </row>
    <row r="6766" spans="1:5" x14ac:dyDescent="0.35">
      <c r="A6766" s="40">
        <v>43299</v>
      </c>
      <c r="B6766" s="38">
        <v>1124.71</v>
      </c>
      <c r="C6766" s="13" t="s">
        <v>10</v>
      </c>
      <c r="D6766" s="36">
        <v>5827.22</v>
      </c>
      <c r="E6766" s="43" t="s">
        <v>3596</v>
      </c>
    </row>
    <row r="6767" spans="1:5" x14ac:dyDescent="0.35">
      <c r="A6767" s="40">
        <v>43299</v>
      </c>
      <c r="B6767" s="38">
        <v>-37</v>
      </c>
      <c r="C6767" s="13" t="s">
        <v>708</v>
      </c>
      <c r="D6767" s="36">
        <v>4725.71</v>
      </c>
      <c r="E6767" s="43" t="s">
        <v>3596</v>
      </c>
    </row>
    <row r="6768" spans="1:5" x14ac:dyDescent="0.35">
      <c r="A6768" s="40">
        <v>43299</v>
      </c>
      <c r="B6768" s="38">
        <v>-26.46</v>
      </c>
      <c r="C6768" s="13" t="s">
        <v>708</v>
      </c>
      <c r="D6768" s="36">
        <v>4762.71</v>
      </c>
      <c r="E6768" s="43" t="s">
        <v>3596</v>
      </c>
    </row>
    <row r="6769" spans="1:5" x14ac:dyDescent="0.35">
      <c r="A6769" s="40">
        <v>43299</v>
      </c>
      <c r="B6769" s="38">
        <v>-29.9</v>
      </c>
      <c r="C6769" s="13" t="s">
        <v>709</v>
      </c>
      <c r="D6769" s="36">
        <v>4789.17</v>
      </c>
      <c r="E6769" s="43" t="s">
        <v>3596</v>
      </c>
    </row>
    <row r="6770" spans="1:5" x14ac:dyDescent="0.35">
      <c r="A6770" s="40">
        <v>43299</v>
      </c>
      <c r="B6770" s="38">
        <v>-23.2</v>
      </c>
      <c r="C6770" s="13" t="s">
        <v>707</v>
      </c>
      <c r="D6770" s="36">
        <v>4702.51</v>
      </c>
      <c r="E6770" s="43" t="s">
        <v>3596</v>
      </c>
    </row>
    <row r="6771" spans="1:5" x14ac:dyDescent="0.35">
      <c r="A6771" s="40">
        <v>43298</v>
      </c>
      <c r="B6771" s="38">
        <v>-37.64</v>
      </c>
      <c r="C6771" s="13" t="s">
        <v>711</v>
      </c>
      <c r="D6771" s="36">
        <v>4854.97</v>
      </c>
      <c r="E6771" s="43" t="s">
        <v>3596</v>
      </c>
    </row>
    <row r="6772" spans="1:5" x14ac:dyDescent="0.35">
      <c r="A6772" s="40">
        <v>43298</v>
      </c>
      <c r="B6772" s="38">
        <v>-13.9</v>
      </c>
      <c r="C6772" s="13" t="s">
        <v>710</v>
      </c>
      <c r="D6772" s="36">
        <v>4841.07</v>
      </c>
      <c r="E6772" s="43" t="s">
        <v>3596</v>
      </c>
    </row>
    <row r="6773" spans="1:5" x14ac:dyDescent="0.35">
      <c r="A6773" s="40">
        <v>43295</v>
      </c>
      <c r="B6773" s="38">
        <v>-515</v>
      </c>
      <c r="C6773" s="13" t="s">
        <v>949</v>
      </c>
      <c r="D6773" s="36">
        <v>4923.1099999999997</v>
      </c>
      <c r="E6773" s="43" t="s">
        <v>3596</v>
      </c>
    </row>
    <row r="6774" spans="1:5" x14ac:dyDescent="0.35">
      <c r="A6774" s="40">
        <v>43295</v>
      </c>
      <c r="B6774" s="38">
        <v>-100</v>
      </c>
      <c r="C6774" s="13" t="s">
        <v>946</v>
      </c>
      <c r="D6774" s="36">
        <v>5438.11</v>
      </c>
      <c r="E6774" s="43" t="s">
        <v>3596</v>
      </c>
    </row>
    <row r="6775" spans="1:5" x14ac:dyDescent="0.35">
      <c r="A6775" s="40">
        <v>43295</v>
      </c>
      <c r="B6775" s="38">
        <v>-17</v>
      </c>
      <c r="C6775" s="13" t="s">
        <v>712</v>
      </c>
      <c r="D6775" s="36">
        <v>4892.6099999999997</v>
      </c>
      <c r="E6775" s="43" t="s">
        <v>3596</v>
      </c>
    </row>
    <row r="6776" spans="1:5" x14ac:dyDescent="0.35">
      <c r="A6776" s="40">
        <v>43295</v>
      </c>
      <c r="B6776" s="38">
        <v>-13.5</v>
      </c>
      <c r="C6776" s="13" t="s">
        <v>713</v>
      </c>
      <c r="D6776" s="36">
        <v>4909.6099999999997</v>
      </c>
      <c r="E6776" s="43" t="s">
        <v>3596</v>
      </c>
    </row>
    <row r="6777" spans="1:5" x14ac:dyDescent="0.35">
      <c r="A6777" s="40">
        <v>43294</v>
      </c>
      <c r="B6777" s="38">
        <v>-2.69</v>
      </c>
      <c r="C6777" s="13" t="s">
        <v>717</v>
      </c>
      <c r="D6777" s="36">
        <v>5699.05</v>
      </c>
      <c r="E6777" s="43" t="s">
        <v>3596</v>
      </c>
    </row>
    <row r="6778" spans="1:5" x14ac:dyDescent="0.35">
      <c r="A6778" s="40">
        <v>43294</v>
      </c>
      <c r="B6778" s="38">
        <v>-17</v>
      </c>
      <c r="C6778" s="13" t="s">
        <v>715</v>
      </c>
      <c r="D6778" s="36">
        <v>5656.79</v>
      </c>
      <c r="E6778" s="43" t="s">
        <v>3596</v>
      </c>
    </row>
    <row r="6779" spans="1:5" x14ac:dyDescent="0.35">
      <c r="A6779" s="40">
        <v>43294</v>
      </c>
      <c r="B6779" s="38">
        <v>-25.26</v>
      </c>
      <c r="C6779" s="13" t="s">
        <v>716</v>
      </c>
      <c r="D6779" s="36">
        <v>5673.79</v>
      </c>
      <c r="E6779" s="43" t="s">
        <v>3596</v>
      </c>
    </row>
    <row r="6780" spans="1:5" x14ac:dyDescent="0.35">
      <c r="A6780" s="40">
        <v>43294</v>
      </c>
      <c r="B6780" s="38">
        <v>-100.68</v>
      </c>
      <c r="C6780" s="13" t="s">
        <v>37</v>
      </c>
      <c r="D6780" s="36">
        <v>5538.11</v>
      </c>
      <c r="E6780" s="43" t="s">
        <v>3596</v>
      </c>
    </row>
    <row r="6781" spans="1:5" x14ac:dyDescent="0.35">
      <c r="A6781" s="40">
        <v>43294</v>
      </c>
      <c r="B6781" s="38">
        <v>-18</v>
      </c>
      <c r="C6781" s="13" t="s">
        <v>714</v>
      </c>
      <c r="D6781" s="36">
        <v>5638.79</v>
      </c>
      <c r="E6781" s="43" t="s">
        <v>3596</v>
      </c>
    </row>
    <row r="6782" spans="1:5" x14ac:dyDescent="0.35">
      <c r="A6782" s="40">
        <v>43293</v>
      </c>
      <c r="B6782" s="38">
        <v>-14.5</v>
      </c>
      <c r="C6782" s="13" t="s">
        <v>3640</v>
      </c>
      <c r="D6782" s="36">
        <v>5715.74</v>
      </c>
      <c r="E6782" s="43" t="s">
        <v>3596</v>
      </c>
    </row>
    <row r="6783" spans="1:5" x14ac:dyDescent="0.35">
      <c r="A6783" s="40">
        <v>43293</v>
      </c>
      <c r="B6783" s="38">
        <v>-22</v>
      </c>
      <c r="C6783" s="13" t="s">
        <v>1197</v>
      </c>
      <c r="D6783" s="36">
        <v>4819.07</v>
      </c>
      <c r="E6783" s="43" t="s">
        <v>3596</v>
      </c>
    </row>
    <row r="6784" spans="1:5" x14ac:dyDescent="0.35">
      <c r="A6784" s="40">
        <v>43293</v>
      </c>
      <c r="B6784" s="38">
        <v>-14</v>
      </c>
      <c r="C6784" s="13" t="s">
        <v>718</v>
      </c>
      <c r="D6784" s="36">
        <v>5701.74</v>
      </c>
      <c r="E6784" s="43" t="s">
        <v>3596</v>
      </c>
    </row>
    <row r="6785" spans="1:5" x14ac:dyDescent="0.35">
      <c r="A6785" s="40">
        <v>43292</v>
      </c>
      <c r="B6785" s="38">
        <v>-29.82</v>
      </c>
      <c r="C6785" s="13" t="s">
        <v>721</v>
      </c>
      <c r="D6785" s="36">
        <v>4583.29</v>
      </c>
      <c r="E6785" s="43" t="s">
        <v>3596</v>
      </c>
    </row>
    <row r="6786" spans="1:5" x14ac:dyDescent="0.35">
      <c r="A6786" s="40">
        <v>43292</v>
      </c>
      <c r="B6786" s="38">
        <v>1182.25</v>
      </c>
      <c r="C6786" s="13" t="s">
        <v>10</v>
      </c>
      <c r="D6786" s="36">
        <v>5730.24</v>
      </c>
      <c r="E6786" s="43" t="s">
        <v>3596</v>
      </c>
    </row>
    <row r="6787" spans="1:5" x14ac:dyDescent="0.35">
      <c r="A6787" s="40">
        <v>43292</v>
      </c>
      <c r="B6787" s="38">
        <v>-25.25</v>
      </c>
      <c r="C6787" s="13" t="s">
        <v>723</v>
      </c>
      <c r="D6787" s="36">
        <v>4631.41</v>
      </c>
      <c r="E6787" s="43" t="s">
        <v>3596</v>
      </c>
    </row>
    <row r="6788" spans="1:5" x14ac:dyDescent="0.35">
      <c r="A6788" s="40">
        <v>43292</v>
      </c>
      <c r="B6788" s="38">
        <v>-10.1</v>
      </c>
      <c r="C6788" s="13" t="s">
        <v>724</v>
      </c>
      <c r="D6788" s="36">
        <v>4656.66</v>
      </c>
      <c r="E6788" s="43" t="s">
        <v>3596</v>
      </c>
    </row>
    <row r="6789" spans="1:5" x14ac:dyDescent="0.35">
      <c r="A6789" s="40">
        <v>43292</v>
      </c>
      <c r="B6789" s="38">
        <v>-31.3</v>
      </c>
      <c r="C6789" s="13" t="s">
        <v>719</v>
      </c>
      <c r="D6789" s="36">
        <v>4547.99</v>
      </c>
      <c r="E6789" s="43" t="s">
        <v>3596</v>
      </c>
    </row>
    <row r="6790" spans="1:5" x14ac:dyDescent="0.35">
      <c r="A6790" s="40">
        <v>43292</v>
      </c>
      <c r="B6790" s="38">
        <v>-18.3</v>
      </c>
      <c r="C6790" s="13" t="s">
        <v>722</v>
      </c>
      <c r="D6790" s="36">
        <v>4613.1099999999997</v>
      </c>
      <c r="E6790" s="43" t="s">
        <v>3596</v>
      </c>
    </row>
    <row r="6791" spans="1:5" x14ac:dyDescent="0.35">
      <c r="A6791" s="40">
        <v>43292</v>
      </c>
      <c r="B6791" s="38">
        <v>-4</v>
      </c>
      <c r="C6791" s="13" t="s">
        <v>720</v>
      </c>
      <c r="D6791" s="36">
        <v>4579.29</v>
      </c>
      <c r="E6791" s="43" t="s">
        <v>3596</v>
      </c>
    </row>
    <row r="6792" spans="1:5" x14ac:dyDescent="0.35">
      <c r="A6792" s="40">
        <v>43291</v>
      </c>
      <c r="B6792" s="38">
        <v>-256</v>
      </c>
      <c r="C6792" s="13" t="s">
        <v>3642</v>
      </c>
      <c r="D6792" s="36">
        <v>4495.71</v>
      </c>
      <c r="E6792" s="43" t="s">
        <v>3596</v>
      </c>
    </row>
    <row r="6793" spans="1:5" x14ac:dyDescent="0.35">
      <c r="A6793" s="40">
        <v>43291</v>
      </c>
      <c r="B6793" s="38">
        <v>-3.83</v>
      </c>
      <c r="C6793" s="13" t="s">
        <v>736</v>
      </c>
      <c r="D6793" s="36">
        <v>4991.24</v>
      </c>
      <c r="E6793" s="43" t="s">
        <v>3596</v>
      </c>
    </row>
    <row r="6794" spans="1:5" x14ac:dyDescent="0.35">
      <c r="A6794" s="40">
        <v>43291</v>
      </c>
      <c r="B6794" s="38">
        <v>-50</v>
      </c>
      <c r="C6794" s="13" t="s">
        <v>732</v>
      </c>
      <c r="D6794" s="36">
        <v>4864.1400000000003</v>
      </c>
      <c r="E6794" s="43" t="s">
        <v>3596</v>
      </c>
    </row>
    <row r="6795" spans="1:5" x14ac:dyDescent="0.35">
      <c r="A6795" s="40">
        <v>43291</v>
      </c>
      <c r="B6795" s="38">
        <v>-5.7</v>
      </c>
      <c r="C6795" s="13" t="s">
        <v>728</v>
      </c>
      <c r="D6795" s="36">
        <v>4761.6899999999996</v>
      </c>
      <c r="E6795" s="43" t="s">
        <v>3596</v>
      </c>
    </row>
    <row r="6796" spans="1:5" x14ac:dyDescent="0.35">
      <c r="A6796" s="40">
        <v>43291</v>
      </c>
      <c r="B6796" s="38">
        <v>-19.600000000000001</v>
      </c>
      <c r="C6796" s="13" t="s">
        <v>733</v>
      </c>
      <c r="D6796" s="36">
        <v>4921.28</v>
      </c>
      <c r="E6796" s="43" t="s">
        <v>3596</v>
      </c>
    </row>
    <row r="6797" spans="1:5" x14ac:dyDescent="0.35">
      <c r="A6797" s="40">
        <v>43291</v>
      </c>
      <c r="B6797" s="38">
        <v>-7.5</v>
      </c>
      <c r="C6797" s="13" t="s">
        <v>733</v>
      </c>
      <c r="D6797" s="36">
        <v>4940.88</v>
      </c>
      <c r="E6797" s="43" t="s">
        <v>3596</v>
      </c>
    </row>
    <row r="6798" spans="1:5" x14ac:dyDescent="0.35">
      <c r="A6798" s="40">
        <v>43291</v>
      </c>
      <c r="B6798" s="38">
        <v>-14.7</v>
      </c>
      <c r="C6798" s="13" t="s">
        <v>733</v>
      </c>
      <c r="D6798" s="36">
        <v>4948.38</v>
      </c>
      <c r="E6798" s="43" t="s">
        <v>3596</v>
      </c>
    </row>
    <row r="6799" spans="1:5" x14ac:dyDescent="0.35">
      <c r="A6799" s="40">
        <v>43291</v>
      </c>
      <c r="B6799" s="38">
        <v>-9.98</v>
      </c>
      <c r="C6799" s="13" t="s">
        <v>727</v>
      </c>
      <c r="D6799" s="36">
        <v>4751.71</v>
      </c>
      <c r="E6799" s="43" t="s">
        <v>3596</v>
      </c>
    </row>
    <row r="6800" spans="1:5" x14ac:dyDescent="0.35">
      <c r="A6800" s="40">
        <v>43291</v>
      </c>
      <c r="B6800" s="38">
        <v>-14.66</v>
      </c>
      <c r="C6800" s="13" t="s">
        <v>734</v>
      </c>
      <c r="D6800" s="36">
        <v>4963.08</v>
      </c>
      <c r="E6800" s="43" t="s">
        <v>3596</v>
      </c>
    </row>
    <row r="6801" spans="1:5" x14ac:dyDescent="0.35">
      <c r="A6801" s="40">
        <v>43291</v>
      </c>
      <c r="B6801" s="38">
        <v>-19.190000000000001</v>
      </c>
      <c r="C6801" s="13" t="s">
        <v>724</v>
      </c>
      <c r="D6801" s="36">
        <v>4767.3900000000003</v>
      </c>
      <c r="E6801" s="43" t="s">
        <v>3596</v>
      </c>
    </row>
    <row r="6802" spans="1:5" x14ac:dyDescent="0.35">
      <c r="A6802" s="40">
        <v>43291</v>
      </c>
      <c r="B6802" s="38">
        <v>141.05000000000001</v>
      </c>
      <c r="C6802" s="13" t="s">
        <v>726</v>
      </c>
      <c r="D6802" s="36">
        <v>4636.76</v>
      </c>
      <c r="E6802" s="43" t="s">
        <v>3596</v>
      </c>
    </row>
    <row r="6803" spans="1:5" x14ac:dyDescent="0.35">
      <c r="A6803" s="40">
        <v>43291</v>
      </c>
      <c r="B6803" s="38">
        <v>30</v>
      </c>
      <c r="C6803" s="13" t="s">
        <v>725</v>
      </c>
      <c r="D6803" s="36">
        <v>4666.76</v>
      </c>
      <c r="E6803" s="43" t="s">
        <v>3596</v>
      </c>
    </row>
    <row r="6804" spans="1:5" x14ac:dyDescent="0.35">
      <c r="A6804" s="40">
        <v>43291</v>
      </c>
      <c r="B6804" s="38">
        <v>-6</v>
      </c>
      <c r="C6804" s="13" t="s">
        <v>731</v>
      </c>
      <c r="D6804" s="36">
        <v>4858.1400000000003</v>
      </c>
      <c r="E6804" s="43" t="s">
        <v>3596</v>
      </c>
    </row>
    <row r="6805" spans="1:5" x14ac:dyDescent="0.35">
      <c r="A6805" s="40">
        <v>43291</v>
      </c>
      <c r="B6805" s="38">
        <v>-7.14</v>
      </c>
      <c r="C6805" s="13" t="s">
        <v>1288</v>
      </c>
      <c r="D6805" s="36">
        <v>4914.1400000000003</v>
      </c>
      <c r="E6805" s="43" t="s">
        <v>3596</v>
      </c>
    </row>
    <row r="6806" spans="1:5" x14ac:dyDescent="0.35">
      <c r="A6806" s="40">
        <v>43291</v>
      </c>
      <c r="B6806" s="38">
        <v>-13.5</v>
      </c>
      <c r="C6806" s="13" t="s">
        <v>735</v>
      </c>
      <c r="D6806" s="36">
        <v>4977.74</v>
      </c>
      <c r="E6806" s="43" t="s">
        <v>3596</v>
      </c>
    </row>
    <row r="6807" spans="1:5" x14ac:dyDescent="0.35">
      <c r="A6807" s="40">
        <v>43291</v>
      </c>
      <c r="B6807" s="38">
        <v>-21.32</v>
      </c>
      <c r="C6807" s="13" t="s">
        <v>729</v>
      </c>
      <c r="D6807" s="36">
        <v>4786.58</v>
      </c>
      <c r="E6807" s="43" t="s">
        <v>3596</v>
      </c>
    </row>
    <row r="6808" spans="1:5" x14ac:dyDescent="0.35">
      <c r="A6808" s="40">
        <v>43291</v>
      </c>
      <c r="B6808" s="38">
        <v>-21.32</v>
      </c>
      <c r="C6808" s="13" t="s">
        <v>729</v>
      </c>
      <c r="D6808" s="36">
        <v>4807.8999999999996</v>
      </c>
      <c r="E6808" s="43" t="s">
        <v>3596</v>
      </c>
    </row>
    <row r="6809" spans="1:5" x14ac:dyDescent="0.35">
      <c r="A6809" s="40">
        <v>43291</v>
      </c>
      <c r="B6809" s="38">
        <v>-9.64</v>
      </c>
      <c r="C6809" s="13" t="s">
        <v>729</v>
      </c>
      <c r="D6809" s="36">
        <v>4829.22</v>
      </c>
      <c r="E6809" s="43" t="s">
        <v>3596</v>
      </c>
    </row>
    <row r="6810" spans="1:5" x14ac:dyDescent="0.35">
      <c r="A6810" s="40">
        <v>43291</v>
      </c>
      <c r="B6810" s="38">
        <v>-19.28</v>
      </c>
      <c r="C6810" s="13" t="s">
        <v>730</v>
      </c>
      <c r="D6810" s="36">
        <v>4838.8599999999997</v>
      </c>
      <c r="E6810" s="43" t="s">
        <v>3596</v>
      </c>
    </row>
    <row r="6811" spans="1:5" x14ac:dyDescent="0.35">
      <c r="A6811" s="40">
        <v>43290</v>
      </c>
      <c r="B6811" s="38">
        <v>900</v>
      </c>
      <c r="C6811" s="13" t="s">
        <v>536</v>
      </c>
      <c r="D6811" s="36">
        <v>4995.07</v>
      </c>
      <c r="E6811" s="43" t="s">
        <v>3596</v>
      </c>
    </row>
    <row r="6812" spans="1:5" x14ac:dyDescent="0.35">
      <c r="A6812" s="40">
        <v>43288</v>
      </c>
      <c r="B6812" s="38">
        <v>-45.8</v>
      </c>
      <c r="C6812" s="13" t="s">
        <v>737</v>
      </c>
      <c r="D6812" s="36">
        <v>4095.07</v>
      </c>
      <c r="E6812" s="43" t="s">
        <v>3596</v>
      </c>
    </row>
    <row r="6813" spans="1:5" x14ac:dyDescent="0.35">
      <c r="A6813" s="40">
        <v>43288</v>
      </c>
      <c r="B6813" s="38">
        <v>-4.9000000000000004</v>
      </c>
      <c r="C6813" s="13" t="s">
        <v>733</v>
      </c>
      <c r="D6813" s="36">
        <v>4172.37</v>
      </c>
      <c r="E6813" s="43" t="s">
        <v>3596</v>
      </c>
    </row>
    <row r="6814" spans="1:5" x14ac:dyDescent="0.35">
      <c r="A6814" s="40">
        <v>43288</v>
      </c>
      <c r="B6814" s="38">
        <v>-14</v>
      </c>
      <c r="C6814" s="13" t="s">
        <v>738</v>
      </c>
      <c r="D6814" s="36">
        <v>4140.87</v>
      </c>
      <c r="E6814" s="43" t="s">
        <v>3596</v>
      </c>
    </row>
    <row r="6815" spans="1:5" x14ac:dyDescent="0.35">
      <c r="A6815" s="40">
        <v>43288</v>
      </c>
      <c r="B6815" s="38">
        <v>-515</v>
      </c>
      <c r="C6815" s="13" t="s">
        <v>949</v>
      </c>
      <c r="D6815" s="36">
        <v>4177.2700000000004</v>
      </c>
      <c r="E6815" s="43" t="s">
        <v>3596</v>
      </c>
    </row>
    <row r="6816" spans="1:5" x14ac:dyDescent="0.35">
      <c r="A6816" s="40">
        <v>43288</v>
      </c>
      <c r="B6816" s="38">
        <v>-100</v>
      </c>
      <c r="C6816" s="13" t="s">
        <v>946</v>
      </c>
      <c r="D6816" s="36">
        <v>4692.2700000000004</v>
      </c>
      <c r="E6816" s="43" t="s">
        <v>3596</v>
      </c>
    </row>
    <row r="6817" spans="1:5" x14ac:dyDescent="0.35">
      <c r="A6817" s="40">
        <v>43288</v>
      </c>
      <c r="B6817" s="38">
        <v>-4</v>
      </c>
      <c r="C6817" s="13" t="s">
        <v>739</v>
      </c>
      <c r="D6817" s="36">
        <v>4154.87</v>
      </c>
      <c r="E6817" s="43" t="s">
        <v>3596</v>
      </c>
    </row>
    <row r="6818" spans="1:5" x14ac:dyDescent="0.35">
      <c r="A6818" s="40">
        <v>43288</v>
      </c>
      <c r="B6818" s="38">
        <v>-13.5</v>
      </c>
      <c r="C6818" s="13" t="s">
        <v>740</v>
      </c>
      <c r="D6818" s="36">
        <v>4158.87</v>
      </c>
      <c r="E6818" s="43" t="s">
        <v>3596</v>
      </c>
    </row>
    <row r="6819" spans="1:5" x14ac:dyDescent="0.35">
      <c r="A6819" s="40">
        <v>43287</v>
      </c>
      <c r="B6819" s="38">
        <v>-50</v>
      </c>
      <c r="C6819" s="13" t="s">
        <v>1729</v>
      </c>
      <c r="D6819" s="36">
        <v>4795.07</v>
      </c>
      <c r="E6819" s="43" t="s">
        <v>3596</v>
      </c>
    </row>
    <row r="6820" spans="1:5" x14ac:dyDescent="0.35">
      <c r="A6820" s="40">
        <v>43287</v>
      </c>
      <c r="B6820" s="38">
        <v>-20.2</v>
      </c>
      <c r="C6820" s="13" t="s">
        <v>746</v>
      </c>
      <c r="D6820" s="36">
        <v>5176.01</v>
      </c>
      <c r="E6820" s="43" t="s">
        <v>3596</v>
      </c>
    </row>
    <row r="6821" spans="1:5" x14ac:dyDescent="0.35">
      <c r="A6821" s="40">
        <v>43287</v>
      </c>
      <c r="B6821" s="38">
        <v>-279.95</v>
      </c>
      <c r="C6821" s="13" t="s">
        <v>744</v>
      </c>
      <c r="D6821" s="36">
        <v>4884.54</v>
      </c>
      <c r="E6821" s="43" t="s">
        <v>3596</v>
      </c>
    </row>
    <row r="6822" spans="1:5" x14ac:dyDescent="0.35">
      <c r="A6822" s="40">
        <v>43287</v>
      </c>
      <c r="B6822" s="38">
        <v>-11.52</v>
      </c>
      <c r="C6822" s="13" t="s">
        <v>745</v>
      </c>
      <c r="D6822" s="36">
        <v>5164.49</v>
      </c>
      <c r="E6822" s="43" t="s">
        <v>3596</v>
      </c>
    </row>
    <row r="6823" spans="1:5" x14ac:dyDescent="0.35">
      <c r="A6823" s="40">
        <v>43287</v>
      </c>
      <c r="B6823" s="38">
        <v>-2.8</v>
      </c>
      <c r="C6823" s="13" t="s">
        <v>24</v>
      </c>
      <c r="D6823" s="36">
        <v>4792.2700000000004</v>
      </c>
      <c r="E6823" s="43" t="s">
        <v>3596</v>
      </c>
    </row>
    <row r="6824" spans="1:5" x14ac:dyDescent="0.35">
      <c r="A6824" s="40">
        <v>43287</v>
      </c>
      <c r="B6824" s="38">
        <v>-0.9</v>
      </c>
      <c r="C6824" s="13" t="s">
        <v>742</v>
      </c>
      <c r="D6824" s="36">
        <v>4853.57</v>
      </c>
      <c r="E6824" s="43" t="s">
        <v>3596</v>
      </c>
    </row>
    <row r="6825" spans="1:5" x14ac:dyDescent="0.35">
      <c r="A6825" s="40">
        <v>43287</v>
      </c>
      <c r="B6825" s="38">
        <v>-151.27000000000001</v>
      </c>
      <c r="C6825" s="13" t="s">
        <v>1237</v>
      </c>
      <c r="D6825" s="36">
        <v>4541</v>
      </c>
      <c r="E6825" s="43" t="s">
        <v>3596</v>
      </c>
    </row>
    <row r="6826" spans="1:5" x14ac:dyDescent="0.35">
      <c r="A6826" s="40">
        <v>43287</v>
      </c>
      <c r="B6826" s="38">
        <v>-30.07</v>
      </c>
      <c r="C6826" s="13" t="s">
        <v>743</v>
      </c>
      <c r="D6826" s="36">
        <v>4854.47</v>
      </c>
      <c r="E6826" s="43" t="s">
        <v>3596</v>
      </c>
    </row>
    <row r="6827" spans="1:5" x14ac:dyDescent="0.35">
      <c r="A6827" s="40">
        <v>43287</v>
      </c>
      <c r="B6827" s="38">
        <v>-8.5</v>
      </c>
      <c r="C6827" s="13" t="s">
        <v>741</v>
      </c>
      <c r="D6827" s="36">
        <v>4845.07</v>
      </c>
      <c r="E6827" s="43" t="s">
        <v>3596</v>
      </c>
    </row>
    <row r="6828" spans="1:5" x14ac:dyDescent="0.35">
      <c r="A6828" s="40">
        <v>43286</v>
      </c>
      <c r="B6828" s="38">
        <v>-11.55</v>
      </c>
      <c r="C6828" s="13" t="s">
        <v>3641</v>
      </c>
      <c r="D6828" s="36">
        <v>5605.96</v>
      </c>
      <c r="E6828" s="43" t="s">
        <v>3596</v>
      </c>
    </row>
    <row r="6829" spans="1:5" x14ac:dyDescent="0.35">
      <c r="A6829" s="40">
        <v>43286</v>
      </c>
      <c r="B6829" s="38">
        <v>-15.75</v>
      </c>
      <c r="C6829" s="13" t="s">
        <v>749</v>
      </c>
      <c r="D6829" s="36">
        <v>5590.21</v>
      </c>
      <c r="E6829" s="43" t="s">
        <v>3596</v>
      </c>
    </row>
    <row r="6830" spans="1:5" x14ac:dyDescent="0.35">
      <c r="A6830" s="40">
        <v>43286</v>
      </c>
      <c r="B6830" s="38">
        <v>-390</v>
      </c>
      <c r="C6830" s="13" t="s">
        <v>747</v>
      </c>
      <c r="D6830" s="36">
        <v>5196.21</v>
      </c>
      <c r="E6830" s="43" t="s">
        <v>3596</v>
      </c>
    </row>
    <row r="6831" spans="1:5" x14ac:dyDescent="0.35">
      <c r="A6831" s="40">
        <v>43286</v>
      </c>
      <c r="B6831" s="38">
        <v>-4</v>
      </c>
      <c r="C6831" s="13" t="s">
        <v>748</v>
      </c>
      <c r="D6831" s="36">
        <v>5586.21</v>
      </c>
      <c r="E6831" s="43" t="s">
        <v>3596</v>
      </c>
    </row>
    <row r="6832" spans="1:5" x14ac:dyDescent="0.35">
      <c r="A6832" s="40">
        <v>43285</v>
      </c>
      <c r="B6832" s="38">
        <v>-20.16</v>
      </c>
      <c r="C6832" s="13" t="s">
        <v>753</v>
      </c>
      <c r="D6832" s="36">
        <v>4532.96</v>
      </c>
      <c r="E6832" s="43" t="s">
        <v>3596</v>
      </c>
    </row>
    <row r="6833" spans="1:5" x14ac:dyDescent="0.35">
      <c r="A6833" s="40">
        <v>43285</v>
      </c>
      <c r="B6833" s="38">
        <v>-500.16</v>
      </c>
      <c r="C6833" s="13" t="s">
        <v>757</v>
      </c>
      <c r="D6833" s="36">
        <v>4894.5200000000004</v>
      </c>
      <c r="E6833" s="43" t="s">
        <v>3596</v>
      </c>
    </row>
    <row r="6834" spans="1:5" x14ac:dyDescent="0.35">
      <c r="A6834" s="40">
        <v>43285</v>
      </c>
      <c r="B6834" s="38">
        <v>1230.06</v>
      </c>
      <c r="C6834" s="13" t="s">
        <v>10</v>
      </c>
      <c r="D6834" s="36">
        <v>5617.51</v>
      </c>
      <c r="E6834" s="43" t="s">
        <v>3596</v>
      </c>
    </row>
    <row r="6835" spans="1:5" x14ac:dyDescent="0.35">
      <c r="A6835" s="40">
        <v>43285</v>
      </c>
      <c r="B6835" s="38">
        <v>-12.5</v>
      </c>
      <c r="C6835" s="13" t="s">
        <v>3625</v>
      </c>
      <c r="D6835" s="36">
        <v>5394.68</v>
      </c>
      <c r="E6835" s="43" t="s">
        <v>3596</v>
      </c>
    </row>
    <row r="6836" spans="1:5" x14ac:dyDescent="0.35">
      <c r="A6836" s="40">
        <v>43285</v>
      </c>
      <c r="B6836" s="38">
        <v>-26.4</v>
      </c>
      <c r="C6836" s="13" t="s">
        <v>755</v>
      </c>
      <c r="D6836" s="36">
        <v>4853.12</v>
      </c>
      <c r="E6836" s="43" t="s">
        <v>3596</v>
      </c>
    </row>
    <row r="6837" spans="1:5" x14ac:dyDescent="0.35">
      <c r="A6837" s="40">
        <v>43285</v>
      </c>
      <c r="B6837" s="38">
        <v>-46</v>
      </c>
      <c r="C6837" s="13" t="s">
        <v>1250</v>
      </c>
      <c r="D6837" s="36">
        <v>4387.45</v>
      </c>
      <c r="E6837" s="43" t="s">
        <v>3596</v>
      </c>
    </row>
    <row r="6838" spans="1:5" x14ac:dyDescent="0.35">
      <c r="A6838" s="40">
        <v>43285</v>
      </c>
      <c r="B6838" s="38">
        <v>-15</v>
      </c>
      <c r="C6838" s="13" t="s">
        <v>756</v>
      </c>
      <c r="D6838" s="36">
        <v>4879.5200000000004</v>
      </c>
      <c r="E6838" s="43" t="s">
        <v>3596</v>
      </c>
    </row>
    <row r="6839" spans="1:5" x14ac:dyDescent="0.35">
      <c r="A6839" s="40">
        <v>43285</v>
      </c>
      <c r="B6839" s="38">
        <v>-300</v>
      </c>
      <c r="C6839" s="13" t="s">
        <v>754</v>
      </c>
      <c r="D6839" s="36">
        <v>4553.12</v>
      </c>
      <c r="E6839" s="43" t="s">
        <v>3596</v>
      </c>
    </row>
    <row r="6840" spans="1:5" x14ac:dyDescent="0.35">
      <c r="A6840" s="40">
        <v>43285</v>
      </c>
      <c r="B6840" s="38">
        <v>-30.45</v>
      </c>
      <c r="C6840" s="13" t="s">
        <v>750</v>
      </c>
      <c r="D6840" s="36">
        <v>4433.45</v>
      </c>
      <c r="E6840" s="43" t="s">
        <v>3596</v>
      </c>
    </row>
    <row r="6841" spans="1:5" x14ac:dyDescent="0.35">
      <c r="A6841" s="40">
        <v>43285</v>
      </c>
      <c r="B6841" s="38">
        <v>-9.06</v>
      </c>
      <c r="C6841" s="13" t="s">
        <v>751</v>
      </c>
      <c r="D6841" s="36">
        <v>4463.8999999999996</v>
      </c>
      <c r="E6841" s="43" t="s">
        <v>3596</v>
      </c>
    </row>
    <row r="6842" spans="1:5" x14ac:dyDescent="0.35">
      <c r="A6842" s="40">
        <v>43285</v>
      </c>
      <c r="B6842" s="38">
        <v>-60</v>
      </c>
      <c r="C6842" s="13" t="s">
        <v>752</v>
      </c>
      <c r="D6842" s="36">
        <v>4472.96</v>
      </c>
      <c r="E6842" s="43" t="s">
        <v>3596</v>
      </c>
    </row>
    <row r="6843" spans="1:5" x14ac:dyDescent="0.35">
      <c r="A6843" s="40">
        <v>43284</v>
      </c>
      <c r="B6843" s="38">
        <v>-50</v>
      </c>
      <c r="C6843" s="13" t="s">
        <v>759</v>
      </c>
      <c r="D6843" s="36">
        <v>5417.17</v>
      </c>
      <c r="E6843" s="43" t="s">
        <v>3596</v>
      </c>
    </row>
    <row r="6844" spans="1:5" x14ac:dyDescent="0.35">
      <c r="A6844" s="40">
        <v>43284</v>
      </c>
      <c r="B6844" s="38">
        <v>-9.99</v>
      </c>
      <c r="C6844" s="13" t="s">
        <v>758</v>
      </c>
      <c r="D6844" s="36">
        <v>5407.18</v>
      </c>
      <c r="E6844" s="43" t="s">
        <v>3596</v>
      </c>
    </row>
    <row r="6845" spans="1:5" x14ac:dyDescent="0.35">
      <c r="A6845" s="40">
        <v>43284</v>
      </c>
      <c r="B6845" s="38">
        <v>-13.9</v>
      </c>
      <c r="C6845" s="13" t="s">
        <v>760</v>
      </c>
      <c r="D6845" s="36">
        <v>5467.17</v>
      </c>
      <c r="E6845" s="43" t="s">
        <v>3596</v>
      </c>
    </row>
    <row r="6846" spans="1:5" x14ac:dyDescent="0.35">
      <c r="A6846" s="40">
        <v>43283</v>
      </c>
      <c r="B6846" s="38">
        <v>-166.4</v>
      </c>
      <c r="C6846" s="13" t="s">
        <v>761</v>
      </c>
      <c r="D6846" s="36">
        <v>5481.07</v>
      </c>
      <c r="E6846" s="43" t="s">
        <v>3596</v>
      </c>
    </row>
    <row r="6847" spans="1:5" x14ac:dyDescent="0.35">
      <c r="A6847" s="40">
        <v>43282</v>
      </c>
      <c r="B6847" s="38">
        <v>-6</v>
      </c>
      <c r="C6847" s="13" t="s">
        <v>762</v>
      </c>
      <c r="D6847" s="36">
        <v>5647.47</v>
      </c>
      <c r="E6847" s="43" t="s">
        <v>3596</v>
      </c>
    </row>
    <row r="6848" spans="1:5" x14ac:dyDescent="0.35">
      <c r="A6848" s="40">
        <v>43278</v>
      </c>
      <c r="B6848" s="38">
        <v>1171.25</v>
      </c>
      <c r="C6848" s="13" t="s">
        <v>10</v>
      </c>
      <c r="D6848" s="36">
        <v>6436.54</v>
      </c>
      <c r="E6848" s="43" t="s">
        <v>3596</v>
      </c>
    </row>
    <row r="6849" spans="1:5" x14ac:dyDescent="0.35">
      <c r="A6849" s="40">
        <v>43271</v>
      </c>
      <c r="B6849" s="38">
        <v>999.2</v>
      </c>
      <c r="C6849" s="13" t="s">
        <v>10</v>
      </c>
      <c r="D6849" s="36">
        <v>6169.99</v>
      </c>
      <c r="E6849" s="43" t="s">
        <v>3596</v>
      </c>
    </row>
    <row r="6850" spans="1:5" x14ac:dyDescent="0.35">
      <c r="A6850" s="40">
        <v>43266</v>
      </c>
      <c r="B6850" s="38">
        <v>1211.25</v>
      </c>
      <c r="C6850" s="13" t="s">
        <v>10</v>
      </c>
      <c r="D6850" s="36">
        <v>6299.3</v>
      </c>
      <c r="E6850" s="43" t="s">
        <v>3596</v>
      </c>
    </row>
    <row r="6851" spans="1:5" x14ac:dyDescent="0.35">
      <c r="A6851" s="40">
        <v>43246</v>
      </c>
      <c r="B6851" s="38">
        <v>-130</v>
      </c>
      <c r="C6851" s="13" t="s">
        <v>1198</v>
      </c>
      <c r="D6851" s="36">
        <v>1</v>
      </c>
      <c r="E6851" s="43" t="s">
        <v>3596</v>
      </c>
    </row>
    <row r="6852" spans="1:5" x14ac:dyDescent="0.35">
      <c r="A6852" s="40">
        <v>43238</v>
      </c>
      <c r="B6852" s="38">
        <v>-185</v>
      </c>
      <c r="C6852" s="13" t="s">
        <v>1199</v>
      </c>
      <c r="D6852" s="36">
        <v>1</v>
      </c>
      <c r="E6852" s="43" t="s">
        <v>3596</v>
      </c>
    </row>
    <row r="6853" spans="1:5" x14ac:dyDescent="0.35">
      <c r="A6853" s="40">
        <v>43238</v>
      </c>
      <c r="B6853" s="38">
        <v>-2990</v>
      </c>
      <c r="C6853" s="13" t="s">
        <v>1200</v>
      </c>
      <c r="D6853" s="36">
        <v>1</v>
      </c>
      <c r="E6853" s="43" t="s">
        <v>3596</v>
      </c>
    </row>
    <row r="6854" spans="1:5" x14ac:dyDescent="0.35">
      <c r="A6854" s="40">
        <v>43214</v>
      </c>
      <c r="B6854" s="38">
        <v>-20</v>
      </c>
      <c r="C6854" s="13" t="s">
        <v>1201</v>
      </c>
      <c r="D6854" s="36">
        <v>1</v>
      </c>
      <c r="E6854" s="43" t="s">
        <v>3596</v>
      </c>
    </row>
    <row r="6855" spans="1:5" x14ac:dyDescent="0.35">
      <c r="A6855" s="40">
        <v>43210</v>
      </c>
      <c r="B6855" s="38">
        <v>-600</v>
      </c>
      <c r="C6855" s="13" t="s">
        <v>1746</v>
      </c>
      <c r="D6855" s="36">
        <v>2865.68</v>
      </c>
      <c r="E6855" s="43" t="s">
        <v>3596</v>
      </c>
    </row>
    <row r="6856" spans="1:5" x14ac:dyDescent="0.35">
      <c r="A6856" s="40">
        <v>43168</v>
      </c>
      <c r="B6856" s="38">
        <v>-500</v>
      </c>
      <c r="C6856" s="13" t="s">
        <v>1747</v>
      </c>
      <c r="D6856" s="36">
        <v>3163.43</v>
      </c>
      <c r="E6856" s="43" t="s">
        <v>3596</v>
      </c>
    </row>
    <row r="6857" spans="1:5" x14ac:dyDescent="0.35">
      <c r="A6857" s="40">
        <v>43167</v>
      </c>
      <c r="B6857" s="38">
        <v>-500</v>
      </c>
      <c r="C6857" s="13" t="s">
        <v>1748</v>
      </c>
      <c r="D6857" s="36">
        <v>3685.03</v>
      </c>
      <c r="E6857" s="43" t="s">
        <v>3596</v>
      </c>
    </row>
    <row r="6858" spans="1:5" x14ac:dyDescent="0.35">
      <c r="A6858" s="40">
        <v>42999</v>
      </c>
      <c r="B6858" s="38">
        <v>-32</v>
      </c>
      <c r="C6858" s="13" t="s">
        <v>1202</v>
      </c>
      <c r="D6858" s="36">
        <v>1</v>
      </c>
      <c r="E6858" s="43" t="s">
        <v>3596</v>
      </c>
    </row>
    <row r="6859" spans="1:5" x14ac:dyDescent="0.35">
      <c r="A6859" s="40">
        <v>42996</v>
      </c>
      <c r="B6859" s="38">
        <v>-469</v>
      </c>
      <c r="C6859" s="13" t="s">
        <v>1203</v>
      </c>
      <c r="D6859" s="36">
        <v>1</v>
      </c>
      <c r="E6859" s="43" t="s">
        <v>3596</v>
      </c>
    </row>
    <row r="6860" spans="1:5" x14ac:dyDescent="0.35">
      <c r="A6860" s="40">
        <v>42989</v>
      </c>
      <c r="B6860" s="38">
        <v>-40</v>
      </c>
      <c r="C6860" s="13" t="s">
        <v>1204</v>
      </c>
      <c r="D6860" s="36">
        <v>1</v>
      </c>
      <c r="E6860" s="43" t="s">
        <v>3596</v>
      </c>
    </row>
    <row r="6861" spans="1:5" x14ac:dyDescent="0.35">
      <c r="A6861" s="40">
        <v>42989</v>
      </c>
      <c r="B6861" s="38">
        <v>-32</v>
      </c>
      <c r="C6861" s="13" t="s">
        <v>1205</v>
      </c>
      <c r="D6861" s="36">
        <v>1</v>
      </c>
      <c r="E6861" s="43" t="s">
        <v>3596</v>
      </c>
    </row>
    <row r="6862" spans="1:5" x14ac:dyDescent="0.35">
      <c r="A6862" s="40">
        <v>42987</v>
      </c>
      <c r="B6862" s="38">
        <v>-50</v>
      </c>
      <c r="C6862" s="13" t="s">
        <v>1206</v>
      </c>
      <c r="D6862" s="36">
        <v>1</v>
      </c>
      <c r="E6862" s="43" t="s">
        <v>3596</v>
      </c>
    </row>
    <row r="6863" spans="1:5" x14ac:dyDescent="0.35">
      <c r="A6863" s="40">
        <v>42952</v>
      </c>
      <c r="B6863" s="38">
        <v>-1170</v>
      </c>
      <c r="C6863" s="13" t="s">
        <v>1207</v>
      </c>
      <c r="D6863" s="36">
        <v>1</v>
      </c>
      <c r="E6863" s="43" t="s">
        <v>3596</v>
      </c>
    </row>
    <row r="6864" spans="1:5" x14ac:dyDescent="0.35">
      <c r="A6864" s="40">
        <v>42951</v>
      </c>
      <c r="B6864" s="38">
        <v>-4155</v>
      </c>
      <c r="C6864" s="13" t="s">
        <v>1208</v>
      </c>
      <c r="D6864" s="36">
        <v>1</v>
      </c>
      <c r="E6864" s="43" t="s">
        <v>3596</v>
      </c>
    </row>
    <row r="6865" spans="1:5" x14ac:dyDescent="0.35">
      <c r="A6865" s="40">
        <v>42947</v>
      </c>
      <c r="B6865" s="38">
        <v>-245</v>
      </c>
      <c r="C6865" s="13" t="s">
        <v>1209</v>
      </c>
      <c r="D6865" s="36">
        <v>1</v>
      </c>
      <c r="E6865" s="43" t="s">
        <v>3596</v>
      </c>
    </row>
    <row r="6866" spans="1:5" x14ac:dyDescent="0.35">
      <c r="A6866" s="40">
        <v>42914</v>
      </c>
      <c r="B6866" s="38">
        <v>-788.3</v>
      </c>
      <c r="C6866" s="13" t="s">
        <v>1214</v>
      </c>
      <c r="D6866" s="36">
        <v>1</v>
      </c>
      <c r="E6866" s="43" t="s">
        <v>3596</v>
      </c>
    </row>
    <row r="6867" spans="1:5" x14ac:dyDescent="0.35">
      <c r="A6867" s="40">
        <v>42895</v>
      </c>
      <c r="B6867" s="38">
        <v>-2588</v>
      </c>
      <c r="C6867" s="13" t="s">
        <v>1210</v>
      </c>
      <c r="D6867" s="36">
        <v>1</v>
      </c>
      <c r="E6867" s="43" t="s">
        <v>3596</v>
      </c>
    </row>
    <row r="6868" spans="1:5" x14ac:dyDescent="0.35">
      <c r="A6868" s="40">
        <v>42864</v>
      </c>
      <c r="B6868" s="38">
        <v>-212.5</v>
      </c>
      <c r="C6868" s="13" t="s">
        <v>1212</v>
      </c>
      <c r="D6868" s="36">
        <v>1</v>
      </c>
      <c r="E6868" s="43" t="s">
        <v>3596</v>
      </c>
    </row>
    <row r="6869" spans="1:5" x14ac:dyDescent="0.35">
      <c r="A6869" s="40">
        <v>42391</v>
      </c>
      <c r="B6869" s="38">
        <v>-38</v>
      </c>
      <c r="C6869" s="13" t="s">
        <v>1211</v>
      </c>
      <c r="D6869" s="36">
        <v>1</v>
      </c>
      <c r="E6869" s="43" t="s">
        <v>3596</v>
      </c>
    </row>
    <row r="6870" spans="1:5" x14ac:dyDescent="0.35">
      <c r="A6870" s="40">
        <v>42327</v>
      </c>
      <c r="B6870" s="38">
        <v>-78.62</v>
      </c>
      <c r="C6870" s="13" t="s">
        <v>1213</v>
      </c>
      <c r="D6870" s="36">
        <v>1</v>
      </c>
      <c r="E6870" s="43" t="s">
        <v>3596</v>
      </c>
    </row>
    <row r="6871" spans="1:5" x14ac:dyDescent="0.35">
      <c r="A6871" s="40">
        <v>40297</v>
      </c>
      <c r="B6871" s="38">
        <v>-232.22</v>
      </c>
      <c r="C6871" s="13" t="s">
        <v>1215</v>
      </c>
      <c r="D6871" s="36">
        <v>1</v>
      </c>
      <c r="E6871" s="43" t="s">
        <v>3596</v>
      </c>
    </row>
  </sheetData>
  <sortState xmlns:xlrd2="http://schemas.microsoft.com/office/spreadsheetml/2017/richdata2" ref="A2:E5051">
    <sortCondition descending="1" ref="A1"/>
  </sortState>
  <phoneticPr fontId="18" type="noConversion"/>
  <conditionalFormatting sqref="B1:B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2887-8971-4C40-8D40-A5693193125D}">
  <dimension ref="B1:F25"/>
  <sheetViews>
    <sheetView showGridLines="0" topLeftCell="B1" workbookViewId="0">
      <pane ySplit="1" topLeftCell="A2" activePane="bottomLeft" state="frozen"/>
      <selection activeCell="B1" sqref="B1"/>
      <selection pane="bottomLeft" activeCell="M10" sqref="M10"/>
    </sheetView>
  </sheetViews>
  <sheetFormatPr defaultRowHeight="14.5" x14ac:dyDescent="0.35"/>
  <cols>
    <col min="2" max="2" width="44.54296875" customWidth="1"/>
    <col min="3" max="6" width="65.7265625" customWidth="1"/>
  </cols>
  <sheetData>
    <row r="1" spans="2:6" x14ac:dyDescent="0.35">
      <c r="B1" s="5" t="s">
        <v>3551</v>
      </c>
      <c r="C1" s="25" t="s">
        <v>3522</v>
      </c>
      <c r="D1" s="20" t="s">
        <v>3520</v>
      </c>
      <c r="E1" s="5" t="s">
        <v>3521</v>
      </c>
      <c r="F1" s="5" t="s">
        <v>3523</v>
      </c>
    </row>
    <row r="2" spans="2:6" x14ac:dyDescent="0.35">
      <c r="B2" s="20" t="s">
        <v>3524</v>
      </c>
      <c r="C2" s="26">
        <v>150000</v>
      </c>
      <c r="D2" s="17">
        <v>130000</v>
      </c>
      <c r="E2" s="17">
        <v>120000</v>
      </c>
      <c r="F2" s="17">
        <v>120000</v>
      </c>
    </row>
    <row r="3" spans="2:6" ht="29" x14ac:dyDescent="0.35">
      <c r="B3" s="20" t="s">
        <v>3531</v>
      </c>
      <c r="C3" s="27" t="s">
        <v>3550</v>
      </c>
      <c r="D3" s="17" t="s">
        <v>3536</v>
      </c>
      <c r="E3" s="17" t="s">
        <v>3538</v>
      </c>
      <c r="F3" s="17" t="s">
        <v>3542</v>
      </c>
    </row>
    <row r="4" spans="2:6" ht="29" x14ac:dyDescent="0.35">
      <c r="B4" s="20" t="s">
        <v>3532</v>
      </c>
      <c r="C4" s="27"/>
      <c r="D4" s="21" t="s">
        <v>3549</v>
      </c>
      <c r="E4" s="21" t="s">
        <v>3547</v>
      </c>
      <c r="F4" s="21" t="s">
        <v>3548</v>
      </c>
    </row>
    <row r="5" spans="2:6" ht="29" x14ac:dyDescent="0.35">
      <c r="B5" s="20" t="s">
        <v>3525</v>
      </c>
      <c r="C5" s="25">
        <v>0.66</v>
      </c>
      <c r="D5" s="18" t="s">
        <v>3533</v>
      </c>
      <c r="E5" s="5">
        <v>1</v>
      </c>
      <c r="F5" s="5">
        <v>0.75</v>
      </c>
    </row>
    <row r="6" spans="2:6" x14ac:dyDescent="0.35">
      <c r="B6" s="20" t="s">
        <v>3526</v>
      </c>
      <c r="C6" s="28">
        <v>295</v>
      </c>
      <c r="D6" s="7">
        <v>425</v>
      </c>
      <c r="E6" s="7">
        <v>295</v>
      </c>
      <c r="F6" s="7">
        <v>295</v>
      </c>
    </row>
    <row r="7" spans="2:6" ht="29" x14ac:dyDescent="0.35">
      <c r="B7" s="20" t="s">
        <v>3539</v>
      </c>
      <c r="C7" s="28"/>
      <c r="D7" s="22" t="s">
        <v>3546</v>
      </c>
      <c r="E7" s="7" t="s">
        <v>3540</v>
      </c>
      <c r="F7" s="7"/>
    </row>
    <row r="8" spans="2:6" x14ac:dyDescent="0.35">
      <c r="B8" s="20" t="s">
        <v>3527</v>
      </c>
      <c r="C8" s="29">
        <v>0.03</v>
      </c>
      <c r="D8" s="5" t="s">
        <v>3534</v>
      </c>
      <c r="E8" s="5" t="s">
        <v>3534</v>
      </c>
      <c r="F8" s="20" t="s">
        <v>3534</v>
      </c>
    </row>
    <row r="9" spans="2:6" x14ac:dyDescent="0.35">
      <c r="B9" s="20" t="s">
        <v>3413</v>
      </c>
      <c r="C9" s="29" t="s">
        <v>3563</v>
      </c>
      <c r="D9" s="5" t="s">
        <v>3541</v>
      </c>
      <c r="E9" s="19">
        <v>0.2099</v>
      </c>
      <c r="F9" s="19">
        <v>0.19989999999999999</v>
      </c>
    </row>
    <row r="10" spans="2:6" ht="72.5" x14ac:dyDescent="0.35">
      <c r="B10" s="20" t="s">
        <v>3529</v>
      </c>
      <c r="C10" s="30" t="s">
        <v>3528</v>
      </c>
      <c r="D10" s="18" t="s">
        <v>3535</v>
      </c>
      <c r="E10" s="18" t="s">
        <v>3537</v>
      </c>
      <c r="F10" s="18" t="s">
        <v>3543</v>
      </c>
    </row>
    <row r="11" spans="2:6" x14ac:dyDescent="0.35">
      <c r="B11" s="20" t="s">
        <v>3530</v>
      </c>
      <c r="C11" s="31">
        <v>50000</v>
      </c>
      <c r="D11" s="5" t="s">
        <v>3534</v>
      </c>
      <c r="E11" s="23">
        <v>20000</v>
      </c>
      <c r="F11" s="23">
        <v>20833</v>
      </c>
    </row>
    <row r="12" spans="2:6" x14ac:dyDescent="0.35">
      <c r="B12" s="20" t="s">
        <v>3545</v>
      </c>
      <c r="C12" s="25"/>
      <c r="D12" s="5"/>
      <c r="E12" s="5"/>
      <c r="F12" s="5" t="s">
        <v>3544</v>
      </c>
    </row>
    <row r="13" spans="2:6" ht="43.5" x14ac:dyDescent="0.35">
      <c r="B13" s="20" t="s">
        <v>3552</v>
      </c>
      <c r="C13" s="30" t="s">
        <v>3553</v>
      </c>
      <c r="D13" s="18" t="s">
        <v>3554</v>
      </c>
      <c r="E13" s="18" t="s">
        <v>3553</v>
      </c>
      <c r="F13" s="18" t="s">
        <v>3555</v>
      </c>
    </row>
    <row r="14" spans="2:6" x14ac:dyDescent="0.35">
      <c r="B14" s="20" t="s">
        <v>3556</v>
      </c>
      <c r="C14" s="26">
        <v>8910</v>
      </c>
      <c r="D14" s="17">
        <v>10500</v>
      </c>
      <c r="E14" s="17">
        <v>13500</v>
      </c>
      <c r="F14" s="17">
        <v>10125</v>
      </c>
    </row>
    <row r="15" spans="2:6" x14ac:dyDescent="0.35">
      <c r="B15" s="20"/>
      <c r="C15" s="26"/>
      <c r="D15" s="17"/>
      <c r="E15" s="17"/>
      <c r="F15" s="17"/>
    </row>
    <row r="16" spans="2:6" x14ac:dyDescent="0.35">
      <c r="B16" s="20" t="s">
        <v>3562</v>
      </c>
      <c r="C16" s="26"/>
      <c r="D16" s="17">
        <f>SUM(D17, -30000)</f>
        <v>110500</v>
      </c>
      <c r="E16" s="17">
        <f>SUM(E17, -30000)</f>
        <v>103500</v>
      </c>
      <c r="F16" s="17">
        <f>SUM(F17, -30000)</f>
        <v>100125</v>
      </c>
    </row>
    <row r="17" spans="2:6" x14ac:dyDescent="0.35">
      <c r="B17" s="20" t="s">
        <v>3561</v>
      </c>
      <c r="C17" s="26">
        <f>SUM(C2,C14)</f>
        <v>158910</v>
      </c>
      <c r="D17" s="17">
        <f>SUM(D2,D14)</f>
        <v>140500</v>
      </c>
      <c r="E17" s="17">
        <f>SUM(E2,E14)</f>
        <v>133500</v>
      </c>
      <c r="F17" s="17">
        <f>SUM(F2,F14)</f>
        <v>130125</v>
      </c>
    </row>
    <row r="18" spans="2:6" ht="29" x14ac:dyDescent="0.35">
      <c r="B18" s="20" t="s">
        <v>3559</v>
      </c>
      <c r="C18" s="31" t="s">
        <v>3560</v>
      </c>
      <c r="D18" s="24" t="s">
        <v>3568</v>
      </c>
      <c r="E18" s="18" t="s">
        <v>3557</v>
      </c>
      <c r="F18" s="18" t="s">
        <v>3558</v>
      </c>
    </row>
    <row r="19" spans="2:6" ht="43.5" x14ac:dyDescent="0.35">
      <c r="B19" s="20" t="s">
        <v>3565</v>
      </c>
      <c r="C19" s="32" t="s">
        <v>3564</v>
      </c>
      <c r="D19" s="18" t="s">
        <v>3569</v>
      </c>
      <c r="E19" s="5"/>
      <c r="F19" s="5"/>
    </row>
    <row r="22" spans="2:6" x14ac:dyDescent="0.35">
      <c r="B22" s="5" t="s">
        <v>3566</v>
      </c>
      <c r="C22" s="23">
        <v>1343</v>
      </c>
      <c r="D22" s="17">
        <v>55200</v>
      </c>
    </row>
    <row r="23" spans="2:6" x14ac:dyDescent="0.35">
      <c r="B23" s="5" t="s">
        <v>3567</v>
      </c>
      <c r="C23" s="23">
        <v>1412</v>
      </c>
      <c r="D23" s="17">
        <v>66200</v>
      </c>
    </row>
    <row r="24" spans="2:6" x14ac:dyDescent="0.35">
      <c r="B24" s="5" t="s">
        <v>3515</v>
      </c>
      <c r="C24" s="23">
        <v>2755</v>
      </c>
      <c r="D24" s="17">
        <v>121400</v>
      </c>
    </row>
    <row r="25" spans="2:6" x14ac:dyDescent="0.35">
      <c r="B25" s="5"/>
      <c r="D25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1B1D-27E7-D549-ADA6-064852CAD1C0}">
  <sheetPr codeName="Sheet10">
    <tabColor theme="8" tint="0.79998168889431442"/>
  </sheetPr>
  <dimension ref="A1:X150"/>
  <sheetViews>
    <sheetView topLeftCell="D99" workbookViewId="0">
      <selection sqref="A1:K150"/>
    </sheetView>
  </sheetViews>
  <sheetFormatPr defaultColWidth="11.453125" defaultRowHeight="14.5" x14ac:dyDescent="0.35"/>
  <cols>
    <col min="1" max="1" width="16.26953125" customWidth="1"/>
    <col min="2" max="2" width="12.1796875" bestFit="1" customWidth="1"/>
    <col min="5" max="5" width="13" customWidth="1"/>
    <col min="6" max="6" width="12.453125" customWidth="1"/>
    <col min="8" max="8" width="17" customWidth="1"/>
    <col min="10" max="10" width="11.1796875" customWidth="1"/>
    <col min="11" max="11" width="18.453125" bestFit="1" customWidth="1"/>
    <col min="12" max="12" width="22.453125" style="11" customWidth="1"/>
    <col min="13" max="13" width="18.1796875" style="3" bestFit="1" customWidth="1"/>
    <col min="15" max="15" width="12.36328125" bestFit="1" customWidth="1"/>
    <col min="16" max="17" width="20.08984375" bestFit="1" customWidth="1"/>
    <col min="18" max="18" width="12.453125" bestFit="1" customWidth="1"/>
    <col min="20" max="20" width="23" bestFit="1" customWidth="1"/>
    <col min="26" max="26" width="23.1796875" customWidth="1"/>
    <col min="27" max="27" width="16.81640625" customWidth="1"/>
  </cols>
  <sheetData>
    <row r="1" spans="1:24" x14ac:dyDescent="0.35">
      <c r="A1" t="s">
        <v>1749</v>
      </c>
      <c r="B1" t="s">
        <v>1750</v>
      </c>
      <c r="C1" t="s">
        <v>1751</v>
      </c>
      <c r="D1" t="s">
        <v>310</v>
      </c>
      <c r="E1" t="s">
        <v>1752</v>
      </c>
      <c r="F1" t="s">
        <v>1753</v>
      </c>
      <c r="G1" t="s">
        <v>1754</v>
      </c>
      <c r="H1" t="s">
        <v>1755</v>
      </c>
      <c r="I1" t="s">
        <v>1756</v>
      </c>
      <c r="J1" t="s">
        <v>1757</v>
      </c>
      <c r="K1" t="s">
        <v>1758</v>
      </c>
      <c r="L1" s="9" t="s">
        <v>1830</v>
      </c>
      <c r="M1" s="10" t="s">
        <v>1831</v>
      </c>
    </row>
    <row r="2" spans="1:24" x14ac:dyDescent="0.35">
      <c r="A2" s="8">
        <v>45349.010416666664</v>
      </c>
      <c r="B2" t="s">
        <v>1795</v>
      </c>
      <c r="C2" t="s">
        <v>3570</v>
      </c>
      <c r="D2">
        <v>2245.9558126400002</v>
      </c>
      <c r="E2">
        <v>7.0413000000000003E-2</v>
      </c>
      <c r="F2">
        <v>7.1124242424242395E-2</v>
      </c>
      <c r="G2" t="s">
        <v>3571</v>
      </c>
      <c r="H2">
        <v>1.6</v>
      </c>
      <c r="I2">
        <v>0.15</v>
      </c>
      <c r="J2">
        <v>158.13999999999999</v>
      </c>
      <c r="K2" t="s">
        <v>3572</v>
      </c>
      <c r="L2" s="6">
        <f>VALUE(IF(Crypto_Dataset[[#This Row],[Type]]="Sell", _xlfn.CONCAT("-", Crypto_Dataset[[#This Row],[Total AUD]]), Crypto_Dataset[[#This Row],[Total AUD]]))</f>
        <v>-158.13999999999999</v>
      </c>
      <c r="M2" s="3">
        <f>VALUE(IF(Crypto_Dataset[[#This Row],[Type]]="Sell", _xlfn.CONCAT("-", Crypto_Dataset[[#This Row],[Amount]]), Crypto_Dataset[[#This Row],[Amount]]))</f>
        <v>-2245.9558126400002</v>
      </c>
      <c r="O2" s="2" t="s">
        <v>315</v>
      </c>
      <c r="P2" t="s">
        <v>3735</v>
      </c>
      <c r="W2" s="34"/>
      <c r="X2" s="34"/>
    </row>
    <row r="3" spans="1:24" x14ac:dyDescent="0.35">
      <c r="A3" s="8">
        <v>45271.032638888886</v>
      </c>
      <c r="B3" t="s">
        <v>1795</v>
      </c>
      <c r="C3" t="s">
        <v>2109</v>
      </c>
      <c r="D3">
        <v>9620009.6200096197</v>
      </c>
      <c r="E3">
        <v>2.0789999999999999E-6</v>
      </c>
      <c r="F3">
        <v>2.0999999999999998E-6</v>
      </c>
      <c r="G3" t="s">
        <v>3573</v>
      </c>
      <c r="H3">
        <v>0.2</v>
      </c>
      <c r="I3">
        <v>0.02</v>
      </c>
      <c r="J3">
        <v>20</v>
      </c>
      <c r="K3" t="s">
        <v>3574</v>
      </c>
      <c r="L3" s="6">
        <f>VALUE(IF(Crypto_Dataset[[#This Row],[Type]]="Sell", _xlfn.CONCAT("-", Crypto_Dataset[[#This Row],[Total AUD]]), Crypto_Dataset[[#This Row],[Total AUD]]))</f>
        <v>-20</v>
      </c>
      <c r="M3" s="3">
        <f>VALUE(IF(Crypto_Dataset[[#This Row],[Type]]="Sell", _xlfn.CONCAT("-", Crypto_Dataset[[#This Row],[Amount]]), Crypto_Dataset[[#This Row],[Amount]]))</f>
        <v>-9620009.6200096197</v>
      </c>
      <c r="O3" s="3" t="s">
        <v>1774</v>
      </c>
      <c r="P3" s="12">
        <v>25739.289999999997</v>
      </c>
      <c r="W3" s="34"/>
      <c r="X3" s="34"/>
    </row>
    <row r="4" spans="1:24" x14ac:dyDescent="0.35">
      <c r="A4" s="8">
        <v>45271.031944444447</v>
      </c>
      <c r="B4" t="s">
        <v>1759</v>
      </c>
      <c r="C4" t="s">
        <v>2109</v>
      </c>
      <c r="D4">
        <v>4566210.0456621004</v>
      </c>
      <c r="E4">
        <v>2.1900000000000002E-6</v>
      </c>
      <c r="F4">
        <v>2.1683168316831598E-6</v>
      </c>
      <c r="G4" t="s">
        <v>3575</v>
      </c>
      <c r="H4">
        <v>0.1</v>
      </c>
      <c r="I4">
        <v>0.01</v>
      </c>
      <c r="J4">
        <v>10</v>
      </c>
      <c r="K4" t="s">
        <v>3576</v>
      </c>
      <c r="L4" s="6">
        <f>VALUE(IF(Crypto_Dataset[[#This Row],[Type]]="Sell", _xlfn.CONCAT("-", Crypto_Dataset[[#This Row],[Total AUD]]), Crypto_Dataset[[#This Row],[Total AUD]]))</f>
        <v>10</v>
      </c>
      <c r="M4" s="3">
        <f>VALUE(IF(Crypto_Dataset[[#This Row],[Type]]="Sell", _xlfn.CONCAT("-", Crypto_Dataset[[#This Row],[Amount]]), Crypto_Dataset[[#This Row],[Amount]]))</f>
        <v>4566210.0456621004</v>
      </c>
      <c r="O4" s="3" t="s">
        <v>1762</v>
      </c>
      <c r="P4" s="12">
        <v>11651.339999999997</v>
      </c>
      <c r="W4" s="34"/>
      <c r="X4" s="34"/>
    </row>
    <row r="5" spans="1:24" x14ac:dyDescent="0.35">
      <c r="A5" s="8">
        <v>45266.982638888891</v>
      </c>
      <c r="B5" t="s">
        <v>1795</v>
      </c>
      <c r="C5" t="s">
        <v>2109</v>
      </c>
      <c r="D5">
        <v>9966777.4086378701</v>
      </c>
      <c r="E5">
        <v>1.505E-6</v>
      </c>
      <c r="F5">
        <v>1.5202020202020201E-6</v>
      </c>
      <c r="G5" t="s">
        <v>3577</v>
      </c>
      <c r="H5">
        <v>0.15</v>
      </c>
      <c r="I5">
        <v>0.01</v>
      </c>
      <c r="J5">
        <v>15</v>
      </c>
      <c r="K5" t="s">
        <v>3578</v>
      </c>
      <c r="L5" s="6">
        <f>VALUE(IF(Crypto_Dataset[[#This Row],[Type]]="Sell", _xlfn.CONCAT("-", Crypto_Dataset[[#This Row],[Total AUD]]), Crypto_Dataset[[#This Row],[Total AUD]]))</f>
        <v>-15</v>
      </c>
      <c r="M5" s="3">
        <f>VALUE(IF(Crypto_Dataset[[#This Row],[Type]]="Sell", _xlfn.CONCAT("-", Crypto_Dataset[[#This Row],[Amount]]), Crypto_Dataset[[#This Row],[Amount]]))</f>
        <v>-9966777.4086378701</v>
      </c>
      <c r="O5" s="3" t="s">
        <v>1767</v>
      </c>
      <c r="P5" s="12">
        <v>4968.04</v>
      </c>
      <c r="W5" s="34"/>
      <c r="X5" s="34"/>
    </row>
    <row r="6" spans="1:24" x14ac:dyDescent="0.35">
      <c r="A6" s="8">
        <v>45266.962500000001</v>
      </c>
      <c r="B6" t="s">
        <v>1795</v>
      </c>
      <c r="C6" t="s">
        <v>2109</v>
      </c>
      <c r="D6">
        <v>15</v>
      </c>
      <c r="E6">
        <v>1.505E-6</v>
      </c>
      <c r="F6">
        <v>1.5202020202020201E-6</v>
      </c>
      <c r="G6" t="s">
        <v>3579</v>
      </c>
      <c r="H6">
        <v>0</v>
      </c>
      <c r="I6">
        <v>0</v>
      </c>
      <c r="J6">
        <v>0</v>
      </c>
      <c r="K6" t="s">
        <v>3580</v>
      </c>
      <c r="L6" s="6">
        <f>VALUE(IF(Crypto_Dataset[[#This Row],[Type]]="Sell", _xlfn.CONCAT("-", Crypto_Dataset[[#This Row],[Total AUD]]), Crypto_Dataset[[#This Row],[Total AUD]]))</f>
        <v>0</v>
      </c>
      <c r="M6" s="3">
        <f>VALUE(IF(Crypto_Dataset[[#This Row],[Type]]="Sell", _xlfn.CONCAT("-", Crypto_Dataset[[#This Row],[Amount]]), Crypto_Dataset[[#This Row],[Amount]]))</f>
        <v>-15</v>
      </c>
      <c r="O6" s="3" t="s">
        <v>1766</v>
      </c>
      <c r="P6" s="12">
        <v>4250</v>
      </c>
      <c r="W6" s="34"/>
      <c r="X6" s="34"/>
    </row>
    <row r="7" spans="1:24" x14ac:dyDescent="0.35">
      <c r="A7" s="8">
        <v>45266.905555555553</v>
      </c>
      <c r="B7" t="s">
        <v>1795</v>
      </c>
      <c r="C7" t="s">
        <v>2109</v>
      </c>
      <c r="D7">
        <v>17421602.787456401</v>
      </c>
      <c r="E7">
        <v>1.1480000000000001E-6</v>
      </c>
      <c r="F7">
        <v>1.1595959595959501E-6</v>
      </c>
      <c r="G7" t="s">
        <v>3573</v>
      </c>
      <c r="H7">
        <v>0.2</v>
      </c>
      <c r="I7">
        <v>0.02</v>
      </c>
      <c r="J7">
        <v>20</v>
      </c>
      <c r="K7" t="s">
        <v>3574</v>
      </c>
      <c r="L7" s="6">
        <f>VALUE(IF(Crypto_Dataset[[#This Row],[Type]]="Sell", _xlfn.CONCAT("-", Crypto_Dataset[[#This Row],[Total AUD]]), Crypto_Dataset[[#This Row],[Total AUD]]))</f>
        <v>-20</v>
      </c>
      <c r="M7" s="3">
        <f>VALUE(IF(Crypto_Dataset[[#This Row],[Type]]="Sell", _xlfn.CONCAT("-", Crypto_Dataset[[#This Row],[Amount]]), Crypto_Dataset[[#This Row],[Amount]]))</f>
        <v>-17421602.787456401</v>
      </c>
      <c r="O7" s="3" t="s">
        <v>1814</v>
      </c>
      <c r="P7" s="12">
        <v>914.8</v>
      </c>
      <c r="W7" s="34"/>
      <c r="X7" s="34"/>
    </row>
    <row r="8" spans="1:24" x14ac:dyDescent="0.35">
      <c r="A8" s="8">
        <v>45266.897222222222</v>
      </c>
      <c r="B8" t="s">
        <v>1795</v>
      </c>
      <c r="C8" t="s">
        <v>3581</v>
      </c>
      <c r="D8">
        <v>1170.0011700011601</v>
      </c>
      <c r="E8">
        <v>1.7094000000000002E-2</v>
      </c>
      <c r="F8">
        <v>1.72666666666666E-2</v>
      </c>
      <c r="G8" t="s">
        <v>3573</v>
      </c>
      <c r="H8">
        <v>0.2</v>
      </c>
      <c r="I8">
        <v>0.02</v>
      </c>
      <c r="J8">
        <v>20</v>
      </c>
      <c r="K8" t="s">
        <v>3574</v>
      </c>
      <c r="L8" s="6">
        <f>VALUE(IF(Crypto_Dataset[[#This Row],[Type]]="Sell", _xlfn.CONCAT("-", Crypto_Dataset[[#This Row],[Total AUD]]), Crypto_Dataset[[#This Row],[Total AUD]]))</f>
        <v>-20</v>
      </c>
      <c r="M8" s="3">
        <f>VALUE(IF(Crypto_Dataset[[#This Row],[Type]]="Sell", _xlfn.CONCAT("-", Crypto_Dataset[[#This Row],[Amount]]), Crypto_Dataset[[#This Row],[Amount]]))</f>
        <v>-1170.0011700011601</v>
      </c>
      <c r="O8" s="3" t="s">
        <v>2115</v>
      </c>
      <c r="P8" s="12">
        <v>900</v>
      </c>
      <c r="W8" s="34"/>
      <c r="X8" s="34"/>
    </row>
    <row r="9" spans="1:24" x14ac:dyDescent="0.35">
      <c r="A9" s="8">
        <v>44614.473611111112</v>
      </c>
      <c r="B9" t="s">
        <v>1759</v>
      </c>
      <c r="C9" t="s">
        <v>1774</v>
      </c>
      <c r="D9">
        <v>573488.44830410997</v>
      </c>
      <c r="E9">
        <v>6.1029999999999999E-3</v>
      </c>
      <c r="F9">
        <v>6.0425742574257701E-3</v>
      </c>
      <c r="G9" t="s">
        <v>2075</v>
      </c>
      <c r="H9">
        <v>34.65</v>
      </c>
      <c r="I9">
        <v>3.15</v>
      </c>
      <c r="J9">
        <v>3500</v>
      </c>
      <c r="K9" t="s">
        <v>2076</v>
      </c>
      <c r="L9" s="6">
        <f>VALUE(IF(Crypto_Dataset[[#This Row],[Type]]="Sell", _xlfn.CONCAT("-", Crypto_Dataset[[#This Row],[Total AUD]]), Crypto_Dataset[[#This Row],[Total AUD]]))</f>
        <v>3500</v>
      </c>
      <c r="M9" s="3">
        <f>VALUE(IF(Crypto_Dataset[[#This Row],[Type]]="Sell", _xlfn.CONCAT("-", Crypto_Dataset[[#This Row],[Amount]]), Crypto_Dataset[[#This Row],[Amount]]))</f>
        <v>573488.44830410997</v>
      </c>
      <c r="O9" s="3" t="s">
        <v>2109</v>
      </c>
      <c r="P9" s="12">
        <v>501</v>
      </c>
      <c r="W9" s="34"/>
      <c r="X9" s="34"/>
    </row>
    <row r="10" spans="1:24" x14ac:dyDescent="0.35">
      <c r="A10" s="8">
        <v>44600.74722222222</v>
      </c>
      <c r="B10" t="s">
        <v>1759</v>
      </c>
      <c r="C10" t="s">
        <v>1774</v>
      </c>
      <c r="D10">
        <v>2717.3913043299999</v>
      </c>
      <c r="E10">
        <v>8.8319999999999996E-3</v>
      </c>
      <c r="F10">
        <v>8.7445544555029096E-3</v>
      </c>
      <c r="G10" t="s">
        <v>2077</v>
      </c>
      <c r="H10">
        <v>0.24</v>
      </c>
      <c r="I10">
        <v>0.02</v>
      </c>
      <c r="J10">
        <v>24</v>
      </c>
      <c r="K10" t="s">
        <v>2078</v>
      </c>
      <c r="L10" s="6">
        <f>VALUE(IF(Crypto_Dataset[[#This Row],[Type]]="Sell", _xlfn.CONCAT("-", Crypto_Dataset[[#This Row],[Total AUD]]), Crypto_Dataset[[#This Row],[Total AUD]]))</f>
        <v>24</v>
      </c>
      <c r="M10" s="3">
        <f>VALUE(IF(Crypto_Dataset[[#This Row],[Type]]="Sell", _xlfn.CONCAT("-", Crypto_Dataset[[#This Row],[Amount]]), Crypto_Dataset[[#This Row],[Amount]]))</f>
        <v>2717.3913043299999</v>
      </c>
      <c r="O10" s="3" t="s">
        <v>1825</v>
      </c>
      <c r="P10" s="12">
        <v>500</v>
      </c>
      <c r="W10" s="34"/>
      <c r="X10" s="34"/>
    </row>
    <row r="11" spans="1:24" x14ac:dyDescent="0.35">
      <c r="A11" s="8">
        <v>44600.711805555555</v>
      </c>
      <c r="B11" t="s">
        <v>1759</v>
      </c>
      <c r="C11" t="s">
        <v>1774</v>
      </c>
      <c r="D11">
        <v>577634.01109057001</v>
      </c>
      <c r="E11">
        <v>8.6560000000000005E-3</v>
      </c>
      <c r="F11">
        <v>8.5702970297030102E-3</v>
      </c>
      <c r="G11" t="s">
        <v>2079</v>
      </c>
      <c r="H11">
        <v>49.5</v>
      </c>
      <c r="I11">
        <v>4.5</v>
      </c>
      <c r="J11">
        <v>5000</v>
      </c>
      <c r="K11" t="s">
        <v>1800</v>
      </c>
      <c r="L11" s="6">
        <f>VALUE(IF(Crypto_Dataset[[#This Row],[Type]]="Sell", _xlfn.CONCAT("-", Crypto_Dataset[[#This Row],[Total AUD]]), Crypto_Dataset[[#This Row],[Total AUD]]))</f>
        <v>5000</v>
      </c>
      <c r="M11" s="3">
        <f>VALUE(IF(Crypto_Dataset[[#This Row],[Type]]="Sell", _xlfn.CONCAT("-", Crypto_Dataset[[#This Row],[Amount]]), Crypto_Dataset[[#This Row],[Amount]]))</f>
        <v>577634.01109057001</v>
      </c>
      <c r="O11" s="3" t="s">
        <v>1826</v>
      </c>
      <c r="P11" s="12">
        <v>500</v>
      </c>
      <c r="W11" s="34"/>
      <c r="X11" s="34"/>
    </row>
    <row r="12" spans="1:24" x14ac:dyDescent="0.35">
      <c r="A12" s="8">
        <v>44534.724305555559</v>
      </c>
      <c r="B12" t="s">
        <v>1759</v>
      </c>
      <c r="C12" t="s">
        <v>1774</v>
      </c>
      <c r="D12">
        <v>198459.95078193001</v>
      </c>
      <c r="E12">
        <v>1.2597000000000001E-2</v>
      </c>
      <c r="F12">
        <v>1.24722772277229E-2</v>
      </c>
      <c r="G12" t="s">
        <v>2080</v>
      </c>
      <c r="H12">
        <v>24.75</v>
      </c>
      <c r="I12">
        <v>2.25</v>
      </c>
      <c r="J12">
        <v>2500</v>
      </c>
      <c r="K12" t="s">
        <v>1801</v>
      </c>
      <c r="L12" s="6">
        <f>VALUE(IF(Crypto_Dataset[[#This Row],[Type]]="Sell", _xlfn.CONCAT("-", Crypto_Dataset[[#This Row],[Total AUD]]), Crypto_Dataset[[#This Row],[Total AUD]]))</f>
        <v>2500</v>
      </c>
      <c r="M12" s="3">
        <f>VALUE(IF(Crypto_Dataset[[#This Row],[Type]]="Sell", _xlfn.CONCAT("-", Crypto_Dataset[[#This Row],[Amount]]), Crypto_Dataset[[#This Row],[Amount]]))</f>
        <v>198459.95078193001</v>
      </c>
      <c r="O12" s="3" t="s">
        <v>1763</v>
      </c>
      <c r="P12" s="12">
        <v>350</v>
      </c>
      <c r="W12" s="34"/>
      <c r="X12" s="34"/>
    </row>
    <row r="13" spans="1:24" x14ac:dyDescent="0.35">
      <c r="A13" s="8">
        <v>44460.287499999999</v>
      </c>
      <c r="B13" t="s">
        <v>1759</v>
      </c>
      <c r="C13" t="s">
        <v>1774</v>
      </c>
      <c r="D13">
        <v>56068.317087889998</v>
      </c>
      <c r="E13">
        <v>1.1592999999999999E-2</v>
      </c>
      <c r="F13">
        <v>1.1478217821783701E-2</v>
      </c>
      <c r="G13" t="s">
        <v>2081</v>
      </c>
      <c r="H13">
        <v>6.44</v>
      </c>
      <c r="I13">
        <v>0.59</v>
      </c>
      <c r="J13">
        <v>650</v>
      </c>
      <c r="K13" t="s">
        <v>2082</v>
      </c>
      <c r="L13" s="6">
        <f>VALUE(IF(Crypto_Dataset[[#This Row],[Type]]="Sell", _xlfn.CONCAT("-", Crypto_Dataset[[#This Row],[Total AUD]]), Crypto_Dataset[[#This Row],[Total AUD]]))</f>
        <v>650</v>
      </c>
      <c r="M13" s="3">
        <f>VALUE(IF(Crypto_Dataset[[#This Row],[Type]]="Sell", _xlfn.CONCAT("-", Crypto_Dataset[[#This Row],[Amount]]), Crypto_Dataset[[#This Row],[Amount]]))</f>
        <v>56068.317087889998</v>
      </c>
      <c r="O13" s="3" t="s">
        <v>1760</v>
      </c>
      <c r="P13" s="12">
        <v>316.24</v>
      </c>
      <c r="W13" s="34"/>
      <c r="X13" s="34"/>
    </row>
    <row r="14" spans="1:24" x14ac:dyDescent="0.35">
      <c r="A14" s="8">
        <v>44447.30972222222</v>
      </c>
      <c r="B14" t="s">
        <v>1759</v>
      </c>
      <c r="C14" t="s">
        <v>1774</v>
      </c>
      <c r="D14">
        <v>43722.21817385</v>
      </c>
      <c r="E14">
        <v>1.3723000000000001E-2</v>
      </c>
      <c r="F14">
        <v>1.3587128712876999E-2</v>
      </c>
      <c r="G14" t="s">
        <v>2083</v>
      </c>
      <c r="H14">
        <v>5.94</v>
      </c>
      <c r="I14">
        <v>0.54</v>
      </c>
      <c r="J14">
        <v>600</v>
      </c>
      <c r="K14" t="s">
        <v>1815</v>
      </c>
      <c r="L14" s="6">
        <f>VALUE(IF(Crypto_Dataset[[#This Row],[Type]]="Sell", _xlfn.CONCAT("-", Crypto_Dataset[[#This Row],[Total AUD]]), Crypto_Dataset[[#This Row],[Total AUD]]))</f>
        <v>600</v>
      </c>
      <c r="M14" s="3">
        <f>VALUE(IF(Crypto_Dataset[[#This Row],[Type]]="Sell", _xlfn.CONCAT("-", Crypto_Dataset[[#This Row],[Amount]]), Crypto_Dataset[[#This Row],[Amount]]))</f>
        <v>43722.21817385</v>
      </c>
      <c r="O14" s="3" t="s">
        <v>1813</v>
      </c>
      <c r="P14" s="12">
        <v>141.22</v>
      </c>
      <c r="W14" s="34"/>
      <c r="X14" s="34"/>
    </row>
    <row r="15" spans="1:24" x14ac:dyDescent="0.35">
      <c r="A15" s="8">
        <v>44435.740277777775</v>
      </c>
      <c r="B15" t="s">
        <v>1759</v>
      </c>
      <c r="C15" t="s">
        <v>1774</v>
      </c>
      <c r="D15">
        <v>17356.28991946</v>
      </c>
      <c r="E15">
        <v>1.4404E-2</v>
      </c>
      <c r="F15">
        <v>1.42613861386194E-2</v>
      </c>
      <c r="G15" t="s">
        <v>2084</v>
      </c>
      <c r="H15">
        <v>2.48</v>
      </c>
      <c r="I15">
        <v>0.23</v>
      </c>
      <c r="J15">
        <v>250</v>
      </c>
      <c r="K15" t="s">
        <v>1773</v>
      </c>
      <c r="L15" s="6">
        <f>VALUE(IF(Crypto_Dataset[[#This Row],[Type]]="Sell", _xlfn.CONCAT("-", Crypto_Dataset[[#This Row],[Total AUD]]), Crypto_Dataset[[#This Row],[Total AUD]]))</f>
        <v>250</v>
      </c>
      <c r="M15" s="3">
        <f>VALUE(IF(Crypto_Dataset[[#This Row],[Type]]="Sell", _xlfn.CONCAT("-", Crypto_Dataset[[#This Row],[Amount]]), Crypto_Dataset[[#This Row],[Amount]]))</f>
        <v>17356.28991946</v>
      </c>
      <c r="O15" s="3" t="s">
        <v>1821</v>
      </c>
      <c r="P15" s="12">
        <v>74.259999999999991</v>
      </c>
      <c r="W15" s="34"/>
      <c r="X15" s="34"/>
    </row>
    <row r="16" spans="1:24" x14ac:dyDescent="0.35">
      <c r="A16" s="8">
        <v>44428.816666666666</v>
      </c>
      <c r="B16" t="s">
        <v>1759</v>
      </c>
      <c r="C16" t="s">
        <v>1774</v>
      </c>
      <c r="D16">
        <v>31316.547663779998</v>
      </c>
      <c r="E16">
        <v>1.5966000000000001E-2</v>
      </c>
      <c r="F16">
        <v>1.5807920792082E-2</v>
      </c>
      <c r="G16" t="s">
        <v>2085</v>
      </c>
      <c r="H16">
        <v>4.95</v>
      </c>
      <c r="I16">
        <v>0.45</v>
      </c>
      <c r="J16">
        <v>500</v>
      </c>
      <c r="K16" t="s">
        <v>1769</v>
      </c>
      <c r="L16" s="6">
        <f>VALUE(IF(Crypto_Dataset[[#This Row],[Type]]="Sell", _xlfn.CONCAT("-", Crypto_Dataset[[#This Row],[Total AUD]]), Crypto_Dataset[[#This Row],[Total AUD]]))</f>
        <v>500</v>
      </c>
      <c r="M16" s="3">
        <f>VALUE(IF(Crypto_Dataset[[#This Row],[Type]]="Sell", _xlfn.CONCAT("-", Crypto_Dataset[[#This Row],[Amount]]), Crypto_Dataset[[#This Row],[Amount]]))</f>
        <v>31316.547663779998</v>
      </c>
      <c r="O16" s="3" t="s">
        <v>1827</v>
      </c>
      <c r="P16" s="12">
        <v>47</v>
      </c>
      <c r="W16" s="34"/>
      <c r="X16" s="34"/>
    </row>
    <row r="17" spans="1:16" x14ac:dyDescent="0.35">
      <c r="A17" s="8">
        <v>44417.075694444444</v>
      </c>
      <c r="B17" t="s">
        <v>1759</v>
      </c>
      <c r="C17" t="s">
        <v>1774</v>
      </c>
      <c r="D17">
        <v>33675.70298029</v>
      </c>
      <c r="E17">
        <v>1.1878E-2</v>
      </c>
      <c r="F17">
        <v>1.1760396039607299E-2</v>
      </c>
      <c r="G17" t="s">
        <v>2086</v>
      </c>
      <c r="H17">
        <v>3.96</v>
      </c>
      <c r="I17">
        <v>0.36</v>
      </c>
      <c r="J17">
        <v>400</v>
      </c>
      <c r="K17" t="s">
        <v>1823</v>
      </c>
      <c r="L17" s="6">
        <f>VALUE(IF(Crypto_Dataset[[#This Row],[Type]]="Sell", _xlfn.CONCAT("-", Crypto_Dataset[[#This Row],[Total AUD]]), Crypto_Dataset[[#This Row],[Total AUD]]))</f>
        <v>400</v>
      </c>
      <c r="M17" s="3">
        <f>VALUE(IF(Crypto_Dataset[[#This Row],[Type]]="Sell", _xlfn.CONCAT("-", Crypto_Dataset[[#This Row],[Amount]]), Crypto_Dataset[[#This Row],[Amount]]))</f>
        <v>33675.70298029</v>
      </c>
      <c r="O17" s="3" t="s">
        <v>1820</v>
      </c>
      <c r="P17" s="12">
        <v>-6.7799999999999727</v>
      </c>
    </row>
    <row r="18" spans="1:16" x14ac:dyDescent="0.35">
      <c r="A18" s="8">
        <v>44417.070138888892</v>
      </c>
      <c r="B18" t="s">
        <v>1759</v>
      </c>
      <c r="C18" t="s">
        <v>1774</v>
      </c>
      <c r="D18">
        <v>101377.03810087001</v>
      </c>
      <c r="E18">
        <v>1.1837E-2</v>
      </c>
      <c r="F18">
        <v>1.1719801980197999E-2</v>
      </c>
      <c r="G18" t="s">
        <v>2087</v>
      </c>
      <c r="H18">
        <v>11.88</v>
      </c>
      <c r="I18">
        <v>1.08</v>
      </c>
      <c r="J18">
        <v>1200</v>
      </c>
      <c r="K18" t="s">
        <v>2088</v>
      </c>
      <c r="L18" s="6">
        <f>VALUE(IF(Crypto_Dataset[[#This Row],[Type]]="Sell", _xlfn.CONCAT("-", Crypto_Dataset[[#This Row],[Total AUD]]), Crypto_Dataset[[#This Row],[Total AUD]]))</f>
        <v>1200</v>
      </c>
      <c r="M18" s="3">
        <f>VALUE(IF(Crypto_Dataset[[#This Row],[Type]]="Sell", _xlfn.CONCAT("-", Crypto_Dataset[[#This Row],[Amount]]), Crypto_Dataset[[#This Row],[Amount]]))</f>
        <v>101377.03810087001</v>
      </c>
      <c r="O18" s="3" t="s">
        <v>3581</v>
      </c>
      <c r="P18" s="12">
        <v>-20</v>
      </c>
    </row>
    <row r="19" spans="1:16" x14ac:dyDescent="0.35">
      <c r="A19" s="8">
        <v>44304.574999999997</v>
      </c>
      <c r="B19" t="s">
        <v>1759</v>
      </c>
      <c r="C19" t="s">
        <v>1774</v>
      </c>
      <c r="D19">
        <v>46829.63379226</v>
      </c>
      <c r="E19">
        <v>2.1354000000000001E-2</v>
      </c>
      <c r="F19">
        <v>2.11425742574274E-2</v>
      </c>
      <c r="G19" t="s">
        <v>2089</v>
      </c>
      <c r="H19">
        <v>9.9</v>
      </c>
      <c r="I19">
        <v>0.9</v>
      </c>
      <c r="J19">
        <v>1000</v>
      </c>
      <c r="K19" t="s">
        <v>1810</v>
      </c>
      <c r="L19" s="6">
        <f>VALUE(IF(Crypto_Dataset[[#This Row],[Type]]="Sell", _xlfn.CONCAT("-", Crypto_Dataset[[#This Row],[Total AUD]]), Crypto_Dataset[[#This Row],[Total AUD]]))</f>
        <v>1000</v>
      </c>
      <c r="M19" s="3">
        <f>VALUE(IF(Crypto_Dataset[[#This Row],[Type]]="Sell", _xlfn.CONCAT("-", Crypto_Dataset[[#This Row],[Amount]]), Crypto_Dataset[[#This Row],[Amount]]))</f>
        <v>46829.63379226</v>
      </c>
      <c r="O19" s="3" t="s">
        <v>1764</v>
      </c>
      <c r="P19" s="12">
        <v>-50.059999999999945</v>
      </c>
    </row>
    <row r="20" spans="1:16" x14ac:dyDescent="0.35">
      <c r="A20" s="8">
        <v>44300.32708333333</v>
      </c>
      <c r="B20" t="s">
        <v>1759</v>
      </c>
      <c r="C20" t="s">
        <v>1774</v>
      </c>
      <c r="D20">
        <v>38396.559668250004</v>
      </c>
      <c r="E20">
        <v>2.6044000000000001E-2</v>
      </c>
      <c r="F20">
        <v>2.57861386138638E-2</v>
      </c>
      <c r="G20" t="s">
        <v>2089</v>
      </c>
      <c r="H20">
        <v>9.9</v>
      </c>
      <c r="I20">
        <v>0.9</v>
      </c>
      <c r="J20">
        <v>1000</v>
      </c>
      <c r="K20" t="s">
        <v>1810</v>
      </c>
      <c r="L20" s="6">
        <f>VALUE(IF(Crypto_Dataset[[#This Row],[Type]]="Sell", _xlfn.CONCAT("-", Crypto_Dataset[[#This Row],[Total AUD]]), Crypto_Dataset[[#This Row],[Total AUD]]))</f>
        <v>1000</v>
      </c>
      <c r="M20" s="3">
        <f>VALUE(IF(Crypto_Dataset[[#This Row],[Type]]="Sell", _xlfn.CONCAT("-", Crypto_Dataset[[#This Row],[Amount]]), Crypto_Dataset[[#This Row],[Amount]]))</f>
        <v>38396.559668250004</v>
      </c>
      <c r="O20" s="3" t="s">
        <v>1765</v>
      </c>
      <c r="P20" s="12">
        <v>-89.309999999999945</v>
      </c>
    </row>
    <row r="21" spans="1:16" x14ac:dyDescent="0.35">
      <c r="A21" s="8">
        <v>44298.068055555559</v>
      </c>
      <c r="B21" t="s">
        <v>1759</v>
      </c>
      <c r="C21" t="s">
        <v>1774</v>
      </c>
      <c r="D21">
        <v>53466.396840419999</v>
      </c>
      <c r="E21">
        <v>3.0637000000000001E-2</v>
      </c>
      <c r="F21">
        <v>3.0333663366337599E-2</v>
      </c>
      <c r="G21" t="s">
        <v>2090</v>
      </c>
      <c r="H21">
        <v>16.22</v>
      </c>
      <c r="I21">
        <v>1.47</v>
      </c>
      <c r="J21">
        <v>1638.05</v>
      </c>
      <c r="K21" t="s">
        <v>1816</v>
      </c>
      <c r="L21" s="6">
        <f>VALUE(IF(Crypto_Dataset[[#This Row],[Type]]="Sell", _xlfn.CONCAT("-", Crypto_Dataset[[#This Row],[Total AUD]]), Crypto_Dataset[[#This Row],[Total AUD]]))</f>
        <v>1638.05</v>
      </c>
      <c r="M21" s="3">
        <f>VALUE(IF(Crypto_Dataset[[#This Row],[Type]]="Sell", _xlfn.CONCAT("-", Crypto_Dataset[[#This Row],[Amount]]), Crypto_Dataset[[#This Row],[Amount]]))</f>
        <v>53466.396840419999</v>
      </c>
      <c r="O21" s="3" t="s">
        <v>3570</v>
      </c>
      <c r="P21" s="12">
        <v>-158.13999999999999</v>
      </c>
    </row>
    <row r="22" spans="1:16" x14ac:dyDescent="0.35">
      <c r="A22" s="8">
        <v>44298.067361111112</v>
      </c>
      <c r="B22" t="s">
        <v>1795</v>
      </c>
      <c r="C22" t="s">
        <v>1768</v>
      </c>
      <c r="D22">
        <v>19.244014679999999</v>
      </c>
      <c r="E22">
        <v>85.12</v>
      </c>
      <c r="F22">
        <v>85.979797979797993</v>
      </c>
      <c r="G22" t="s">
        <v>2091</v>
      </c>
      <c r="H22">
        <v>16.55</v>
      </c>
      <c r="I22">
        <v>1.5</v>
      </c>
      <c r="J22">
        <v>1638.05</v>
      </c>
      <c r="K22" t="s">
        <v>2092</v>
      </c>
      <c r="L22" s="6">
        <f>VALUE(IF(Crypto_Dataset[[#This Row],[Type]]="Sell", _xlfn.CONCAT("-", Crypto_Dataset[[#This Row],[Total AUD]]), Crypto_Dataset[[#This Row],[Total AUD]]))</f>
        <v>-1638.05</v>
      </c>
      <c r="M22" s="3">
        <f>VALUE(IF(Crypto_Dataset[[#This Row],[Type]]="Sell", _xlfn.CONCAT("-", Crypto_Dataset[[#This Row],[Amount]]), Crypto_Dataset[[#This Row],[Amount]]))</f>
        <v>-19.244014679999999</v>
      </c>
      <c r="O22" s="3" t="s">
        <v>1818</v>
      </c>
      <c r="P22" s="12">
        <v>-339.99</v>
      </c>
    </row>
    <row r="23" spans="1:16" x14ac:dyDescent="0.35">
      <c r="A23" s="8">
        <v>44298.067361111112</v>
      </c>
      <c r="B23" t="s">
        <v>1759</v>
      </c>
      <c r="C23" t="s">
        <v>1774</v>
      </c>
      <c r="D23">
        <v>74807.181069280006</v>
      </c>
      <c r="E23">
        <v>3.0469E-2</v>
      </c>
      <c r="F23">
        <v>3.0167326732674599E-2</v>
      </c>
      <c r="G23" t="s">
        <v>2093</v>
      </c>
      <c r="H23">
        <v>22.57</v>
      </c>
      <c r="I23">
        <v>2.0499999999999998</v>
      </c>
      <c r="J23">
        <v>2279.3000000000002</v>
      </c>
      <c r="K23" t="s">
        <v>1817</v>
      </c>
      <c r="L23" s="6">
        <f>VALUE(IF(Crypto_Dataset[[#This Row],[Type]]="Sell", _xlfn.CONCAT("-", Crypto_Dataset[[#This Row],[Total AUD]]), Crypto_Dataset[[#This Row],[Total AUD]]))</f>
        <v>2279.3000000000002</v>
      </c>
      <c r="M23" s="3">
        <f>VALUE(IF(Crypto_Dataset[[#This Row],[Type]]="Sell", _xlfn.CONCAT("-", Crypto_Dataset[[#This Row],[Amount]]), Crypto_Dataset[[#This Row],[Amount]]))</f>
        <v>74807.181069280006</v>
      </c>
      <c r="O23" s="3" t="s">
        <v>1768</v>
      </c>
      <c r="P23" s="12">
        <v>-538.04999999999984</v>
      </c>
    </row>
    <row r="24" spans="1:16" x14ac:dyDescent="0.35">
      <c r="A24" s="8">
        <v>44298.066666666666</v>
      </c>
      <c r="B24" t="s">
        <v>1795</v>
      </c>
      <c r="C24" t="s">
        <v>1765</v>
      </c>
      <c r="D24">
        <v>17.756302059999999</v>
      </c>
      <c r="E24">
        <v>52.9</v>
      </c>
      <c r="F24">
        <v>53.434343434343397</v>
      </c>
      <c r="G24" t="s">
        <v>2094</v>
      </c>
      <c r="H24">
        <v>9.49</v>
      </c>
      <c r="I24">
        <v>0.86</v>
      </c>
      <c r="J24">
        <v>939.31</v>
      </c>
      <c r="K24" t="s">
        <v>2095</v>
      </c>
      <c r="L24" s="6">
        <f>VALUE(IF(Crypto_Dataset[[#This Row],[Type]]="Sell", _xlfn.CONCAT("-", Crypto_Dataset[[#This Row],[Total AUD]]), Crypto_Dataset[[#This Row],[Total AUD]]))</f>
        <v>-939.31</v>
      </c>
      <c r="M24" s="3">
        <f>VALUE(IF(Crypto_Dataset[[#This Row],[Type]]="Sell", _xlfn.CONCAT("-", Crypto_Dataset[[#This Row],[Amount]]), Crypto_Dataset[[#This Row],[Amount]]))</f>
        <v>-17.756302059999999</v>
      </c>
      <c r="O24" s="3" t="s">
        <v>316</v>
      </c>
      <c r="P24">
        <v>49650.859999999993</v>
      </c>
    </row>
    <row r="25" spans="1:16" x14ac:dyDescent="0.35">
      <c r="A25" s="8">
        <v>44298.065972222219</v>
      </c>
      <c r="B25" t="s">
        <v>1795</v>
      </c>
      <c r="C25" t="s">
        <v>1818</v>
      </c>
      <c r="D25">
        <v>67.885897380000003</v>
      </c>
      <c r="E25">
        <v>19.738900000000001</v>
      </c>
      <c r="F25">
        <v>19.938282828282802</v>
      </c>
      <c r="G25" t="s">
        <v>2096</v>
      </c>
      <c r="H25">
        <v>13.54</v>
      </c>
      <c r="I25">
        <v>1.23</v>
      </c>
      <c r="J25">
        <v>1339.99</v>
      </c>
      <c r="K25" t="s">
        <v>2097</v>
      </c>
      <c r="L25" s="6">
        <f>VALUE(IF(Crypto_Dataset[[#This Row],[Type]]="Sell", _xlfn.CONCAT("-", Crypto_Dataset[[#This Row],[Total AUD]]), Crypto_Dataset[[#This Row],[Total AUD]]))</f>
        <v>-1339.99</v>
      </c>
      <c r="M25" s="3">
        <f>VALUE(IF(Crypto_Dataset[[#This Row],[Type]]="Sell", _xlfn.CONCAT("-", Crypto_Dataset[[#This Row],[Amount]]), Crypto_Dataset[[#This Row],[Amount]]))</f>
        <v>-67.885897380000003</v>
      </c>
    </row>
    <row r="26" spans="1:16" x14ac:dyDescent="0.35">
      <c r="A26" s="8">
        <v>44298.057638888888</v>
      </c>
      <c r="B26" t="s">
        <v>1759</v>
      </c>
      <c r="C26" t="s">
        <v>1774</v>
      </c>
      <c r="D26">
        <v>76638.241695489996</v>
      </c>
      <c r="E26">
        <v>2.8027E-2</v>
      </c>
      <c r="F26">
        <v>2.7749504950501502E-2</v>
      </c>
      <c r="G26" t="s">
        <v>2098</v>
      </c>
      <c r="H26">
        <v>21.27</v>
      </c>
      <c r="I26">
        <v>1.93</v>
      </c>
      <c r="J26">
        <v>2147.94</v>
      </c>
      <c r="K26" t="s">
        <v>1819</v>
      </c>
      <c r="L26" s="6">
        <f>VALUE(IF(Crypto_Dataset[[#This Row],[Type]]="Sell", _xlfn.CONCAT("-", Crypto_Dataset[[#This Row],[Total AUD]]), Crypto_Dataset[[#This Row],[Total AUD]]))</f>
        <v>2147.94</v>
      </c>
      <c r="M26" s="3">
        <f>VALUE(IF(Crypto_Dataset[[#This Row],[Type]]="Sell", _xlfn.CONCAT("-", Crypto_Dataset[[#This Row],[Amount]]), Crypto_Dataset[[#This Row],[Amount]]))</f>
        <v>76638.241695489996</v>
      </c>
    </row>
    <row r="27" spans="1:16" x14ac:dyDescent="0.35">
      <c r="A27" s="8">
        <v>44298.056944444441</v>
      </c>
      <c r="B27" t="s">
        <v>1795</v>
      </c>
      <c r="C27" t="s">
        <v>1820</v>
      </c>
      <c r="D27">
        <v>39.822867870000003</v>
      </c>
      <c r="E27">
        <v>12.725899999999999</v>
      </c>
      <c r="F27">
        <v>12.8544444444444</v>
      </c>
      <c r="G27" t="s">
        <v>2099</v>
      </c>
      <c r="H27">
        <v>5.12</v>
      </c>
      <c r="I27">
        <v>0.47</v>
      </c>
      <c r="J27">
        <v>506.78</v>
      </c>
      <c r="K27" t="s">
        <v>2100</v>
      </c>
      <c r="L27" s="6">
        <f>VALUE(IF(Crypto_Dataset[[#This Row],[Type]]="Sell", _xlfn.CONCAT("-", Crypto_Dataset[[#This Row],[Total AUD]]), Crypto_Dataset[[#This Row],[Total AUD]]))</f>
        <v>-506.78</v>
      </c>
      <c r="M27" s="3">
        <f>VALUE(IF(Crypto_Dataset[[#This Row],[Type]]="Sell", _xlfn.CONCAT("-", Crypto_Dataset[[#This Row],[Amount]]), Crypto_Dataset[[#This Row],[Amount]]))</f>
        <v>-39.822867870000003</v>
      </c>
    </row>
    <row r="28" spans="1:16" x14ac:dyDescent="0.35">
      <c r="A28" s="8">
        <v>44298.056250000001</v>
      </c>
      <c r="B28" t="s">
        <v>1795</v>
      </c>
      <c r="C28" t="s">
        <v>1760</v>
      </c>
      <c r="D28">
        <v>0.19064417</v>
      </c>
      <c r="E28">
        <v>2797.88</v>
      </c>
      <c r="F28">
        <v>2826.1414141414102</v>
      </c>
      <c r="G28" t="s">
        <v>2101</v>
      </c>
      <c r="H28">
        <v>5.39</v>
      </c>
      <c r="I28">
        <v>0.49</v>
      </c>
      <c r="J28">
        <v>533.4</v>
      </c>
      <c r="K28" t="s">
        <v>2102</v>
      </c>
      <c r="L28" s="6">
        <f>VALUE(IF(Crypto_Dataset[[#This Row],[Type]]="Sell", _xlfn.CONCAT("-", Crypto_Dataset[[#This Row],[Total AUD]]), Crypto_Dataset[[#This Row],[Total AUD]]))</f>
        <v>-533.4</v>
      </c>
      <c r="M28" s="3">
        <f>VALUE(IF(Crypto_Dataset[[#This Row],[Type]]="Sell", _xlfn.CONCAT("-", Crypto_Dataset[[#This Row],[Amount]]), Crypto_Dataset[[#This Row],[Amount]]))</f>
        <v>-0.19064417</v>
      </c>
    </row>
    <row r="29" spans="1:16" x14ac:dyDescent="0.35">
      <c r="A29" s="8">
        <v>44298.055555555555</v>
      </c>
      <c r="B29" t="s">
        <v>1795</v>
      </c>
      <c r="C29" t="s">
        <v>1764</v>
      </c>
      <c r="D29">
        <v>406.33121201</v>
      </c>
      <c r="E29">
        <v>1.6121449999999999</v>
      </c>
      <c r="F29">
        <v>1.6284292929292901</v>
      </c>
      <c r="G29" t="s">
        <v>2103</v>
      </c>
      <c r="H29">
        <v>6.62</v>
      </c>
      <c r="I29">
        <v>0.6</v>
      </c>
      <c r="J29">
        <v>655.05999999999995</v>
      </c>
      <c r="K29" t="s">
        <v>2104</v>
      </c>
      <c r="L29" s="6">
        <f>VALUE(IF(Crypto_Dataset[[#This Row],[Type]]="Sell", _xlfn.CONCAT("-", Crypto_Dataset[[#This Row],[Total AUD]]), Crypto_Dataset[[#This Row],[Total AUD]]))</f>
        <v>-655.05999999999995</v>
      </c>
      <c r="M29" s="3">
        <f>VALUE(IF(Crypto_Dataset[[#This Row],[Type]]="Sell", _xlfn.CONCAT("-", Crypto_Dataset[[#This Row],[Amount]]), Crypto_Dataset[[#This Row],[Amount]]))</f>
        <v>-406.33121201</v>
      </c>
    </row>
    <row r="30" spans="1:16" x14ac:dyDescent="0.35">
      <c r="A30" s="8">
        <v>44298.055555555555</v>
      </c>
      <c r="B30" t="s">
        <v>1795</v>
      </c>
      <c r="C30" t="s">
        <v>1821</v>
      </c>
      <c r="D30">
        <v>153.50862380000001</v>
      </c>
      <c r="E30">
        <v>2.773425</v>
      </c>
      <c r="F30">
        <v>2.8014393939393898</v>
      </c>
      <c r="G30" t="s">
        <v>2105</v>
      </c>
      <c r="H30">
        <v>4.3</v>
      </c>
      <c r="I30">
        <v>0.39</v>
      </c>
      <c r="J30">
        <v>425.74</v>
      </c>
      <c r="K30" t="s">
        <v>2106</v>
      </c>
      <c r="L30" s="6">
        <f>VALUE(IF(Crypto_Dataset[[#This Row],[Type]]="Sell", _xlfn.CONCAT("-", Crypto_Dataset[[#This Row],[Total AUD]]), Crypto_Dataset[[#This Row],[Total AUD]]))</f>
        <v>-425.74</v>
      </c>
      <c r="M30" s="3">
        <f>VALUE(IF(Crypto_Dataset[[#This Row],[Type]]="Sell", _xlfn.CONCAT("-", Crypto_Dataset[[#This Row],[Amount]]), Crypto_Dataset[[#This Row],[Amount]]))</f>
        <v>-153.50862380000001</v>
      </c>
    </row>
    <row r="31" spans="1:16" x14ac:dyDescent="0.35">
      <c r="A31" s="8">
        <v>44297.645833333336</v>
      </c>
      <c r="B31" t="s">
        <v>1759</v>
      </c>
      <c r="C31" t="s">
        <v>1762</v>
      </c>
      <c r="D31">
        <v>480</v>
      </c>
      <c r="E31">
        <v>2.0273110000000001</v>
      </c>
      <c r="F31">
        <v>2.0072400990099002</v>
      </c>
      <c r="G31" t="s">
        <v>2107</v>
      </c>
      <c r="H31">
        <v>9.6300000000000008</v>
      </c>
      <c r="I31">
        <v>0.88</v>
      </c>
      <c r="J31">
        <v>973.11</v>
      </c>
      <c r="K31" t="s">
        <v>1822</v>
      </c>
      <c r="L31" s="6">
        <f>VALUE(IF(Crypto_Dataset[[#This Row],[Type]]="Sell", _xlfn.CONCAT("-", Crypto_Dataset[[#This Row],[Total AUD]]), Crypto_Dataset[[#This Row],[Total AUD]]))</f>
        <v>973.11</v>
      </c>
      <c r="M31" s="3">
        <f>VALUE(IF(Crypto_Dataset[[#This Row],[Type]]="Sell", _xlfn.CONCAT("-", Crypto_Dataset[[#This Row],[Amount]]), Crypto_Dataset[[#This Row],[Amount]]))</f>
        <v>480</v>
      </c>
    </row>
    <row r="32" spans="1:16" x14ac:dyDescent="0.35">
      <c r="A32" s="8">
        <v>44297.637499999997</v>
      </c>
      <c r="B32" t="s">
        <v>1759</v>
      </c>
      <c r="C32" t="s">
        <v>1762</v>
      </c>
      <c r="D32">
        <v>499.99975000000001</v>
      </c>
      <c r="E32">
        <v>2.0000010000000001</v>
      </c>
      <c r="F32">
        <v>1.9801990099014799</v>
      </c>
      <c r="G32" t="s">
        <v>2089</v>
      </c>
      <c r="H32">
        <v>9.9</v>
      </c>
      <c r="I32">
        <v>0.9</v>
      </c>
      <c r="J32">
        <v>1000</v>
      </c>
      <c r="K32" t="s">
        <v>1810</v>
      </c>
      <c r="L32" s="6">
        <f>VALUE(IF(Crypto_Dataset[[#This Row],[Type]]="Sell", _xlfn.CONCAT("-", Crypto_Dataset[[#This Row],[Total AUD]]), Crypto_Dataset[[#This Row],[Total AUD]]))</f>
        <v>1000</v>
      </c>
      <c r="M32" s="3">
        <f>VALUE(IF(Crypto_Dataset[[#This Row],[Type]]="Sell", _xlfn.CONCAT("-", Crypto_Dataset[[#This Row],[Amount]]), Crypto_Dataset[[#This Row],[Amount]]))</f>
        <v>499.99975000000001</v>
      </c>
    </row>
    <row r="33" spans="1:13" x14ac:dyDescent="0.35">
      <c r="A33" s="8">
        <v>44297.136111111111</v>
      </c>
      <c r="B33" t="s">
        <v>1759</v>
      </c>
      <c r="C33" t="s">
        <v>1774</v>
      </c>
      <c r="D33">
        <v>14808.233377750001</v>
      </c>
      <c r="E33">
        <v>2.7012000000000001E-2</v>
      </c>
      <c r="F33">
        <v>2.674455445546E-2</v>
      </c>
      <c r="G33" t="s">
        <v>2086</v>
      </c>
      <c r="H33">
        <v>3.96</v>
      </c>
      <c r="I33">
        <v>0.36</v>
      </c>
      <c r="J33">
        <v>400</v>
      </c>
      <c r="K33" t="s">
        <v>1823</v>
      </c>
      <c r="L33" s="6">
        <f>VALUE(IF(Crypto_Dataset[[#This Row],[Type]]="Sell", _xlfn.CONCAT("-", Crypto_Dataset[[#This Row],[Total AUD]]), Crypto_Dataset[[#This Row],[Total AUD]]))</f>
        <v>400</v>
      </c>
      <c r="M33" s="3">
        <f>VALUE(IF(Crypto_Dataset[[#This Row],[Type]]="Sell", _xlfn.CONCAT("-", Crypto_Dataset[[#This Row],[Amount]]), Crypto_Dataset[[#This Row],[Amount]]))</f>
        <v>14808.233377750001</v>
      </c>
    </row>
    <row r="34" spans="1:13" x14ac:dyDescent="0.35">
      <c r="A34" s="8">
        <v>44296.999305555553</v>
      </c>
      <c r="B34" t="s">
        <v>1759</v>
      </c>
      <c r="C34" t="s">
        <v>1774</v>
      </c>
      <c r="D34">
        <v>13046.07126882</v>
      </c>
      <c r="E34">
        <v>2.6828000000000001E-2</v>
      </c>
      <c r="F34">
        <v>2.6562376237631101E-2</v>
      </c>
      <c r="G34" t="s">
        <v>2108</v>
      </c>
      <c r="H34">
        <v>3.47</v>
      </c>
      <c r="I34">
        <v>0.32</v>
      </c>
      <c r="J34">
        <v>350</v>
      </c>
      <c r="K34" t="s">
        <v>1824</v>
      </c>
      <c r="L34" s="6">
        <f>VALUE(IF(Crypto_Dataset[[#This Row],[Type]]="Sell", _xlfn.CONCAT("-", Crypto_Dataset[[#This Row],[Total AUD]]), Crypto_Dataset[[#This Row],[Total AUD]]))</f>
        <v>350</v>
      </c>
      <c r="M34" s="3">
        <f>VALUE(IF(Crypto_Dataset[[#This Row],[Type]]="Sell", _xlfn.CONCAT("-", Crypto_Dataset[[#This Row],[Amount]]), Crypto_Dataset[[#This Row],[Amount]]))</f>
        <v>13046.07126882</v>
      </c>
    </row>
    <row r="35" spans="1:13" x14ac:dyDescent="0.35">
      <c r="A35" s="8">
        <v>44294.709722222222</v>
      </c>
      <c r="B35" t="s">
        <v>1759</v>
      </c>
      <c r="C35" t="s">
        <v>1774</v>
      </c>
      <c r="D35">
        <v>15718.32756994</v>
      </c>
      <c r="E35">
        <v>3.1809999999999998E-2</v>
      </c>
      <c r="F35">
        <v>3.1495049504963603E-2</v>
      </c>
      <c r="G35" t="s">
        <v>2085</v>
      </c>
      <c r="H35">
        <v>4.95</v>
      </c>
      <c r="I35">
        <v>0.45</v>
      </c>
      <c r="J35">
        <v>500</v>
      </c>
      <c r="K35" t="s">
        <v>1769</v>
      </c>
      <c r="L35" s="6">
        <f>VALUE(IF(Crypto_Dataset[[#This Row],[Type]]="Sell", _xlfn.CONCAT("-", Crypto_Dataset[[#This Row],[Total AUD]]), Crypto_Dataset[[#This Row],[Total AUD]]))</f>
        <v>500</v>
      </c>
      <c r="M35" s="3">
        <f>VALUE(IF(Crypto_Dataset[[#This Row],[Type]]="Sell", _xlfn.CONCAT("-", Crypto_Dataset[[#This Row],[Amount]]), Crypto_Dataset[[#This Row],[Amount]]))</f>
        <v>15718.32756994</v>
      </c>
    </row>
    <row r="36" spans="1:13" x14ac:dyDescent="0.35">
      <c r="A36" s="8">
        <v>44293.551388888889</v>
      </c>
      <c r="B36" t="s">
        <v>1759</v>
      </c>
      <c r="C36" t="s">
        <v>1821</v>
      </c>
      <c r="D36">
        <v>153.50862380000001</v>
      </c>
      <c r="E36">
        <v>3.2571460000000001</v>
      </c>
      <c r="F36">
        <v>3.2248970298598598</v>
      </c>
      <c r="G36" t="s">
        <v>2085</v>
      </c>
      <c r="H36">
        <v>4.95</v>
      </c>
      <c r="I36">
        <v>0.45</v>
      </c>
      <c r="J36">
        <v>500</v>
      </c>
      <c r="K36" t="s">
        <v>1769</v>
      </c>
      <c r="L36" s="6">
        <f>VALUE(IF(Crypto_Dataset[[#This Row],[Type]]="Sell", _xlfn.CONCAT("-", Crypto_Dataset[[#This Row],[Total AUD]]), Crypto_Dataset[[#This Row],[Total AUD]]))</f>
        <v>500</v>
      </c>
      <c r="M36" s="3">
        <f>VALUE(IF(Crypto_Dataset[[#This Row],[Type]]="Sell", _xlfn.CONCAT("-", Crypto_Dataset[[#This Row],[Amount]]), Crypto_Dataset[[#This Row],[Amount]]))</f>
        <v>153.50862380000001</v>
      </c>
    </row>
    <row r="37" spans="1:13" x14ac:dyDescent="0.35">
      <c r="A37" s="8">
        <v>44293.289583333331</v>
      </c>
      <c r="B37" t="s">
        <v>1759</v>
      </c>
      <c r="C37" t="s">
        <v>1820</v>
      </c>
      <c r="D37">
        <v>39.822867870000003</v>
      </c>
      <c r="E37">
        <v>12.5556</v>
      </c>
      <c r="F37">
        <v>12.431287132974999</v>
      </c>
      <c r="G37" t="s">
        <v>2085</v>
      </c>
      <c r="H37">
        <v>4.95</v>
      </c>
      <c r="I37">
        <v>0.45</v>
      </c>
      <c r="J37">
        <v>500</v>
      </c>
      <c r="K37" t="s">
        <v>1769</v>
      </c>
      <c r="L37" s="6">
        <f>VALUE(IF(Crypto_Dataset[[#This Row],[Type]]="Sell", _xlfn.CONCAT("-", Crypto_Dataset[[#This Row],[Total AUD]]), Crypto_Dataset[[#This Row],[Total AUD]]))</f>
        <v>500</v>
      </c>
      <c r="M37" s="3">
        <f>VALUE(IF(Crypto_Dataset[[#This Row],[Type]]="Sell", _xlfn.CONCAT("-", Crypto_Dataset[[#This Row],[Amount]]), Crypto_Dataset[[#This Row],[Amount]]))</f>
        <v>39.822867870000003</v>
      </c>
    </row>
    <row r="38" spans="1:13" x14ac:dyDescent="0.35">
      <c r="A38" s="8">
        <v>44292.968055555553</v>
      </c>
      <c r="B38" t="s">
        <v>1759</v>
      </c>
      <c r="C38" t="s">
        <v>1814</v>
      </c>
      <c r="D38">
        <v>1.5645045200000001</v>
      </c>
      <c r="E38">
        <v>319.58999999999997</v>
      </c>
      <c r="F38">
        <v>316.42574286106498</v>
      </c>
      <c r="G38" t="s">
        <v>2085</v>
      </c>
      <c r="H38">
        <v>4.95</v>
      </c>
      <c r="I38">
        <v>0.45</v>
      </c>
      <c r="J38">
        <v>500</v>
      </c>
      <c r="K38" t="s">
        <v>1769</v>
      </c>
      <c r="L38" s="6">
        <f>VALUE(IF(Crypto_Dataset[[#This Row],[Type]]="Sell", _xlfn.CONCAT("-", Crypto_Dataset[[#This Row],[Total AUD]]), Crypto_Dataset[[#This Row],[Total AUD]]))</f>
        <v>500</v>
      </c>
      <c r="M38" s="3">
        <f>VALUE(IF(Crypto_Dataset[[#This Row],[Type]]="Sell", _xlfn.CONCAT("-", Crypto_Dataset[[#This Row],[Amount]]), Crypto_Dataset[[#This Row],[Amount]]))</f>
        <v>1.5645045200000001</v>
      </c>
    </row>
    <row r="39" spans="1:13" x14ac:dyDescent="0.35">
      <c r="A39" s="8">
        <v>44292.967361111114</v>
      </c>
      <c r="B39" t="s">
        <v>1759</v>
      </c>
      <c r="C39" t="s">
        <v>1825</v>
      </c>
      <c r="D39">
        <v>285.92390877000003</v>
      </c>
      <c r="E39">
        <v>1.7487170000000001</v>
      </c>
      <c r="F39">
        <v>1.7314029703920899</v>
      </c>
      <c r="G39" t="s">
        <v>2085</v>
      </c>
      <c r="H39">
        <v>4.95</v>
      </c>
      <c r="I39">
        <v>0.45</v>
      </c>
      <c r="J39">
        <v>500</v>
      </c>
      <c r="K39" t="s">
        <v>1769</v>
      </c>
      <c r="L39" s="6">
        <f>VALUE(IF(Crypto_Dataset[[#This Row],[Type]]="Sell", _xlfn.CONCAT("-", Crypto_Dataset[[#This Row],[Total AUD]]), Crypto_Dataset[[#This Row],[Total AUD]]))</f>
        <v>500</v>
      </c>
      <c r="M39" s="3">
        <f>VALUE(IF(Crypto_Dataset[[#This Row],[Type]]="Sell", _xlfn.CONCAT("-", Crypto_Dataset[[#This Row],[Amount]]), Crypto_Dataset[[#This Row],[Amount]]))</f>
        <v>285.92390877000003</v>
      </c>
    </row>
    <row r="40" spans="1:13" x14ac:dyDescent="0.35">
      <c r="A40" s="8">
        <v>44291.600694444445</v>
      </c>
      <c r="B40" t="s">
        <v>1759</v>
      </c>
      <c r="C40" t="s">
        <v>1826</v>
      </c>
      <c r="D40">
        <v>935.39069398000004</v>
      </c>
      <c r="E40">
        <v>0.53453600000000001</v>
      </c>
      <c r="F40">
        <v>0.52924356435929998</v>
      </c>
      <c r="G40" t="s">
        <v>2085</v>
      </c>
      <c r="H40">
        <v>4.95</v>
      </c>
      <c r="I40">
        <v>0.45</v>
      </c>
      <c r="J40">
        <v>500</v>
      </c>
      <c r="K40" t="s">
        <v>1769</v>
      </c>
      <c r="L40" s="6">
        <f>VALUE(IF(Crypto_Dataset[[#This Row],[Type]]="Sell", _xlfn.CONCAT("-", Crypto_Dataset[[#This Row],[Total AUD]]), Crypto_Dataset[[#This Row],[Total AUD]]))</f>
        <v>500</v>
      </c>
      <c r="M40" s="3">
        <f>VALUE(IF(Crypto_Dataset[[#This Row],[Type]]="Sell", _xlfn.CONCAT("-", Crypto_Dataset[[#This Row],[Amount]]), Crypto_Dataset[[#This Row],[Amount]]))</f>
        <v>935.39069398000004</v>
      </c>
    </row>
    <row r="41" spans="1:13" x14ac:dyDescent="0.35">
      <c r="A41" s="8">
        <v>44291.550694444442</v>
      </c>
      <c r="B41" t="s">
        <v>1759</v>
      </c>
      <c r="C41" t="s">
        <v>2109</v>
      </c>
      <c r="D41">
        <v>30954.0023525</v>
      </c>
      <c r="E41">
        <v>1.6153000000000001E-2</v>
      </c>
      <c r="F41">
        <v>1.5993069306932801E-2</v>
      </c>
      <c r="G41" t="s">
        <v>2085</v>
      </c>
      <c r="H41">
        <v>4.95</v>
      </c>
      <c r="I41">
        <v>0.45</v>
      </c>
      <c r="J41">
        <v>500</v>
      </c>
      <c r="K41" t="s">
        <v>1769</v>
      </c>
      <c r="L41" s="6">
        <f>VALUE(IF(Crypto_Dataset[[#This Row],[Type]]="Sell", _xlfn.CONCAT("-", Crypto_Dataset[[#This Row],[Total AUD]]), Crypto_Dataset[[#This Row],[Total AUD]]))</f>
        <v>500</v>
      </c>
      <c r="M41" s="3">
        <f>VALUE(IF(Crypto_Dataset[[#This Row],[Type]]="Sell", _xlfn.CONCAT("-", Crypto_Dataset[[#This Row],[Amount]]), Crypto_Dataset[[#This Row],[Amount]]))</f>
        <v>30954.0023525</v>
      </c>
    </row>
    <row r="42" spans="1:13" x14ac:dyDescent="0.35">
      <c r="A42" s="8">
        <v>44291.546527777777</v>
      </c>
      <c r="B42" t="s">
        <v>1795</v>
      </c>
      <c r="C42" t="s">
        <v>1767</v>
      </c>
      <c r="D42">
        <v>1.32375061438575E-2</v>
      </c>
      <c r="E42">
        <v>75542.929999999993</v>
      </c>
      <c r="F42">
        <v>76305.989898989894</v>
      </c>
      <c r="G42" t="s">
        <v>2110</v>
      </c>
      <c r="H42">
        <v>10.1</v>
      </c>
      <c r="I42">
        <v>0.92</v>
      </c>
      <c r="J42">
        <v>1000</v>
      </c>
      <c r="K42" t="s">
        <v>2111</v>
      </c>
      <c r="L42" s="6">
        <f>VALUE(IF(Crypto_Dataset[[#This Row],[Type]]="Sell", _xlfn.CONCAT("-", Crypto_Dataset[[#This Row],[Total AUD]]), Crypto_Dataset[[#This Row],[Total AUD]]))</f>
        <v>-1000</v>
      </c>
      <c r="M42" s="3">
        <f>VALUE(IF(Crypto_Dataset[[#This Row],[Type]]="Sell", _xlfn.CONCAT("-", Crypto_Dataset[[#This Row],[Amount]]), Crypto_Dataset[[#This Row],[Amount]]))</f>
        <v>-1.32375061438575E-2</v>
      </c>
    </row>
    <row r="43" spans="1:13" x14ac:dyDescent="0.35">
      <c r="A43" s="8">
        <v>44291.302083333336</v>
      </c>
      <c r="B43" t="s">
        <v>1759</v>
      </c>
      <c r="C43" t="s">
        <v>1818</v>
      </c>
      <c r="D43">
        <v>67.885897380000003</v>
      </c>
      <c r="E43">
        <v>14.730600000000001</v>
      </c>
      <c r="F43">
        <v>14.5847524760376</v>
      </c>
      <c r="G43" t="s">
        <v>2089</v>
      </c>
      <c r="H43">
        <v>9.9</v>
      </c>
      <c r="I43">
        <v>0.9</v>
      </c>
      <c r="J43">
        <v>1000</v>
      </c>
      <c r="K43" t="s">
        <v>1810</v>
      </c>
      <c r="L43" s="6">
        <f>VALUE(IF(Crypto_Dataset[[#This Row],[Type]]="Sell", _xlfn.CONCAT("-", Crypto_Dataset[[#This Row],[Total AUD]]), Crypto_Dataset[[#This Row],[Total AUD]]))</f>
        <v>1000</v>
      </c>
      <c r="M43" s="3">
        <f>VALUE(IF(Crypto_Dataset[[#This Row],[Type]]="Sell", _xlfn.CONCAT("-", Crypto_Dataset[[#This Row],[Amount]]), Crypto_Dataset[[#This Row],[Amount]]))</f>
        <v>67.885897380000003</v>
      </c>
    </row>
    <row r="44" spans="1:13" x14ac:dyDescent="0.35">
      <c r="A44" s="8">
        <v>44291.297222222223</v>
      </c>
      <c r="B44" t="s">
        <v>1795</v>
      </c>
      <c r="C44" t="s">
        <v>1767</v>
      </c>
      <c r="D44">
        <v>1.31407115274789E-2</v>
      </c>
      <c r="E44">
        <v>76099.38</v>
      </c>
      <c r="F44">
        <v>76868.060606060593</v>
      </c>
      <c r="G44" t="s">
        <v>2110</v>
      </c>
      <c r="H44">
        <v>10.1</v>
      </c>
      <c r="I44">
        <v>0.92</v>
      </c>
      <c r="J44">
        <v>1000</v>
      </c>
      <c r="K44" t="s">
        <v>2111</v>
      </c>
      <c r="L44" s="6">
        <f>VALUE(IF(Crypto_Dataset[[#This Row],[Type]]="Sell", _xlfn.CONCAT("-", Crypto_Dataset[[#This Row],[Total AUD]]), Crypto_Dataset[[#This Row],[Total AUD]]))</f>
        <v>-1000</v>
      </c>
      <c r="M44" s="3">
        <f>VALUE(IF(Crypto_Dataset[[#This Row],[Type]]="Sell", _xlfn.CONCAT("-", Crypto_Dataset[[#This Row],[Amount]]), Crypto_Dataset[[#This Row],[Amount]]))</f>
        <v>-1.31407115274789E-2</v>
      </c>
    </row>
    <row r="45" spans="1:13" x14ac:dyDescent="0.35">
      <c r="A45" s="8">
        <v>44290.675694444442</v>
      </c>
      <c r="B45" t="s">
        <v>1759</v>
      </c>
      <c r="C45" t="s">
        <v>1827</v>
      </c>
      <c r="D45">
        <v>0.18429203999999999</v>
      </c>
      <c r="E45">
        <v>255.03</v>
      </c>
      <c r="F45">
        <v>252.50495607594601</v>
      </c>
      <c r="G45" t="s">
        <v>2112</v>
      </c>
      <c r="H45">
        <v>0.47</v>
      </c>
      <c r="I45">
        <v>0.04</v>
      </c>
      <c r="J45">
        <v>47</v>
      </c>
      <c r="K45" t="s">
        <v>1828</v>
      </c>
      <c r="L45" s="6">
        <f>VALUE(IF(Crypto_Dataset[[#This Row],[Type]]="Sell", _xlfn.CONCAT("-", Crypto_Dataset[[#This Row],[Total AUD]]), Crypto_Dataset[[#This Row],[Total AUD]]))</f>
        <v>47</v>
      </c>
      <c r="M45" s="3">
        <f>VALUE(IF(Crypto_Dataset[[#This Row],[Type]]="Sell", _xlfn.CONCAT("-", Crypto_Dataset[[#This Row],[Amount]]), Crypto_Dataset[[#This Row],[Amount]]))</f>
        <v>0.18429203999999999</v>
      </c>
    </row>
    <row r="46" spans="1:13" x14ac:dyDescent="0.35">
      <c r="A46" s="8">
        <v>44290.675694444442</v>
      </c>
      <c r="B46" t="s">
        <v>1759</v>
      </c>
      <c r="C46" t="s">
        <v>2109</v>
      </c>
      <c r="D46">
        <v>4632.4269889200004</v>
      </c>
      <c r="E46">
        <v>9.9299999999999996E-3</v>
      </c>
      <c r="F46">
        <v>9.8316831683220394E-3</v>
      </c>
      <c r="G46" t="s">
        <v>2113</v>
      </c>
      <c r="H46">
        <v>0.46</v>
      </c>
      <c r="I46">
        <v>0.04</v>
      </c>
      <c r="J46">
        <v>46</v>
      </c>
      <c r="K46" t="s">
        <v>1829</v>
      </c>
      <c r="L46" s="6">
        <f>VALUE(IF(Crypto_Dataset[[#This Row],[Type]]="Sell", _xlfn.CONCAT("-", Crypto_Dataset[[#This Row],[Total AUD]]), Crypto_Dataset[[#This Row],[Total AUD]]))</f>
        <v>46</v>
      </c>
      <c r="M46" s="3">
        <f>VALUE(IF(Crypto_Dataset[[#This Row],[Type]]="Sell", _xlfn.CONCAT("-", Crypto_Dataset[[#This Row],[Amount]]), Crypto_Dataset[[#This Row],[Amount]]))</f>
        <v>4632.4269889200004</v>
      </c>
    </row>
    <row r="47" spans="1:13" x14ac:dyDescent="0.35">
      <c r="A47" s="8">
        <v>44289.720138888886</v>
      </c>
      <c r="B47" t="s">
        <v>1759</v>
      </c>
      <c r="C47" t="s">
        <v>1774</v>
      </c>
      <c r="D47">
        <v>16788.38243935</v>
      </c>
      <c r="E47">
        <v>3.5739E-2</v>
      </c>
      <c r="F47">
        <v>3.5385148514855601E-2</v>
      </c>
      <c r="G47" t="s">
        <v>2083</v>
      </c>
      <c r="H47">
        <v>5.94</v>
      </c>
      <c r="I47">
        <v>0.54</v>
      </c>
      <c r="J47">
        <v>600</v>
      </c>
      <c r="K47" t="s">
        <v>1815</v>
      </c>
      <c r="L47" s="6">
        <f>VALUE(IF(Crypto_Dataset[[#This Row],[Type]]="Sell", _xlfn.CONCAT("-", Crypto_Dataset[[#This Row],[Total AUD]]), Crypto_Dataset[[#This Row],[Total AUD]]))</f>
        <v>600</v>
      </c>
      <c r="M47" s="3">
        <f>VALUE(IF(Crypto_Dataset[[#This Row],[Type]]="Sell", _xlfn.CONCAT("-", Crypto_Dataset[[#This Row],[Amount]]), Crypto_Dataset[[#This Row],[Amount]]))</f>
        <v>16788.38243935</v>
      </c>
    </row>
    <row r="48" spans="1:13" x14ac:dyDescent="0.35">
      <c r="A48" s="8">
        <v>44289.691666666666</v>
      </c>
      <c r="B48" t="s">
        <v>1759</v>
      </c>
      <c r="C48" t="s">
        <v>1774</v>
      </c>
      <c r="D48">
        <v>17451.49937465</v>
      </c>
      <c r="E48">
        <v>3.4381000000000002E-2</v>
      </c>
      <c r="F48">
        <v>3.4040594059414897E-2</v>
      </c>
      <c r="G48" t="s">
        <v>2083</v>
      </c>
      <c r="H48">
        <v>5.94</v>
      </c>
      <c r="I48">
        <v>0.54</v>
      </c>
      <c r="J48">
        <v>600</v>
      </c>
      <c r="K48" t="s">
        <v>1815</v>
      </c>
      <c r="L48" s="6">
        <f>VALUE(IF(Crypto_Dataset[[#This Row],[Type]]="Sell", _xlfn.CONCAT("-", Crypto_Dataset[[#This Row],[Total AUD]]), Crypto_Dataset[[#This Row],[Total AUD]]))</f>
        <v>600</v>
      </c>
      <c r="M48" s="3">
        <f>VALUE(IF(Crypto_Dataset[[#This Row],[Type]]="Sell", _xlfn.CONCAT("-", Crypto_Dataset[[#This Row],[Amount]]), Crypto_Dataset[[#This Row],[Amount]]))</f>
        <v>17451.49937465</v>
      </c>
    </row>
    <row r="49" spans="1:13" x14ac:dyDescent="0.35">
      <c r="A49" s="8">
        <v>44285.774305555555</v>
      </c>
      <c r="B49" t="s">
        <v>1759</v>
      </c>
      <c r="C49" t="s">
        <v>1760</v>
      </c>
      <c r="D49">
        <v>6.0650660000000002E-2</v>
      </c>
      <c r="E49">
        <v>2473.1799999999998</v>
      </c>
      <c r="F49">
        <v>2448.6930807537501</v>
      </c>
      <c r="G49" t="s">
        <v>2114</v>
      </c>
      <c r="H49">
        <v>1.49</v>
      </c>
      <c r="I49">
        <v>0.14000000000000001</v>
      </c>
      <c r="J49">
        <v>150</v>
      </c>
      <c r="K49" t="s">
        <v>1761</v>
      </c>
      <c r="L49" s="6">
        <f>VALUE(IF(Crypto_Dataset[[#This Row],[Type]]="Sell", _xlfn.CONCAT("-", Crypto_Dataset[[#This Row],[Total AUD]]), Crypto_Dataset[[#This Row],[Total AUD]]))</f>
        <v>150</v>
      </c>
      <c r="M49" s="3">
        <f>VALUE(IF(Crypto_Dataset[[#This Row],[Type]]="Sell", _xlfn.CONCAT("-", Crypto_Dataset[[#This Row],[Amount]]), Crypto_Dataset[[#This Row],[Amount]]))</f>
        <v>6.0650660000000002E-2</v>
      </c>
    </row>
    <row r="50" spans="1:13" x14ac:dyDescent="0.35">
      <c r="A50" s="8">
        <v>44285.774305555555</v>
      </c>
      <c r="B50" t="s">
        <v>1759</v>
      </c>
      <c r="C50" t="s">
        <v>1762</v>
      </c>
      <c r="D50">
        <v>190.81226235</v>
      </c>
      <c r="E50">
        <v>0.78611299999999995</v>
      </c>
      <c r="F50">
        <v>0.77832970300793902</v>
      </c>
      <c r="G50" t="s">
        <v>2114</v>
      </c>
      <c r="H50">
        <v>1.49</v>
      </c>
      <c r="I50">
        <v>0.14000000000000001</v>
      </c>
      <c r="J50">
        <v>150</v>
      </c>
      <c r="K50" t="s">
        <v>1761</v>
      </c>
      <c r="L50" s="6">
        <f>VALUE(IF(Crypto_Dataset[[#This Row],[Type]]="Sell", _xlfn.CONCAT("-", Crypto_Dataset[[#This Row],[Total AUD]]), Crypto_Dataset[[#This Row],[Total AUD]]))</f>
        <v>150</v>
      </c>
      <c r="M50" s="3">
        <f>VALUE(IF(Crypto_Dataset[[#This Row],[Type]]="Sell", _xlfn.CONCAT("-", Crypto_Dataset[[#This Row],[Amount]]), Crypto_Dataset[[#This Row],[Amount]]))</f>
        <v>190.81226235</v>
      </c>
    </row>
    <row r="51" spans="1:13" x14ac:dyDescent="0.35">
      <c r="A51" s="8">
        <v>44282.60833333333</v>
      </c>
      <c r="B51" t="s">
        <v>1759</v>
      </c>
      <c r="C51" t="s">
        <v>1760</v>
      </c>
      <c r="D51">
        <v>6.4954460000000006E-2</v>
      </c>
      <c r="E51">
        <v>2309.31</v>
      </c>
      <c r="F51">
        <v>2286.4457880975101</v>
      </c>
      <c r="G51" t="s">
        <v>2114</v>
      </c>
      <c r="H51">
        <v>1.49</v>
      </c>
      <c r="I51">
        <v>0.14000000000000001</v>
      </c>
      <c r="J51">
        <v>150</v>
      </c>
      <c r="K51" t="s">
        <v>1761</v>
      </c>
      <c r="L51" s="6">
        <f>VALUE(IF(Crypto_Dataset[[#This Row],[Type]]="Sell", _xlfn.CONCAT("-", Crypto_Dataset[[#This Row],[Total AUD]]), Crypto_Dataset[[#This Row],[Total AUD]]))</f>
        <v>150</v>
      </c>
      <c r="M51" s="3">
        <f>VALUE(IF(Crypto_Dataset[[#This Row],[Type]]="Sell", _xlfn.CONCAT("-", Crypto_Dataset[[#This Row],[Amount]]), Crypto_Dataset[[#This Row],[Amount]]))</f>
        <v>6.4954460000000006E-2</v>
      </c>
    </row>
    <row r="52" spans="1:13" x14ac:dyDescent="0.35">
      <c r="A52" s="8">
        <v>44282.607638888891</v>
      </c>
      <c r="B52" t="s">
        <v>1759</v>
      </c>
      <c r="C52" t="s">
        <v>1763</v>
      </c>
      <c r="D52">
        <v>271.01935800000001</v>
      </c>
      <c r="E52">
        <v>0.55346600000000001</v>
      </c>
      <c r="F52">
        <v>0.54798613863275503</v>
      </c>
      <c r="G52" t="s">
        <v>2114</v>
      </c>
      <c r="H52">
        <v>1.49</v>
      </c>
      <c r="I52">
        <v>0.14000000000000001</v>
      </c>
      <c r="J52">
        <v>150</v>
      </c>
      <c r="K52" t="s">
        <v>1761</v>
      </c>
      <c r="L52" s="6">
        <f>VALUE(IF(Crypto_Dataset[[#This Row],[Type]]="Sell", _xlfn.CONCAT("-", Crypto_Dataset[[#This Row],[Total AUD]]), Crypto_Dataset[[#This Row],[Total AUD]]))</f>
        <v>150</v>
      </c>
      <c r="M52" s="3">
        <f>VALUE(IF(Crypto_Dataset[[#This Row],[Type]]="Sell", _xlfn.CONCAT("-", Crypto_Dataset[[#This Row],[Amount]]), Crypto_Dataset[[#This Row],[Amount]]))</f>
        <v>271.01935800000001</v>
      </c>
    </row>
    <row r="53" spans="1:13" x14ac:dyDescent="0.35">
      <c r="A53" s="8">
        <v>44282.607638888891</v>
      </c>
      <c r="B53" t="s">
        <v>1759</v>
      </c>
      <c r="C53" t="s">
        <v>1764</v>
      </c>
      <c r="D53">
        <v>92.882477649999998</v>
      </c>
      <c r="E53">
        <v>1.6149439999999999</v>
      </c>
      <c r="F53">
        <v>1.5989544555947599</v>
      </c>
      <c r="G53" t="s">
        <v>2114</v>
      </c>
      <c r="H53">
        <v>1.49</v>
      </c>
      <c r="I53">
        <v>0.14000000000000001</v>
      </c>
      <c r="J53">
        <v>150</v>
      </c>
      <c r="K53" t="s">
        <v>1761</v>
      </c>
      <c r="L53" s="6">
        <f>VALUE(IF(Crypto_Dataset[[#This Row],[Type]]="Sell", _xlfn.CONCAT("-", Crypto_Dataset[[#This Row],[Total AUD]]), Crypto_Dataset[[#This Row],[Total AUD]]))</f>
        <v>150</v>
      </c>
      <c r="M53" s="3">
        <f>VALUE(IF(Crypto_Dataset[[#This Row],[Type]]="Sell", _xlfn.CONCAT("-", Crypto_Dataset[[#This Row],[Amount]]), Crypto_Dataset[[#This Row],[Amount]]))</f>
        <v>92.882477649999998</v>
      </c>
    </row>
    <row r="54" spans="1:13" x14ac:dyDescent="0.35">
      <c r="A54" s="8">
        <v>44282.607638888891</v>
      </c>
      <c r="B54" t="s">
        <v>1759</v>
      </c>
      <c r="C54" t="s">
        <v>2115</v>
      </c>
      <c r="D54">
        <v>24.543892660000001</v>
      </c>
      <c r="E54">
        <v>6.1115000000000004</v>
      </c>
      <c r="F54">
        <v>6.0509900993491597</v>
      </c>
      <c r="G54" t="s">
        <v>2114</v>
      </c>
      <c r="H54">
        <v>1.49</v>
      </c>
      <c r="I54">
        <v>0.14000000000000001</v>
      </c>
      <c r="J54">
        <v>150</v>
      </c>
      <c r="K54" t="s">
        <v>1761</v>
      </c>
      <c r="L54" s="6">
        <f>VALUE(IF(Crypto_Dataset[[#This Row],[Type]]="Sell", _xlfn.CONCAT("-", Crypto_Dataset[[#This Row],[Total AUD]]), Crypto_Dataset[[#This Row],[Total AUD]]))</f>
        <v>150</v>
      </c>
      <c r="M54" s="3">
        <f>VALUE(IF(Crypto_Dataset[[#This Row],[Type]]="Sell", _xlfn.CONCAT("-", Crypto_Dataset[[#This Row],[Amount]]), Crypto_Dataset[[#This Row],[Amount]]))</f>
        <v>24.543892660000001</v>
      </c>
    </row>
    <row r="55" spans="1:13" x14ac:dyDescent="0.35">
      <c r="A55" s="8">
        <v>44282.607638888891</v>
      </c>
      <c r="B55" t="s">
        <v>1759</v>
      </c>
      <c r="C55" t="s">
        <v>1765</v>
      </c>
      <c r="D55">
        <v>3.3990482599999998</v>
      </c>
      <c r="E55">
        <v>44.13</v>
      </c>
      <c r="F55">
        <v>43.693069390296998</v>
      </c>
      <c r="G55" t="s">
        <v>2114</v>
      </c>
      <c r="H55">
        <v>1.49</v>
      </c>
      <c r="I55">
        <v>0.14000000000000001</v>
      </c>
      <c r="J55">
        <v>150</v>
      </c>
      <c r="K55" t="s">
        <v>1761</v>
      </c>
      <c r="L55" s="6">
        <f>VALUE(IF(Crypto_Dataset[[#This Row],[Type]]="Sell", _xlfn.CONCAT("-", Crypto_Dataset[[#This Row],[Total AUD]]), Crypto_Dataset[[#This Row],[Total AUD]]))</f>
        <v>150</v>
      </c>
      <c r="M55" s="3">
        <f>VALUE(IF(Crypto_Dataset[[#This Row],[Type]]="Sell", _xlfn.CONCAT("-", Crypto_Dataset[[#This Row],[Amount]]), Crypto_Dataset[[#This Row],[Amount]]))</f>
        <v>3.3990482599999998</v>
      </c>
    </row>
    <row r="56" spans="1:13" x14ac:dyDescent="0.35">
      <c r="A56" s="8">
        <v>44282.606944444444</v>
      </c>
      <c r="B56" t="s">
        <v>1759</v>
      </c>
      <c r="C56" t="s">
        <v>1766</v>
      </c>
      <c r="D56">
        <v>662.10257291999994</v>
      </c>
      <c r="E56">
        <v>0.226551</v>
      </c>
      <c r="F56">
        <v>0.224307920795669</v>
      </c>
      <c r="G56" t="s">
        <v>2114</v>
      </c>
      <c r="H56">
        <v>1.49</v>
      </c>
      <c r="I56">
        <v>0.14000000000000001</v>
      </c>
      <c r="J56">
        <v>150</v>
      </c>
      <c r="K56" t="s">
        <v>1761</v>
      </c>
      <c r="L56" s="6">
        <f>VALUE(IF(Crypto_Dataset[[#This Row],[Type]]="Sell", _xlfn.CONCAT("-", Crypto_Dataset[[#This Row],[Total AUD]]), Crypto_Dataset[[#This Row],[Total AUD]]))</f>
        <v>150</v>
      </c>
      <c r="M56" s="3">
        <f>VALUE(IF(Crypto_Dataset[[#This Row],[Type]]="Sell", _xlfn.CONCAT("-", Crypto_Dataset[[#This Row],[Amount]]), Crypto_Dataset[[#This Row],[Amount]]))</f>
        <v>662.10257291999994</v>
      </c>
    </row>
    <row r="57" spans="1:13" x14ac:dyDescent="0.35">
      <c r="A57" s="8">
        <v>44282.606944444444</v>
      </c>
      <c r="B57" t="s">
        <v>1759</v>
      </c>
      <c r="C57" t="s">
        <v>1767</v>
      </c>
      <c r="D57">
        <v>2.03958E-3</v>
      </c>
      <c r="E57">
        <v>73544.210000010004</v>
      </c>
      <c r="F57">
        <v>72816.389396419094</v>
      </c>
      <c r="G57" t="s">
        <v>2114</v>
      </c>
      <c r="H57">
        <v>1.49</v>
      </c>
      <c r="I57">
        <v>0.14000000000000001</v>
      </c>
      <c r="J57">
        <v>150</v>
      </c>
      <c r="K57" t="s">
        <v>1761</v>
      </c>
      <c r="L57" s="6">
        <f>VALUE(IF(Crypto_Dataset[[#This Row],[Type]]="Sell", _xlfn.CONCAT("-", Crypto_Dataset[[#This Row],[Total AUD]]), Crypto_Dataset[[#This Row],[Total AUD]]))</f>
        <v>150</v>
      </c>
      <c r="M57" s="3">
        <f>VALUE(IF(Crypto_Dataset[[#This Row],[Type]]="Sell", _xlfn.CONCAT("-", Crypto_Dataset[[#This Row],[Amount]]), Crypto_Dataset[[#This Row],[Amount]]))</f>
        <v>2.03958E-3</v>
      </c>
    </row>
    <row r="58" spans="1:13" x14ac:dyDescent="0.35">
      <c r="A58" s="8">
        <v>44282.606944444444</v>
      </c>
      <c r="B58" t="s">
        <v>1759</v>
      </c>
      <c r="C58" t="s">
        <v>1762</v>
      </c>
      <c r="D58">
        <v>196.42120563</v>
      </c>
      <c r="E58">
        <v>0.76366500000000004</v>
      </c>
      <c r="F58">
        <v>0.75610396040897399</v>
      </c>
      <c r="G58" t="s">
        <v>2114</v>
      </c>
      <c r="H58">
        <v>1.49</v>
      </c>
      <c r="I58">
        <v>0.14000000000000001</v>
      </c>
      <c r="J58">
        <v>150</v>
      </c>
      <c r="K58" t="s">
        <v>1761</v>
      </c>
      <c r="L58" s="6">
        <f>VALUE(IF(Crypto_Dataset[[#This Row],[Type]]="Sell", _xlfn.CONCAT("-", Crypto_Dataset[[#This Row],[Total AUD]]), Crypto_Dataset[[#This Row],[Total AUD]]))</f>
        <v>150</v>
      </c>
      <c r="M58" s="3">
        <f>VALUE(IF(Crypto_Dataset[[#This Row],[Type]]="Sell", _xlfn.CONCAT("-", Crypto_Dataset[[#This Row],[Amount]]), Crypto_Dataset[[#This Row],[Amount]]))</f>
        <v>196.42120563</v>
      </c>
    </row>
    <row r="59" spans="1:13" x14ac:dyDescent="0.35">
      <c r="A59" s="8">
        <v>44282.602777777778</v>
      </c>
      <c r="B59" t="s">
        <v>1759</v>
      </c>
      <c r="C59" t="s">
        <v>1768</v>
      </c>
      <c r="D59">
        <v>8.8276836000000003</v>
      </c>
      <c r="E59">
        <v>56.64</v>
      </c>
      <c r="F59">
        <v>56.079208021286</v>
      </c>
      <c r="G59" t="s">
        <v>2085</v>
      </c>
      <c r="H59">
        <v>4.95</v>
      </c>
      <c r="I59">
        <v>0.45</v>
      </c>
      <c r="J59">
        <v>500</v>
      </c>
      <c r="K59" t="s">
        <v>1769</v>
      </c>
      <c r="L59" s="6">
        <f>VALUE(IF(Crypto_Dataset[[#This Row],[Type]]="Sell", _xlfn.CONCAT("-", Crypto_Dataset[[#This Row],[Total AUD]]), Crypto_Dataset[[#This Row],[Total AUD]]))</f>
        <v>500</v>
      </c>
      <c r="M59" s="3">
        <f>VALUE(IF(Crypto_Dataset[[#This Row],[Type]]="Sell", _xlfn.CONCAT("-", Crypto_Dataset[[#This Row],[Amount]]), Crypto_Dataset[[#This Row],[Amount]]))</f>
        <v>8.8276836000000003</v>
      </c>
    </row>
    <row r="60" spans="1:13" x14ac:dyDescent="0.35">
      <c r="A60" s="8">
        <v>44282.425694444442</v>
      </c>
      <c r="B60" t="s">
        <v>1759</v>
      </c>
      <c r="C60" t="s">
        <v>1767</v>
      </c>
      <c r="D60">
        <v>4.1050699999999997E-3</v>
      </c>
      <c r="E60">
        <v>73080.210000010004</v>
      </c>
      <c r="F60">
        <v>72356.793664979399</v>
      </c>
      <c r="G60" t="s">
        <v>2116</v>
      </c>
      <c r="H60">
        <v>2.97</v>
      </c>
      <c r="I60">
        <v>0.27</v>
      </c>
      <c r="J60">
        <v>300</v>
      </c>
      <c r="K60" t="s">
        <v>1770</v>
      </c>
      <c r="L60" s="6">
        <f>VALUE(IF(Crypto_Dataset[[#This Row],[Type]]="Sell", _xlfn.CONCAT("-", Crypto_Dataset[[#This Row],[Total AUD]]), Crypto_Dataset[[#This Row],[Total AUD]]))</f>
        <v>300</v>
      </c>
      <c r="M60" s="3">
        <f>VALUE(IF(Crypto_Dataset[[#This Row],[Type]]="Sell", _xlfn.CONCAT("-", Crypto_Dataset[[#This Row],[Amount]]), Crypto_Dataset[[#This Row],[Amount]]))</f>
        <v>4.1050699999999997E-3</v>
      </c>
    </row>
    <row r="61" spans="1:13" x14ac:dyDescent="0.35">
      <c r="A61" s="8">
        <v>44279.23541666667</v>
      </c>
      <c r="B61" t="s">
        <v>1759</v>
      </c>
      <c r="C61" t="s">
        <v>1766</v>
      </c>
      <c r="D61">
        <v>1326.16614209</v>
      </c>
      <c r="E61">
        <v>0.226216</v>
      </c>
      <c r="F61">
        <v>0.22397623762448499</v>
      </c>
      <c r="G61" t="s">
        <v>2116</v>
      </c>
      <c r="H61">
        <v>2.97</v>
      </c>
      <c r="I61">
        <v>0.27</v>
      </c>
      <c r="J61">
        <v>300</v>
      </c>
      <c r="K61" t="s">
        <v>1770</v>
      </c>
      <c r="L61" s="6">
        <f>VALUE(IF(Crypto_Dataset[[#This Row],[Type]]="Sell", _xlfn.CONCAT("-", Crypto_Dataset[[#This Row],[Total AUD]]), Crypto_Dataset[[#This Row],[Total AUD]]))</f>
        <v>300</v>
      </c>
      <c r="M61" s="3">
        <f>VALUE(IF(Crypto_Dataset[[#This Row],[Type]]="Sell", _xlfn.CONCAT("-", Crypto_Dataset[[#This Row],[Amount]]), Crypto_Dataset[[#This Row],[Amount]]))</f>
        <v>1326.16614209</v>
      </c>
    </row>
    <row r="62" spans="1:13" x14ac:dyDescent="0.35">
      <c r="A62" s="8">
        <v>44279.234722222223</v>
      </c>
      <c r="B62" t="s">
        <v>1759</v>
      </c>
      <c r="C62" t="s">
        <v>2115</v>
      </c>
      <c r="D62">
        <v>43.652237169999999</v>
      </c>
      <c r="E62">
        <v>6.8724999999999996</v>
      </c>
      <c r="F62">
        <v>6.8044554466599099</v>
      </c>
      <c r="G62" t="s">
        <v>2116</v>
      </c>
      <c r="H62">
        <v>2.97</v>
      </c>
      <c r="I62">
        <v>0.27</v>
      </c>
      <c r="J62">
        <v>300</v>
      </c>
      <c r="K62" t="s">
        <v>1770</v>
      </c>
      <c r="L62" s="6">
        <f>VALUE(IF(Crypto_Dataset[[#This Row],[Type]]="Sell", _xlfn.CONCAT("-", Crypto_Dataset[[#This Row],[Total AUD]]), Crypto_Dataset[[#This Row],[Total AUD]]))</f>
        <v>300</v>
      </c>
      <c r="M62" s="3">
        <f>VALUE(IF(Crypto_Dataset[[#This Row],[Type]]="Sell", _xlfn.CONCAT("-", Crypto_Dataset[[#This Row],[Amount]]), Crypto_Dataset[[#This Row],[Amount]]))</f>
        <v>43.652237169999999</v>
      </c>
    </row>
    <row r="63" spans="1:13" x14ac:dyDescent="0.35">
      <c r="A63" s="8">
        <v>44278.257638888892</v>
      </c>
      <c r="B63" t="s">
        <v>1759</v>
      </c>
      <c r="C63" t="s">
        <v>1760</v>
      </c>
      <c r="D63">
        <v>4.1458500000000003E-6</v>
      </c>
      <c r="E63">
        <v>2306.3063063063</v>
      </c>
      <c r="F63">
        <v>2304</v>
      </c>
      <c r="G63" t="s">
        <v>2117</v>
      </c>
      <c r="H63">
        <v>0</v>
      </c>
      <c r="I63">
        <v>0</v>
      </c>
      <c r="J63">
        <v>0.01</v>
      </c>
      <c r="K63" t="s">
        <v>1771</v>
      </c>
      <c r="L63" s="6">
        <f>VALUE(IF(Crypto_Dataset[[#This Row],[Type]]="Sell", _xlfn.CONCAT("-", Crypto_Dataset[[#This Row],[Total AUD]]), Crypto_Dataset[[#This Row],[Total AUD]]))</f>
        <v>0.01</v>
      </c>
      <c r="M63" s="3">
        <f>VALUE(IF(Crypto_Dataset[[#This Row],[Type]]="Sell", _xlfn.CONCAT("-", Crypto_Dataset[[#This Row],[Amount]]), Crypto_Dataset[[#This Row],[Amount]]))</f>
        <v>4.1458500000000003E-6</v>
      </c>
    </row>
    <row r="64" spans="1:13" x14ac:dyDescent="0.35">
      <c r="A64" s="8">
        <v>44278.257638888892</v>
      </c>
      <c r="B64" t="s">
        <v>1759</v>
      </c>
      <c r="C64" t="s">
        <v>1760</v>
      </c>
      <c r="D64">
        <v>6.5034900000000007E-2</v>
      </c>
      <c r="E64">
        <v>2306.3063063063</v>
      </c>
      <c r="F64">
        <v>2304</v>
      </c>
      <c r="G64" t="s">
        <v>2118</v>
      </c>
      <c r="H64">
        <v>0.15</v>
      </c>
      <c r="I64">
        <v>0.01</v>
      </c>
      <c r="J64">
        <v>149.99</v>
      </c>
      <c r="K64" t="s">
        <v>1772</v>
      </c>
      <c r="L64" s="6">
        <f>VALUE(IF(Crypto_Dataset[[#This Row],[Type]]="Sell", _xlfn.CONCAT("-", Crypto_Dataset[[#This Row],[Total AUD]]), Crypto_Dataset[[#This Row],[Total AUD]]))</f>
        <v>149.99</v>
      </c>
      <c r="M64" s="3">
        <f>VALUE(IF(Crypto_Dataset[[#This Row],[Type]]="Sell", _xlfn.CONCAT("-", Crypto_Dataset[[#This Row],[Amount]]), Crypto_Dataset[[#This Row],[Amount]]))</f>
        <v>6.5034900000000007E-2</v>
      </c>
    </row>
    <row r="65" spans="1:13" x14ac:dyDescent="0.35">
      <c r="A65" s="8">
        <v>44277.826388888891</v>
      </c>
      <c r="B65" t="s">
        <v>1759</v>
      </c>
      <c r="C65" t="s">
        <v>1768</v>
      </c>
      <c r="D65">
        <v>2.6082420399999999</v>
      </c>
      <c r="E65">
        <v>57.51</v>
      </c>
      <c r="F65">
        <v>56.940594165543203</v>
      </c>
      <c r="G65" t="s">
        <v>2114</v>
      </c>
      <c r="H65">
        <v>1.49</v>
      </c>
      <c r="I65">
        <v>0.14000000000000001</v>
      </c>
      <c r="J65">
        <v>150</v>
      </c>
      <c r="K65" t="s">
        <v>1761</v>
      </c>
      <c r="L65" s="6">
        <f>VALUE(IF(Crypto_Dataset[[#This Row],[Type]]="Sell", _xlfn.CONCAT("-", Crypto_Dataset[[#This Row],[Total AUD]]), Crypto_Dataset[[#This Row],[Total AUD]]))</f>
        <v>150</v>
      </c>
      <c r="M65" s="3">
        <f>VALUE(IF(Crypto_Dataset[[#This Row],[Type]]="Sell", _xlfn.CONCAT("-", Crypto_Dataset[[#This Row],[Amount]]), Crypto_Dataset[[#This Row],[Amount]]))</f>
        <v>2.6082420399999999</v>
      </c>
    </row>
    <row r="66" spans="1:13" x14ac:dyDescent="0.35">
      <c r="A66" s="8">
        <v>44271.48333333333</v>
      </c>
      <c r="B66" t="s">
        <v>1759</v>
      </c>
      <c r="C66" t="s">
        <v>1767</v>
      </c>
      <c r="D66">
        <v>3.49584066E-3</v>
      </c>
      <c r="E66">
        <v>71513.556913660897</v>
      </c>
      <c r="F66">
        <v>71442</v>
      </c>
      <c r="G66" t="s">
        <v>2119</v>
      </c>
      <c r="H66">
        <v>0.25</v>
      </c>
      <c r="I66">
        <v>0.02</v>
      </c>
      <c r="J66">
        <v>250</v>
      </c>
      <c r="K66" t="s">
        <v>1773</v>
      </c>
      <c r="L66" s="6">
        <f>VALUE(IF(Crypto_Dataset[[#This Row],[Type]]="Sell", _xlfn.CONCAT("-", Crypto_Dataset[[#This Row],[Total AUD]]), Crypto_Dataset[[#This Row],[Total AUD]]))</f>
        <v>250</v>
      </c>
      <c r="M66" s="3">
        <f>VALUE(IF(Crypto_Dataset[[#This Row],[Type]]="Sell", _xlfn.CONCAT("-", Crypto_Dataset[[#This Row],[Amount]]), Crypto_Dataset[[#This Row],[Amount]]))</f>
        <v>3.49584066E-3</v>
      </c>
    </row>
    <row r="67" spans="1:13" x14ac:dyDescent="0.35">
      <c r="A67" s="8">
        <v>44268.629166666666</v>
      </c>
      <c r="B67" t="s">
        <v>1759</v>
      </c>
      <c r="C67" t="s">
        <v>1766</v>
      </c>
      <c r="D67">
        <v>699.00415208000004</v>
      </c>
      <c r="E67">
        <v>0.214591</v>
      </c>
      <c r="F67">
        <v>0.21246633663507999</v>
      </c>
      <c r="G67" t="s">
        <v>2114</v>
      </c>
      <c r="H67">
        <v>1.49</v>
      </c>
      <c r="I67">
        <v>0.14000000000000001</v>
      </c>
      <c r="J67">
        <v>150</v>
      </c>
      <c r="K67" t="s">
        <v>1761</v>
      </c>
      <c r="L67" s="6">
        <f>VALUE(IF(Crypto_Dataset[[#This Row],[Type]]="Sell", _xlfn.CONCAT("-", Crypto_Dataset[[#This Row],[Total AUD]]), Crypto_Dataset[[#This Row],[Total AUD]]))</f>
        <v>150</v>
      </c>
      <c r="M67" s="3">
        <f>VALUE(IF(Crypto_Dataset[[#This Row],[Type]]="Sell", _xlfn.CONCAT("-", Crypto_Dataset[[#This Row],[Amount]]), Crypto_Dataset[[#This Row],[Amount]]))</f>
        <v>699.00415208000004</v>
      </c>
    </row>
    <row r="68" spans="1:13" x14ac:dyDescent="0.35">
      <c r="A68" s="8">
        <v>44268.628472222219</v>
      </c>
      <c r="B68" t="s">
        <v>1759</v>
      </c>
      <c r="C68" t="s">
        <v>1774</v>
      </c>
      <c r="D68">
        <v>38158.229458150003</v>
      </c>
      <c r="E68">
        <v>3.9309999999999996E-3</v>
      </c>
      <c r="F68">
        <v>3.8920792079211101E-3</v>
      </c>
      <c r="G68" t="s">
        <v>2114</v>
      </c>
      <c r="H68">
        <v>1.49</v>
      </c>
      <c r="I68">
        <v>0.14000000000000001</v>
      </c>
      <c r="J68">
        <v>150</v>
      </c>
      <c r="K68" t="s">
        <v>1761</v>
      </c>
      <c r="L68" s="6">
        <f>VALUE(IF(Crypto_Dataset[[#This Row],[Type]]="Sell", _xlfn.CONCAT("-", Crypto_Dataset[[#This Row],[Total AUD]]), Crypto_Dataset[[#This Row],[Total AUD]]))</f>
        <v>150</v>
      </c>
      <c r="M68" s="3">
        <f>VALUE(IF(Crypto_Dataset[[#This Row],[Type]]="Sell", _xlfn.CONCAT("-", Crypto_Dataset[[#This Row],[Amount]]), Crypto_Dataset[[#This Row],[Amount]]))</f>
        <v>38158.229458150003</v>
      </c>
    </row>
    <row r="69" spans="1:13" x14ac:dyDescent="0.35">
      <c r="A69" s="8">
        <v>44268.013194444444</v>
      </c>
      <c r="B69" t="s">
        <v>1759</v>
      </c>
      <c r="C69" t="s">
        <v>1765</v>
      </c>
      <c r="D69">
        <v>3.1652247299999998</v>
      </c>
      <c r="E69">
        <v>47.39</v>
      </c>
      <c r="F69">
        <v>46.920792093377997</v>
      </c>
      <c r="G69" t="s">
        <v>2114</v>
      </c>
      <c r="H69">
        <v>1.49</v>
      </c>
      <c r="I69">
        <v>0.14000000000000001</v>
      </c>
      <c r="J69">
        <v>150</v>
      </c>
      <c r="K69" t="s">
        <v>1761</v>
      </c>
      <c r="L69" s="6">
        <f>VALUE(IF(Crypto_Dataset[[#This Row],[Type]]="Sell", _xlfn.CONCAT("-", Crypto_Dataset[[#This Row],[Total AUD]]), Crypto_Dataset[[#This Row],[Total AUD]]))</f>
        <v>150</v>
      </c>
      <c r="M69" s="3">
        <f>VALUE(IF(Crypto_Dataset[[#This Row],[Type]]="Sell", _xlfn.CONCAT("-", Crypto_Dataset[[#This Row],[Amount]]), Crypto_Dataset[[#This Row],[Amount]]))</f>
        <v>3.1652247299999998</v>
      </c>
    </row>
    <row r="70" spans="1:13" x14ac:dyDescent="0.35">
      <c r="A70" s="8">
        <v>44265.548611111109</v>
      </c>
      <c r="B70" t="s">
        <v>1759</v>
      </c>
      <c r="C70" t="s">
        <v>1762</v>
      </c>
      <c r="D70">
        <v>409.42622950443001</v>
      </c>
      <c r="E70">
        <v>0.61061061061622801</v>
      </c>
      <c r="F70">
        <v>0.61</v>
      </c>
      <c r="G70" t="s">
        <v>2120</v>
      </c>
      <c r="H70">
        <v>0.25</v>
      </c>
      <c r="I70">
        <v>0.02</v>
      </c>
      <c r="J70">
        <v>250</v>
      </c>
      <c r="K70" t="s">
        <v>1773</v>
      </c>
      <c r="L70" s="6">
        <f>VALUE(IF(Crypto_Dataset[[#This Row],[Type]]="Sell", _xlfn.CONCAT("-", Crypto_Dataset[[#This Row],[Total AUD]]), Crypto_Dataset[[#This Row],[Total AUD]]))</f>
        <v>250</v>
      </c>
      <c r="M70" s="3">
        <f>VALUE(IF(Crypto_Dataset[[#This Row],[Type]]="Sell", _xlfn.CONCAT("-", Crypto_Dataset[[#This Row],[Amount]]), Crypto_Dataset[[#This Row],[Amount]]))</f>
        <v>409.42622950443001</v>
      </c>
    </row>
    <row r="71" spans="1:13" x14ac:dyDescent="0.35">
      <c r="A71" s="8">
        <v>44265.344444444447</v>
      </c>
      <c r="B71" t="s">
        <v>1759</v>
      </c>
      <c r="C71" t="s">
        <v>1774</v>
      </c>
      <c r="D71">
        <v>60081.711127130002</v>
      </c>
      <c r="E71">
        <v>4.1609999999999998E-3</v>
      </c>
      <c r="F71">
        <v>4.1198019801982101E-3</v>
      </c>
      <c r="G71" t="s">
        <v>2084</v>
      </c>
      <c r="H71">
        <v>2.48</v>
      </c>
      <c r="I71">
        <v>0.23</v>
      </c>
      <c r="J71">
        <v>250</v>
      </c>
      <c r="K71" t="s">
        <v>1773</v>
      </c>
      <c r="L71" s="6">
        <f>VALUE(IF(Crypto_Dataset[[#This Row],[Type]]="Sell", _xlfn.CONCAT("-", Crypto_Dataset[[#This Row],[Total AUD]]), Crypto_Dataset[[#This Row],[Total AUD]]))</f>
        <v>250</v>
      </c>
      <c r="M71" s="3">
        <f>VALUE(IF(Crypto_Dataset[[#This Row],[Type]]="Sell", _xlfn.CONCAT("-", Crypto_Dataset[[#This Row],[Amount]]), Crypto_Dataset[[#This Row],[Amount]]))</f>
        <v>60081.711127130002</v>
      </c>
    </row>
    <row r="72" spans="1:13" x14ac:dyDescent="0.35">
      <c r="A72" s="8">
        <v>44265.343055555553</v>
      </c>
      <c r="B72" t="s">
        <v>1759</v>
      </c>
      <c r="C72" t="s">
        <v>1768</v>
      </c>
      <c r="D72">
        <v>4.4216483799999997</v>
      </c>
      <c r="E72">
        <v>56.54</v>
      </c>
      <c r="F72">
        <v>55.980198152989999</v>
      </c>
      <c r="G72" t="s">
        <v>2084</v>
      </c>
      <c r="H72">
        <v>2.48</v>
      </c>
      <c r="I72">
        <v>0.23</v>
      </c>
      <c r="J72">
        <v>250</v>
      </c>
      <c r="K72" t="s">
        <v>1773</v>
      </c>
      <c r="L72" s="6">
        <f>VALUE(IF(Crypto_Dataset[[#This Row],[Type]]="Sell", _xlfn.CONCAT("-", Crypto_Dataset[[#This Row],[Total AUD]]), Crypto_Dataset[[#This Row],[Total AUD]]))</f>
        <v>250</v>
      </c>
      <c r="M72" s="3">
        <f>VALUE(IF(Crypto_Dataset[[#This Row],[Type]]="Sell", _xlfn.CONCAT("-", Crypto_Dataset[[#This Row],[Amount]]), Crypto_Dataset[[#This Row],[Amount]]))</f>
        <v>4.4216483799999997</v>
      </c>
    </row>
    <row r="73" spans="1:13" x14ac:dyDescent="0.35">
      <c r="A73" s="8">
        <v>44265.343055555553</v>
      </c>
      <c r="B73" t="s">
        <v>1759</v>
      </c>
      <c r="C73" t="s">
        <v>1764</v>
      </c>
      <c r="D73">
        <v>157.33432852000001</v>
      </c>
      <c r="E73">
        <v>1.588973</v>
      </c>
      <c r="F73">
        <v>1.57324059411346</v>
      </c>
      <c r="G73" t="s">
        <v>2084</v>
      </c>
      <c r="H73">
        <v>2.48</v>
      </c>
      <c r="I73">
        <v>0.23</v>
      </c>
      <c r="J73">
        <v>250</v>
      </c>
      <c r="K73" t="s">
        <v>1773</v>
      </c>
      <c r="L73" s="6">
        <f>VALUE(IF(Crypto_Dataset[[#This Row],[Type]]="Sell", _xlfn.CONCAT("-", Crypto_Dataset[[#This Row],[Total AUD]]), Crypto_Dataset[[#This Row],[Total AUD]]))</f>
        <v>250</v>
      </c>
      <c r="M73" s="3">
        <f>VALUE(IF(Crypto_Dataset[[#This Row],[Type]]="Sell", _xlfn.CONCAT("-", Crypto_Dataset[[#This Row],[Amount]]), Crypto_Dataset[[#This Row],[Amount]]))</f>
        <v>157.33432852000001</v>
      </c>
    </row>
    <row r="74" spans="1:13" x14ac:dyDescent="0.35">
      <c r="A74" s="8">
        <v>44265.342361111114</v>
      </c>
      <c r="B74" t="s">
        <v>1759</v>
      </c>
      <c r="C74" t="s">
        <v>1765</v>
      </c>
      <c r="D74">
        <v>4.8790007800000001</v>
      </c>
      <c r="E74">
        <v>51.24</v>
      </c>
      <c r="F74">
        <v>50.732673273982797</v>
      </c>
      <c r="G74" t="s">
        <v>2084</v>
      </c>
      <c r="H74">
        <v>2.48</v>
      </c>
      <c r="I74">
        <v>0.23</v>
      </c>
      <c r="J74">
        <v>250</v>
      </c>
      <c r="K74" t="s">
        <v>1773</v>
      </c>
      <c r="L74" s="6">
        <f>VALUE(IF(Crypto_Dataset[[#This Row],[Type]]="Sell", _xlfn.CONCAT("-", Crypto_Dataset[[#This Row],[Total AUD]]), Crypto_Dataset[[#This Row],[Total AUD]]))</f>
        <v>250</v>
      </c>
      <c r="M74" s="3">
        <f>VALUE(IF(Crypto_Dataset[[#This Row],[Type]]="Sell", _xlfn.CONCAT("-", Crypto_Dataset[[#This Row],[Amount]]), Crypto_Dataset[[#This Row],[Amount]]))</f>
        <v>4.8790007800000001</v>
      </c>
    </row>
    <row r="75" spans="1:13" x14ac:dyDescent="0.35">
      <c r="A75" s="8">
        <v>44265.341666666667</v>
      </c>
      <c r="B75" t="s">
        <v>1759</v>
      </c>
      <c r="C75" t="s">
        <v>1766</v>
      </c>
      <c r="D75">
        <v>1397.67873515</v>
      </c>
      <c r="E75">
        <v>0.178868</v>
      </c>
      <c r="F75">
        <v>0.177097029703813</v>
      </c>
      <c r="G75" t="s">
        <v>2084</v>
      </c>
      <c r="H75">
        <v>2.48</v>
      </c>
      <c r="I75">
        <v>0.23</v>
      </c>
      <c r="J75">
        <v>250</v>
      </c>
      <c r="K75" t="s">
        <v>1773</v>
      </c>
      <c r="L75" s="6">
        <f>VALUE(IF(Crypto_Dataset[[#This Row],[Type]]="Sell", _xlfn.CONCAT("-", Crypto_Dataset[[#This Row],[Total AUD]]), Crypto_Dataset[[#This Row],[Total AUD]]))</f>
        <v>250</v>
      </c>
      <c r="M75" s="3">
        <f>VALUE(IF(Crypto_Dataset[[#This Row],[Type]]="Sell", _xlfn.CONCAT("-", Crypto_Dataset[[#This Row],[Amount]]), Crypto_Dataset[[#This Row],[Amount]]))</f>
        <v>1397.67873515</v>
      </c>
    </row>
    <row r="76" spans="1:13" x14ac:dyDescent="0.35">
      <c r="A76" s="8">
        <v>44265.338888888888</v>
      </c>
      <c r="B76" t="s">
        <v>1759</v>
      </c>
      <c r="C76" t="s">
        <v>2115</v>
      </c>
      <c r="D76">
        <v>31.930111369999999</v>
      </c>
      <c r="E76">
        <v>7.8296000000000001</v>
      </c>
      <c r="F76">
        <v>7.7520792084618204</v>
      </c>
      <c r="G76" t="s">
        <v>2084</v>
      </c>
      <c r="H76">
        <v>2.48</v>
      </c>
      <c r="I76">
        <v>0.23</v>
      </c>
      <c r="J76">
        <v>250</v>
      </c>
      <c r="K76" t="s">
        <v>1773</v>
      </c>
      <c r="L76" s="6">
        <f>VALUE(IF(Crypto_Dataset[[#This Row],[Type]]="Sell", _xlfn.CONCAT("-", Crypto_Dataset[[#This Row],[Total AUD]]), Crypto_Dataset[[#This Row],[Total AUD]]))</f>
        <v>250</v>
      </c>
      <c r="M76" s="3">
        <f>VALUE(IF(Crypto_Dataset[[#This Row],[Type]]="Sell", _xlfn.CONCAT("-", Crypto_Dataset[[#This Row],[Amount]]), Crypto_Dataset[[#This Row],[Amount]]))</f>
        <v>31.930111369999999</v>
      </c>
    </row>
    <row r="77" spans="1:13" x14ac:dyDescent="0.35">
      <c r="A77" s="8">
        <v>44250.704861111109</v>
      </c>
      <c r="B77" t="s">
        <v>1759</v>
      </c>
      <c r="C77" t="s">
        <v>1764</v>
      </c>
      <c r="D77">
        <v>3.7805754</v>
      </c>
      <c r="E77">
        <v>1.3225499999999999</v>
      </c>
      <c r="F77">
        <v>1.30945544678329</v>
      </c>
      <c r="G77" t="s">
        <v>2121</v>
      </c>
      <c r="H77">
        <v>0.05</v>
      </c>
      <c r="I77">
        <v>0</v>
      </c>
      <c r="J77">
        <v>5</v>
      </c>
      <c r="K77" t="s">
        <v>1775</v>
      </c>
      <c r="L77" s="6">
        <f>VALUE(IF(Crypto_Dataset[[#This Row],[Type]]="Sell", _xlfn.CONCAT("-", Crypto_Dataset[[#This Row],[Total AUD]]), Crypto_Dataset[[#This Row],[Total AUD]]))</f>
        <v>5</v>
      </c>
      <c r="M77" s="3">
        <f>VALUE(IF(Crypto_Dataset[[#This Row],[Type]]="Sell", _xlfn.CONCAT("-", Crypto_Dataset[[#This Row],[Amount]]), Crypto_Dataset[[#This Row],[Amount]]))</f>
        <v>3.7805754</v>
      </c>
    </row>
    <row r="78" spans="1:13" x14ac:dyDescent="0.35">
      <c r="A78" s="8">
        <v>44250.688194444447</v>
      </c>
      <c r="B78" t="s">
        <v>1759</v>
      </c>
      <c r="C78" t="s">
        <v>1762</v>
      </c>
      <c r="D78">
        <v>1551.3354075042</v>
      </c>
      <c r="E78">
        <v>0.65065166166347999</v>
      </c>
      <c r="F78">
        <v>0.65000100999999999</v>
      </c>
      <c r="G78" t="s">
        <v>2122</v>
      </c>
      <c r="H78">
        <v>1.01</v>
      </c>
      <c r="I78">
        <v>0.09</v>
      </c>
      <c r="J78">
        <v>1009.38</v>
      </c>
      <c r="K78" t="s">
        <v>1776</v>
      </c>
      <c r="L78" s="6">
        <f>VALUE(IF(Crypto_Dataset[[#This Row],[Type]]="Sell", _xlfn.CONCAT("-", Crypto_Dataset[[#This Row],[Total AUD]]), Crypto_Dataset[[#This Row],[Total AUD]]))</f>
        <v>1009.38</v>
      </c>
      <c r="M78" s="3">
        <f>VALUE(IF(Crypto_Dataset[[#This Row],[Type]]="Sell", _xlfn.CONCAT("-", Crypto_Dataset[[#This Row],[Amount]]), Crypto_Dataset[[#This Row],[Amount]]))</f>
        <v>1551.3354075042</v>
      </c>
    </row>
    <row r="79" spans="1:13" x14ac:dyDescent="0.35">
      <c r="A79" s="8">
        <v>44250.688194444447</v>
      </c>
      <c r="B79" t="s">
        <v>1759</v>
      </c>
      <c r="C79" t="s">
        <v>1762</v>
      </c>
      <c r="D79">
        <v>768.46035541499998</v>
      </c>
      <c r="E79">
        <v>0.65065166165921395</v>
      </c>
      <c r="F79">
        <v>0.65000100999999999</v>
      </c>
      <c r="G79" t="s">
        <v>2123</v>
      </c>
      <c r="H79">
        <v>0.5</v>
      </c>
      <c r="I79">
        <v>0.05</v>
      </c>
      <c r="J79">
        <v>500</v>
      </c>
      <c r="K79" t="s">
        <v>1769</v>
      </c>
      <c r="L79" s="6">
        <f>VALUE(IF(Crypto_Dataset[[#This Row],[Type]]="Sell", _xlfn.CONCAT("-", Crypto_Dataset[[#This Row],[Total AUD]]), Crypto_Dataset[[#This Row],[Total AUD]]))</f>
        <v>500</v>
      </c>
      <c r="M79" s="3">
        <f>VALUE(IF(Crypto_Dataset[[#This Row],[Type]]="Sell", _xlfn.CONCAT("-", Crypto_Dataset[[#This Row],[Amount]]), Crypto_Dataset[[#This Row],[Amount]]))</f>
        <v>768.46035541499998</v>
      </c>
    </row>
    <row r="80" spans="1:13" x14ac:dyDescent="0.35">
      <c r="A80" s="8">
        <v>44250.688194444447</v>
      </c>
      <c r="B80" t="s">
        <v>1759</v>
      </c>
      <c r="C80" t="s">
        <v>1762</v>
      </c>
      <c r="D80">
        <v>18.399748723109902</v>
      </c>
      <c r="E80">
        <v>0.650651661615543</v>
      </c>
      <c r="F80">
        <v>0.65000100999999999</v>
      </c>
      <c r="G80" t="s">
        <v>2124</v>
      </c>
      <c r="H80">
        <v>0.01</v>
      </c>
      <c r="I80">
        <v>0</v>
      </c>
      <c r="J80">
        <v>11.97</v>
      </c>
      <c r="K80" t="s">
        <v>1777</v>
      </c>
      <c r="L80" s="6">
        <f>VALUE(IF(Crypto_Dataset[[#This Row],[Type]]="Sell", _xlfn.CONCAT("-", Crypto_Dataset[[#This Row],[Total AUD]]), Crypto_Dataset[[#This Row],[Total AUD]]))</f>
        <v>11.97</v>
      </c>
      <c r="M80" s="3">
        <f>VALUE(IF(Crypto_Dataset[[#This Row],[Type]]="Sell", _xlfn.CONCAT("-", Crypto_Dataset[[#This Row],[Amount]]), Crypto_Dataset[[#This Row],[Amount]]))</f>
        <v>18.399748723109902</v>
      </c>
    </row>
    <row r="81" spans="1:13" x14ac:dyDescent="0.35">
      <c r="A81" s="8">
        <v>44250.6875</v>
      </c>
      <c r="B81" t="s">
        <v>1759</v>
      </c>
      <c r="C81" t="s">
        <v>1762</v>
      </c>
      <c r="D81">
        <v>73.254789862020004</v>
      </c>
      <c r="E81">
        <v>0.65065166168351396</v>
      </c>
      <c r="F81">
        <v>0.65000100999999999</v>
      </c>
      <c r="G81" t="s">
        <v>2125</v>
      </c>
      <c r="H81">
        <v>0.05</v>
      </c>
      <c r="I81">
        <v>0</v>
      </c>
      <c r="J81">
        <v>47.66</v>
      </c>
      <c r="K81" t="s">
        <v>1778</v>
      </c>
      <c r="L81" s="6">
        <f>VALUE(IF(Crypto_Dataset[[#This Row],[Type]]="Sell", _xlfn.CONCAT("-", Crypto_Dataset[[#This Row],[Total AUD]]), Crypto_Dataset[[#This Row],[Total AUD]]))</f>
        <v>47.66</v>
      </c>
      <c r="M81" s="3">
        <f>VALUE(IF(Crypto_Dataset[[#This Row],[Type]]="Sell", _xlfn.CONCAT("-", Crypto_Dataset[[#This Row],[Amount]]), Crypto_Dataset[[#This Row],[Amount]]))</f>
        <v>73.254789862020004</v>
      </c>
    </row>
    <row r="82" spans="1:13" x14ac:dyDescent="0.35">
      <c r="A82" s="8">
        <v>44250.6875</v>
      </c>
      <c r="B82" t="s">
        <v>1759</v>
      </c>
      <c r="C82" t="s">
        <v>1762</v>
      </c>
      <c r="D82">
        <v>146.69419046850001</v>
      </c>
      <c r="E82">
        <v>0.65065166163138199</v>
      </c>
      <c r="F82">
        <v>0.65000100999999999</v>
      </c>
      <c r="G82" t="s">
        <v>2126</v>
      </c>
      <c r="H82">
        <v>0.1</v>
      </c>
      <c r="I82">
        <v>0.01</v>
      </c>
      <c r="J82">
        <v>95.45</v>
      </c>
      <c r="K82" t="s">
        <v>1779</v>
      </c>
      <c r="L82" s="6">
        <f>VALUE(IF(Crypto_Dataset[[#This Row],[Type]]="Sell", _xlfn.CONCAT("-", Crypto_Dataset[[#This Row],[Total AUD]]), Crypto_Dataset[[#This Row],[Total AUD]]))</f>
        <v>95.45</v>
      </c>
      <c r="M82" s="3">
        <f>VALUE(IF(Crypto_Dataset[[#This Row],[Type]]="Sell", _xlfn.CONCAT("-", Crypto_Dataset[[#This Row],[Amount]]), Crypto_Dataset[[#This Row],[Amount]]))</f>
        <v>146.69419046850001</v>
      </c>
    </row>
    <row r="83" spans="1:13" x14ac:dyDescent="0.35">
      <c r="A83" s="8">
        <v>44250.6875</v>
      </c>
      <c r="B83" t="s">
        <v>1759</v>
      </c>
      <c r="C83" t="s">
        <v>1762</v>
      </c>
      <c r="D83">
        <v>9.9900000000000002E-5</v>
      </c>
      <c r="E83">
        <v>0.65065065065064998</v>
      </c>
      <c r="F83">
        <v>0.65000100999999999</v>
      </c>
      <c r="G83" t="s">
        <v>2127</v>
      </c>
      <c r="H83">
        <v>0</v>
      </c>
      <c r="I83">
        <v>0</v>
      </c>
      <c r="J83">
        <v>0</v>
      </c>
      <c r="K83" t="s">
        <v>1780</v>
      </c>
      <c r="L83" s="6">
        <f>VALUE(IF(Crypto_Dataset[[#This Row],[Type]]="Sell", _xlfn.CONCAT("-", Crypto_Dataset[[#This Row],[Total AUD]]), Crypto_Dataset[[#This Row],[Total AUD]]))</f>
        <v>0</v>
      </c>
      <c r="M83" s="3">
        <f>VALUE(IF(Crypto_Dataset[[#This Row],[Type]]="Sell", _xlfn.CONCAT("-", Crypto_Dataset[[#This Row],[Amount]]), Crypto_Dataset[[#This Row],[Amount]]))</f>
        <v>9.9900000000000002E-5</v>
      </c>
    </row>
    <row r="84" spans="1:13" x14ac:dyDescent="0.35">
      <c r="A84" s="8">
        <v>44250.686805555553</v>
      </c>
      <c r="B84" t="s">
        <v>1759</v>
      </c>
      <c r="C84" t="s">
        <v>1762</v>
      </c>
      <c r="D84">
        <v>292.97309119245</v>
      </c>
      <c r="E84">
        <v>0.65065166167353605</v>
      </c>
      <c r="F84">
        <v>0.65000100999999999</v>
      </c>
      <c r="G84" t="s">
        <v>2128</v>
      </c>
      <c r="H84">
        <v>0.19</v>
      </c>
      <c r="I84">
        <v>0.02</v>
      </c>
      <c r="J84">
        <v>190.62</v>
      </c>
      <c r="K84" t="s">
        <v>1781</v>
      </c>
      <c r="L84" s="6">
        <f>VALUE(IF(Crypto_Dataset[[#This Row],[Type]]="Sell", _xlfn.CONCAT("-", Crypto_Dataset[[#This Row],[Total AUD]]), Crypto_Dataset[[#This Row],[Total AUD]]))</f>
        <v>190.62</v>
      </c>
      <c r="M84" s="3">
        <f>VALUE(IF(Crypto_Dataset[[#This Row],[Type]]="Sell", _xlfn.CONCAT("-", Crypto_Dataset[[#This Row],[Amount]]), Crypto_Dataset[[#This Row],[Amount]]))</f>
        <v>292.97309119245</v>
      </c>
    </row>
    <row r="85" spans="1:13" x14ac:dyDescent="0.35">
      <c r="A85" s="8">
        <v>44250.686111111114</v>
      </c>
      <c r="B85" t="s">
        <v>1759</v>
      </c>
      <c r="C85" t="s">
        <v>1762</v>
      </c>
      <c r="D85">
        <v>586.74542984739003</v>
      </c>
      <c r="E85">
        <v>0.65065166165724697</v>
      </c>
      <c r="F85">
        <v>0.65000100999999999</v>
      </c>
      <c r="G85" t="s">
        <v>2129</v>
      </c>
      <c r="H85">
        <v>0.38</v>
      </c>
      <c r="I85">
        <v>0.03</v>
      </c>
      <c r="J85">
        <v>381.77</v>
      </c>
      <c r="K85" t="s">
        <v>1782</v>
      </c>
      <c r="L85" s="6">
        <f>VALUE(IF(Crypto_Dataset[[#This Row],[Type]]="Sell", _xlfn.CONCAT("-", Crypto_Dataset[[#This Row],[Total AUD]]), Crypto_Dataset[[#This Row],[Total AUD]]))</f>
        <v>381.77</v>
      </c>
      <c r="M85" s="3">
        <f>VALUE(IF(Crypto_Dataset[[#This Row],[Type]]="Sell", _xlfn.CONCAT("-", Crypto_Dataset[[#This Row],[Amount]]), Crypto_Dataset[[#This Row],[Amount]]))</f>
        <v>586.74542984739003</v>
      </c>
    </row>
    <row r="86" spans="1:13" x14ac:dyDescent="0.35">
      <c r="A86" s="8">
        <v>44250.686111111114</v>
      </c>
      <c r="B86" t="s">
        <v>1759</v>
      </c>
      <c r="C86" t="s">
        <v>1762</v>
      </c>
      <c r="D86">
        <v>1172.89902437253</v>
      </c>
      <c r="E86">
        <v>0.65065166166223398</v>
      </c>
      <c r="F86">
        <v>0.65000100999999999</v>
      </c>
      <c r="G86" t="s">
        <v>2130</v>
      </c>
      <c r="H86">
        <v>0.76</v>
      </c>
      <c r="I86">
        <v>7.0000000000000007E-2</v>
      </c>
      <c r="J86">
        <v>763.15</v>
      </c>
      <c r="K86" t="s">
        <v>1783</v>
      </c>
      <c r="L86" s="6">
        <f>VALUE(IF(Crypto_Dataset[[#This Row],[Type]]="Sell", _xlfn.CONCAT("-", Crypto_Dataset[[#This Row],[Total AUD]]), Crypto_Dataset[[#This Row],[Total AUD]]))</f>
        <v>763.15</v>
      </c>
      <c r="M86" s="3">
        <f>VALUE(IF(Crypto_Dataset[[#This Row],[Type]]="Sell", _xlfn.CONCAT("-", Crypto_Dataset[[#This Row],[Amount]]), Crypto_Dataset[[#This Row],[Amount]]))</f>
        <v>1172.89902437253</v>
      </c>
    </row>
    <row r="87" spans="1:13" x14ac:dyDescent="0.35">
      <c r="A87" s="8">
        <v>44250.685416666667</v>
      </c>
      <c r="B87" t="s">
        <v>1759</v>
      </c>
      <c r="C87" t="s">
        <v>1763</v>
      </c>
      <c r="D87">
        <v>71.357142848579997</v>
      </c>
      <c r="E87">
        <v>0.28028029026386297</v>
      </c>
      <c r="F87">
        <v>0.28000001000000002</v>
      </c>
      <c r="G87" t="s">
        <v>2131</v>
      </c>
      <c r="H87">
        <v>0.02</v>
      </c>
      <c r="I87">
        <v>0</v>
      </c>
      <c r="J87">
        <v>20</v>
      </c>
      <c r="K87" t="s">
        <v>1784</v>
      </c>
      <c r="L87" s="6">
        <f>VALUE(IF(Crypto_Dataset[[#This Row],[Type]]="Sell", _xlfn.CONCAT("-", Crypto_Dataset[[#This Row],[Total AUD]]), Crypto_Dataset[[#This Row],[Total AUD]]))</f>
        <v>20</v>
      </c>
      <c r="M87" s="3">
        <f>VALUE(IF(Crypto_Dataset[[#This Row],[Type]]="Sell", _xlfn.CONCAT("-", Crypto_Dataset[[#This Row],[Amount]]), Crypto_Dataset[[#This Row],[Amount]]))</f>
        <v>71.357142848579997</v>
      </c>
    </row>
    <row r="88" spans="1:13" x14ac:dyDescent="0.35">
      <c r="A88" s="8">
        <v>44250.683333333334</v>
      </c>
      <c r="B88" t="s">
        <v>1759</v>
      </c>
      <c r="C88" t="s">
        <v>1763</v>
      </c>
      <c r="D88">
        <v>642.21428571714</v>
      </c>
      <c r="E88">
        <v>0.280280290291269</v>
      </c>
      <c r="F88">
        <v>0.28000001000000002</v>
      </c>
      <c r="G88" t="s">
        <v>2132</v>
      </c>
      <c r="H88">
        <v>0.18</v>
      </c>
      <c r="I88">
        <v>0.02</v>
      </c>
      <c r="J88">
        <v>180</v>
      </c>
      <c r="K88" t="s">
        <v>1785</v>
      </c>
      <c r="L88" s="6">
        <f>VALUE(IF(Crypto_Dataset[[#This Row],[Type]]="Sell", _xlfn.CONCAT("-", Crypto_Dataset[[#This Row],[Total AUD]]), Crypto_Dataset[[#This Row],[Total AUD]]))</f>
        <v>180</v>
      </c>
      <c r="M88" s="3">
        <f>VALUE(IF(Crypto_Dataset[[#This Row],[Type]]="Sell", _xlfn.CONCAT("-", Crypto_Dataset[[#This Row],[Amount]]), Crypto_Dataset[[#This Row],[Amount]]))</f>
        <v>642.21428571714</v>
      </c>
    </row>
    <row r="89" spans="1:13" x14ac:dyDescent="0.35">
      <c r="A89" s="8">
        <v>44250.65902777778</v>
      </c>
      <c r="B89" t="s">
        <v>1759</v>
      </c>
      <c r="C89" t="s">
        <v>1767</v>
      </c>
      <c r="D89">
        <v>1.54882962E-3</v>
      </c>
      <c r="E89">
        <v>64564.880932481101</v>
      </c>
      <c r="F89">
        <v>64500</v>
      </c>
      <c r="G89" t="s">
        <v>2133</v>
      </c>
      <c r="H89">
        <v>0.1</v>
      </c>
      <c r="I89">
        <v>0.01</v>
      </c>
      <c r="J89">
        <v>100</v>
      </c>
      <c r="K89" t="s">
        <v>1786</v>
      </c>
      <c r="L89" s="6">
        <f>VALUE(IF(Crypto_Dataset[[#This Row],[Type]]="Sell", _xlfn.CONCAT("-", Crypto_Dataset[[#This Row],[Total AUD]]), Crypto_Dataset[[#This Row],[Total AUD]]))</f>
        <v>100</v>
      </c>
      <c r="M89" s="3">
        <f>VALUE(IF(Crypto_Dataset[[#This Row],[Type]]="Sell", _xlfn.CONCAT("-", Crypto_Dataset[[#This Row],[Amount]]), Crypto_Dataset[[#This Row],[Amount]]))</f>
        <v>1.54882962E-3</v>
      </c>
    </row>
    <row r="90" spans="1:13" x14ac:dyDescent="0.35">
      <c r="A90" s="8">
        <v>44250.581944444442</v>
      </c>
      <c r="B90" t="s">
        <v>1759</v>
      </c>
      <c r="C90" t="s">
        <v>1767</v>
      </c>
      <c r="D90">
        <v>3.8423038500000001E-3</v>
      </c>
      <c r="E90">
        <v>65065.130130195103</v>
      </c>
      <c r="F90">
        <v>65000</v>
      </c>
      <c r="G90" t="s">
        <v>2134</v>
      </c>
      <c r="H90">
        <v>0.25</v>
      </c>
      <c r="I90">
        <v>0.02</v>
      </c>
      <c r="J90">
        <v>250</v>
      </c>
      <c r="K90" t="s">
        <v>1773</v>
      </c>
      <c r="L90" s="6">
        <f>VALUE(IF(Crypto_Dataset[[#This Row],[Type]]="Sell", _xlfn.CONCAT("-", Crypto_Dataset[[#This Row],[Total AUD]]), Crypto_Dataset[[#This Row],[Total AUD]]))</f>
        <v>250</v>
      </c>
      <c r="M90" s="3">
        <f>VALUE(IF(Crypto_Dataset[[#This Row],[Type]]="Sell", _xlfn.CONCAT("-", Crypto_Dataset[[#This Row],[Amount]]), Crypto_Dataset[[#This Row],[Amount]]))</f>
        <v>3.8423038500000001E-3</v>
      </c>
    </row>
    <row r="91" spans="1:13" x14ac:dyDescent="0.35">
      <c r="A91" s="8">
        <v>44250.581250000003</v>
      </c>
      <c r="B91" t="s">
        <v>1759</v>
      </c>
      <c r="C91" t="s">
        <v>1762</v>
      </c>
      <c r="D91">
        <v>3361.6035467847</v>
      </c>
      <c r="E91">
        <v>0.67567667667786202</v>
      </c>
      <c r="F91">
        <v>0.67500099999999996</v>
      </c>
      <c r="G91" t="s">
        <v>2135</v>
      </c>
      <c r="H91">
        <v>2.27</v>
      </c>
      <c r="I91">
        <v>0.21</v>
      </c>
      <c r="J91">
        <v>2271.36</v>
      </c>
      <c r="K91" t="s">
        <v>1787</v>
      </c>
      <c r="L91" s="6">
        <f>VALUE(IF(Crypto_Dataset[[#This Row],[Type]]="Sell", _xlfn.CONCAT("-", Crypto_Dataset[[#This Row],[Total AUD]]), Crypto_Dataset[[#This Row],[Total AUD]]))</f>
        <v>2271.36</v>
      </c>
      <c r="M91" s="3">
        <f>VALUE(IF(Crypto_Dataset[[#This Row],[Type]]="Sell", _xlfn.CONCAT("-", Crypto_Dataset[[#This Row],[Amount]]), Crypto_Dataset[[#This Row],[Amount]]))</f>
        <v>3361.6035467847</v>
      </c>
    </row>
    <row r="92" spans="1:13" x14ac:dyDescent="0.35">
      <c r="A92" s="8">
        <v>44250.579861111109</v>
      </c>
      <c r="B92" t="s">
        <v>1759</v>
      </c>
      <c r="C92" t="s">
        <v>1762</v>
      </c>
      <c r="D92">
        <v>1078.38987544521</v>
      </c>
      <c r="E92">
        <v>0.67567667667427</v>
      </c>
      <c r="F92">
        <v>0.67500099999999996</v>
      </c>
      <c r="G92" t="s">
        <v>2136</v>
      </c>
      <c r="H92">
        <v>0.73</v>
      </c>
      <c r="I92">
        <v>7.0000000000000007E-2</v>
      </c>
      <c r="J92">
        <v>728.64</v>
      </c>
      <c r="K92" t="s">
        <v>1788</v>
      </c>
      <c r="L92" s="6">
        <f>VALUE(IF(Crypto_Dataset[[#This Row],[Type]]="Sell", _xlfn.CONCAT("-", Crypto_Dataset[[#This Row],[Total AUD]]), Crypto_Dataset[[#This Row],[Total AUD]]))</f>
        <v>728.64</v>
      </c>
      <c r="M92" s="3">
        <f>VALUE(IF(Crypto_Dataset[[#This Row],[Type]]="Sell", _xlfn.CONCAT("-", Crypto_Dataset[[#This Row],[Amount]]), Crypto_Dataset[[#This Row],[Amount]]))</f>
        <v>1078.38987544521</v>
      </c>
    </row>
    <row r="93" spans="1:13" x14ac:dyDescent="0.35">
      <c r="A93" s="8">
        <v>44250.579861111109</v>
      </c>
      <c r="B93" t="s">
        <v>1759</v>
      </c>
      <c r="C93" t="s">
        <v>1762</v>
      </c>
      <c r="D93">
        <v>3917.1626583479101</v>
      </c>
      <c r="E93">
        <v>0.675676676675529</v>
      </c>
      <c r="F93">
        <v>0.67500099999999996</v>
      </c>
      <c r="G93" t="s">
        <v>2137</v>
      </c>
      <c r="H93">
        <v>2.65</v>
      </c>
      <c r="I93">
        <v>0.24</v>
      </c>
      <c r="J93">
        <v>2646.74</v>
      </c>
      <c r="K93" t="s">
        <v>1789</v>
      </c>
      <c r="L93" s="6">
        <f>VALUE(IF(Crypto_Dataset[[#This Row],[Type]]="Sell", _xlfn.CONCAT("-", Crypto_Dataset[[#This Row],[Total AUD]]), Crypto_Dataset[[#This Row],[Total AUD]]))</f>
        <v>2646.74</v>
      </c>
      <c r="M93" s="3">
        <f>VALUE(IF(Crypto_Dataset[[#This Row],[Type]]="Sell", _xlfn.CONCAT("-", Crypto_Dataset[[#This Row],[Amount]]), Crypto_Dataset[[#This Row],[Amount]]))</f>
        <v>3917.1626583479101</v>
      </c>
    </row>
    <row r="94" spans="1:13" x14ac:dyDescent="0.35">
      <c r="A94" s="8">
        <v>44250.57916666667</v>
      </c>
      <c r="B94" t="s">
        <v>1759</v>
      </c>
      <c r="C94" t="s">
        <v>1762</v>
      </c>
      <c r="D94">
        <v>522.83076388199902</v>
      </c>
      <c r="E94">
        <v>0.67567667666880005</v>
      </c>
      <c r="F94">
        <v>0.67500099999999996</v>
      </c>
      <c r="G94" t="s">
        <v>2138</v>
      </c>
      <c r="H94">
        <v>0.35</v>
      </c>
      <c r="I94">
        <v>0.03</v>
      </c>
      <c r="J94">
        <v>353.26</v>
      </c>
      <c r="K94" t="s">
        <v>1790</v>
      </c>
      <c r="L94" s="6">
        <f>VALUE(IF(Crypto_Dataset[[#This Row],[Type]]="Sell", _xlfn.CONCAT("-", Crypto_Dataset[[#This Row],[Total AUD]]), Crypto_Dataset[[#This Row],[Total AUD]]))</f>
        <v>353.26</v>
      </c>
      <c r="M94" s="3">
        <f>VALUE(IF(Crypto_Dataset[[#This Row],[Type]]="Sell", _xlfn.CONCAT("-", Crypto_Dataset[[#This Row],[Amount]]), Crypto_Dataset[[#This Row],[Amount]]))</f>
        <v>522.83076388199902</v>
      </c>
    </row>
    <row r="95" spans="1:13" x14ac:dyDescent="0.35">
      <c r="A95" s="8">
        <v>44250.534722222219</v>
      </c>
      <c r="B95" t="s">
        <v>1759</v>
      </c>
      <c r="C95" t="s">
        <v>1762</v>
      </c>
      <c r="D95">
        <v>2862.4641831273598</v>
      </c>
      <c r="E95">
        <v>0.69869869869774803</v>
      </c>
      <c r="F95">
        <v>0.69799999999999995</v>
      </c>
      <c r="G95" t="s">
        <v>2139</v>
      </c>
      <c r="H95">
        <v>2</v>
      </c>
      <c r="I95">
        <v>0.18</v>
      </c>
      <c r="J95">
        <v>2000</v>
      </c>
      <c r="K95" t="s">
        <v>1791</v>
      </c>
      <c r="L95" s="6">
        <f>VALUE(IF(Crypto_Dataset[[#This Row],[Type]]="Sell", _xlfn.CONCAT("-", Crypto_Dataset[[#This Row],[Total AUD]]), Crypto_Dataset[[#This Row],[Total AUD]]))</f>
        <v>2000</v>
      </c>
      <c r="M95" s="3">
        <f>VALUE(IF(Crypto_Dataset[[#This Row],[Type]]="Sell", _xlfn.CONCAT("-", Crypto_Dataset[[#This Row],[Amount]]), Crypto_Dataset[[#This Row],[Amount]]))</f>
        <v>2862.4641831273598</v>
      </c>
    </row>
    <row r="96" spans="1:13" x14ac:dyDescent="0.35">
      <c r="A96" s="8">
        <v>44250.495833333334</v>
      </c>
      <c r="B96" t="s">
        <v>1759</v>
      </c>
      <c r="C96" t="s">
        <v>1768</v>
      </c>
      <c r="D96">
        <v>3.2413109444999999</v>
      </c>
      <c r="E96">
        <v>59.059059059059003</v>
      </c>
      <c r="F96">
        <v>59</v>
      </c>
      <c r="G96" t="s">
        <v>2140</v>
      </c>
      <c r="H96">
        <v>0.19</v>
      </c>
      <c r="I96">
        <v>0.02</v>
      </c>
      <c r="J96">
        <v>191.43</v>
      </c>
      <c r="K96" t="s">
        <v>1792</v>
      </c>
      <c r="L96" s="6">
        <f>VALUE(IF(Crypto_Dataset[[#This Row],[Type]]="Sell", _xlfn.CONCAT("-", Crypto_Dataset[[#This Row],[Total AUD]]), Crypto_Dataset[[#This Row],[Total AUD]]))</f>
        <v>191.43</v>
      </c>
      <c r="M96" s="3">
        <f>VALUE(IF(Crypto_Dataset[[#This Row],[Type]]="Sell", _xlfn.CONCAT("-", Crypto_Dataset[[#This Row],[Amount]]), Crypto_Dataset[[#This Row],[Amount]]))</f>
        <v>3.2413109444999999</v>
      </c>
    </row>
    <row r="97" spans="1:13" x14ac:dyDescent="0.35">
      <c r="A97" s="8">
        <v>44250.334722222222</v>
      </c>
      <c r="B97" t="s">
        <v>1759</v>
      </c>
      <c r="C97" t="s">
        <v>1768</v>
      </c>
      <c r="D97">
        <v>0.14512972499999999</v>
      </c>
      <c r="E97">
        <v>59.059059059059003</v>
      </c>
      <c r="F97">
        <v>59</v>
      </c>
      <c r="G97" t="s">
        <v>2141</v>
      </c>
      <c r="H97">
        <v>0.01</v>
      </c>
      <c r="I97">
        <v>0</v>
      </c>
      <c r="J97">
        <v>8.57</v>
      </c>
      <c r="K97" t="s">
        <v>1793</v>
      </c>
      <c r="L97" s="6">
        <f>VALUE(IF(Crypto_Dataset[[#This Row],[Type]]="Sell", _xlfn.CONCAT("-", Crypto_Dataset[[#This Row],[Total AUD]]), Crypto_Dataset[[#This Row],[Total AUD]]))</f>
        <v>8.57</v>
      </c>
      <c r="M97" s="3">
        <f>VALUE(IF(Crypto_Dataset[[#This Row],[Type]]="Sell", _xlfn.CONCAT("-", Crypto_Dataset[[#This Row],[Amount]]), Crypto_Dataset[[#This Row],[Amount]]))</f>
        <v>0.14512972499999999</v>
      </c>
    </row>
    <row r="98" spans="1:13" x14ac:dyDescent="0.35">
      <c r="A98" s="8">
        <v>44250.299305555556</v>
      </c>
      <c r="B98" t="s">
        <v>1759</v>
      </c>
      <c r="C98" t="s">
        <v>1765</v>
      </c>
      <c r="D98">
        <v>4.1433602499999997</v>
      </c>
      <c r="E98">
        <v>48.27</v>
      </c>
      <c r="F98">
        <v>47.792079382959201</v>
      </c>
      <c r="G98" t="s">
        <v>2142</v>
      </c>
      <c r="H98">
        <v>1.98</v>
      </c>
      <c r="I98">
        <v>0.18</v>
      </c>
      <c r="J98">
        <v>200</v>
      </c>
      <c r="K98" t="s">
        <v>1794</v>
      </c>
      <c r="L98" s="6">
        <f>VALUE(IF(Crypto_Dataset[[#This Row],[Type]]="Sell", _xlfn.CONCAT("-", Crypto_Dataset[[#This Row],[Total AUD]]), Crypto_Dataset[[#This Row],[Total AUD]]))</f>
        <v>200</v>
      </c>
      <c r="M98" s="3">
        <f>VALUE(IF(Crypto_Dataset[[#This Row],[Type]]="Sell", _xlfn.CONCAT("-", Crypto_Dataset[[#This Row],[Amount]]), Crypto_Dataset[[#This Row],[Amount]]))</f>
        <v>4.1433602499999997</v>
      </c>
    </row>
    <row r="99" spans="1:13" x14ac:dyDescent="0.35">
      <c r="A99" s="8">
        <v>44250.26458333333</v>
      </c>
      <c r="B99" t="s">
        <v>1759</v>
      </c>
      <c r="C99" t="s">
        <v>1765</v>
      </c>
      <c r="D99">
        <v>2.1696680399999999</v>
      </c>
      <c r="E99">
        <v>46.09</v>
      </c>
      <c r="F99">
        <v>45.633663382947198</v>
      </c>
      <c r="G99" t="s">
        <v>2143</v>
      </c>
      <c r="H99">
        <v>0.99</v>
      </c>
      <c r="I99">
        <v>0.09</v>
      </c>
      <c r="J99">
        <v>100</v>
      </c>
      <c r="K99" t="s">
        <v>1786</v>
      </c>
      <c r="L99" s="6">
        <f>VALUE(IF(Crypto_Dataset[[#This Row],[Type]]="Sell", _xlfn.CONCAT("-", Crypto_Dataset[[#This Row],[Total AUD]]), Crypto_Dataset[[#This Row],[Total AUD]]))</f>
        <v>100</v>
      </c>
      <c r="M99" s="3">
        <f>VALUE(IF(Crypto_Dataset[[#This Row],[Type]]="Sell", _xlfn.CONCAT("-", Crypto_Dataset[[#This Row],[Amount]]), Crypto_Dataset[[#This Row],[Amount]]))</f>
        <v>2.1696680399999999</v>
      </c>
    </row>
    <row r="100" spans="1:13" x14ac:dyDescent="0.35">
      <c r="A100" s="8">
        <v>44250.247916666667</v>
      </c>
      <c r="B100" t="s">
        <v>1759</v>
      </c>
      <c r="C100" t="s">
        <v>1764</v>
      </c>
      <c r="D100">
        <v>152.33383044000001</v>
      </c>
      <c r="E100">
        <v>1.3129059999999999</v>
      </c>
      <c r="F100">
        <v>1.29990693077328</v>
      </c>
      <c r="G100" t="s">
        <v>2142</v>
      </c>
      <c r="H100">
        <v>1.98</v>
      </c>
      <c r="I100">
        <v>0.18</v>
      </c>
      <c r="J100">
        <v>200</v>
      </c>
      <c r="K100" t="s">
        <v>1794</v>
      </c>
      <c r="L100" s="6">
        <f>VALUE(IF(Crypto_Dataset[[#This Row],[Type]]="Sell", _xlfn.CONCAT("-", Crypto_Dataset[[#This Row],[Total AUD]]), Crypto_Dataset[[#This Row],[Total AUD]]))</f>
        <v>200</v>
      </c>
      <c r="M100" s="3">
        <f>VALUE(IF(Crypto_Dataset[[#This Row],[Type]]="Sell", _xlfn.CONCAT("-", Crypto_Dataset[[#This Row],[Amount]]), Crypto_Dataset[[#This Row],[Amount]]))</f>
        <v>152.33383044000001</v>
      </c>
    </row>
    <row r="101" spans="1:13" x14ac:dyDescent="0.35">
      <c r="A101" s="8">
        <v>44250.242361111108</v>
      </c>
      <c r="B101" t="s">
        <v>1759</v>
      </c>
      <c r="C101" t="s">
        <v>1766</v>
      </c>
      <c r="D101">
        <v>1278.15128198</v>
      </c>
      <c r="E101">
        <v>0.156476</v>
      </c>
      <c r="F101">
        <v>0.15492673267396201</v>
      </c>
      <c r="G101" t="s">
        <v>2142</v>
      </c>
      <c r="H101">
        <v>1.98</v>
      </c>
      <c r="I101">
        <v>0.18</v>
      </c>
      <c r="J101">
        <v>200</v>
      </c>
      <c r="K101" t="s">
        <v>1794</v>
      </c>
      <c r="L101" s="6">
        <f>VALUE(IF(Crypto_Dataset[[#This Row],[Type]]="Sell", _xlfn.CONCAT("-", Crypto_Dataset[[#This Row],[Total AUD]]), Crypto_Dataset[[#This Row],[Total AUD]]))</f>
        <v>200</v>
      </c>
      <c r="M101" s="3">
        <f>VALUE(IF(Crypto_Dataset[[#This Row],[Type]]="Sell", _xlfn.CONCAT("-", Crypto_Dataset[[#This Row],[Amount]]), Crypto_Dataset[[#This Row],[Amount]]))</f>
        <v>1278.15128198</v>
      </c>
    </row>
    <row r="102" spans="1:13" x14ac:dyDescent="0.35">
      <c r="A102" s="8">
        <v>44249.70208333333</v>
      </c>
      <c r="B102" t="s">
        <v>1795</v>
      </c>
      <c r="C102" t="s">
        <v>1762</v>
      </c>
      <c r="D102">
        <v>12236.807327050001</v>
      </c>
      <c r="E102">
        <v>0.77922000000008096</v>
      </c>
      <c r="F102">
        <v>0.78000000000008096</v>
      </c>
      <c r="G102" t="s">
        <v>2144</v>
      </c>
      <c r="H102">
        <v>9.5399999999999991</v>
      </c>
      <c r="I102">
        <v>0.87</v>
      </c>
      <c r="J102">
        <v>9535.17</v>
      </c>
      <c r="K102" t="s">
        <v>2145</v>
      </c>
      <c r="L102" s="6">
        <f>VALUE(IF(Crypto_Dataset[[#This Row],[Type]]="Sell", _xlfn.CONCAT("-", Crypto_Dataset[[#This Row],[Total AUD]]), Crypto_Dataset[[#This Row],[Total AUD]]))</f>
        <v>-9535.17</v>
      </c>
      <c r="M102" s="3">
        <f>VALUE(IF(Crypto_Dataset[[#This Row],[Type]]="Sell", _xlfn.CONCAT("-", Crypto_Dataset[[#This Row],[Amount]]), Crypto_Dataset[[#This Row],[Amount]]))</f>
        <v>-12236.807327050001</v>
      </c>
    </row>
    <row r="103" spans="1:13" x14ac:dyDescent="0.35">
      <c r="A103" s="8">
        <v>44249.701388888891</v>
      </c>
      <c r="B103" t="s">
        <v>1795</v>
      </c>
      <c r="C103" t="s">
        <v>1762</v>
      </c>
      <c r="D103">
        <v>511.53980000000001</v>
      </c>
      <c r="E103">
        <v>0.77921999999999902</v>
      </c>
      <c r="F103">
        <v>0.77999999999999903</v>
      </c>
      <c r="G103" t="s">
        <v>2146</v>
      </c>
      <c r="H103">
        <v>0.4</v>
      </c>
      <c r="I103">
        <v>0.04</v>
      </c>
      <c r="J103">
        <v>398.6</v>
      </c>
      <c r="K103" t="s">
        <v>2147</v>
      </c>
      <c r="L103" s="6">
        <f>VALUE(IF(Crypto_Dataset[[#This Row],[Type]]="Sell", _xlfn.CONCAT("-", Crypto_Dataset[[#This Row],[Total AUD]]), Crypto_Dataset[[#This Row],[Total AUD]]))</f>
        <v>-398.6</v>
      </c>
      <c r="M103" s="3">
        <f>VALUE(IF(Crypto_Dataset[[#This Row],[Type]]="Sell", _xlfn.CONCAT("-", Crypto_Dataset[[#This Row],[Amount]]), Crypto_Dataset[[#This Row],[Amount]]))</f>
        <v>-511.53980000000001</v>
      </c>
    </row>
    <row r="104" spans="1:13" x14ac:dyDescent="0.35">
      <c r="A104" s="8">
        <v>44248.077777777777</v>
      </c>
      <c r="B104" t="s">
        <v>1759</v>
      </c>
      <c r="C104" t="s">
        <v>1762</v>
      </c>
      <c r="D104">
        <v>690.92463141233998</v>
      </c>
      <c r="E104">
        <v>0.71071071071273695</v>
      </c>
      <c r="F104">
        <v>0.71</v>
      </c>
      <c r="G104" t="s">
        <v>2148</v>
      </c>
      <c r="H104">
        <v>0.49</v>
      </c>
      <c r="I104">
        <v>0.04</v>
      </c>
      <c r="J104">
        <v>491.05</v>
      </c>
      <c r="K104" t="s">
        <v>1796</v>
      </c>
      <c r="L104" s="6">
        <f>VALUE(IF(Crypto_Dataset[[#This Row],[Type]]="Sell", _xlfn.CONCAT("-", Crypto_Dataset[[#This Row],[Total AUD]]), Crypto_Dataset[[#This Row],[Total AUD]]))</f>
        <v>491.05</v>
      </c>
      <c r="M104" s="3">
        <f>VALUE(IF(Crypto_Dataset[[#This Row],[Type]]="Sell", _xlfn.CONCAT("-", Crypto_Dataset[[#This Row],[Amount]]), Crypto_Dataset[[#This Row],[Amount]]))</f>
        <v>690.92463141233998</v>
      </c>
    </row>
    <row r="105" spans="1:13" x14ac:dyDescent="0.35">
      <c r="A105" s="8">
        <v>44247.472916666666</v>
      </c>
      <c r="B105" t="s">
        <v>1759</v>
      </c>
      <c r="C105" t="s">
        <v>1762</v>
      </c>
      <c r="D105">
        <v>2123.1598756292101</v>
      </c>
      <c r="E105">
        <v>0.71071071071028602</v>
      </c>
      <c r="F105">
        <v>0.71</v>
      </c>
      <c r="G105" t="s">
        <v>2149</v>
      </c>
      <c r="H105">
        <v>1.51</v>
      </c>
      <c r="I105">
        <v>0.14000000000000001</v>
      </c>
      <c r="J105">
        <v>1508.95</v>
      </c>
      <c r="K105" t="s">
        <v>1797</v>
      </c>
      <c r="L105" s="6">
        <f>VALUE(IF(Crypto_Dataset[[#This Row],[Type]]="Sell", _xlfn.CONCAT("-", Crypto_Dataset[[#This Row],[Total AUD]]), Crypto_Dataset[[#This Row],[Total AUD]]))</f>
        <v>1508.95</v>
      </c>
      <c r="M105" s="3">
        <f>VALUE(IF(Crypto_Dataset[[#This Row],[Type]]="Sell", _xlfn.CONCAT("-", Crypto_Dataset[[#This Row],[Amount]]), Crypto_Dataset[[#This Row],[Amount]]))</f>
        <v>2123.1598756292101</v>
      </c>
    </row>
    <row r="106" spans="1:13" x14ac:dyDescent="0.35">
      <c r="A106" s="8">
        <v>44242.438888888886</v>
      </c>
      <c r="B106" t="s">
        <v>1759</v>
      </c>
      <c r="C106" t="s">
        <v>1767</v>
      </c>
      <c r="D106">
        <v>6.2017080000000002E-2</v>
      </c>
      <c r="E106">
        <v>64498.36</v>
      </c>
      <c r="F106">
        <v>63859.7631427335</v>
      </c>
      <c r="G106" t="s">
        <v>2150</v>
      </c>
      <c r="H106">
        <v>39.6</v>
      </c>
      <c r="I106">
        <v>3.6</v>
      </c>
      <c r="J106">
        <v>4000</v>
      </c>
      <c r="K106" t="s">
        <v>1798</v>
      </c>
      <c r="L106" s="6">
        <f>VALUE(IF(Crypto_Dataset[[#This Row],[Type]]="Sell", _xlfn.CONCAT("-", Crypto_Dataset[[#This Row],[Total AUD]]), Crypto_Dataset[[#This Row],[Total AUD]]))</f>
        <v>4000</v>
      </c>
      <c r="M106" s="3">
        <f>VALUE(IF(Crypto_Dataset[[#This Row],[Type]]="Sell", _xlfn.CONCAT("-", Crypto_Dataset[[#This Row],[Amount]]), Crypto_Dataset[[#This Row],[Amount]]))</f>
        <v>6.2017080000000002E-2</v>
      </c>
    </row>
    <row r="107" spans="1:13" x14ac:dyDescent="0.35">
      <c r="A107" s="8">
        <v>44242.09652777778</v>
      </c>
      <c r="B107" t="s">
        <v>1759</v>
      </c>
      <c r="C107" t="s">
        <v>1766</v>
      </c>
      <c r="D107">
        <v>17008.345428150002</v>
      </c>
      <c r="E107">
        <v>0.17638400000000001</v>
      </c>
      <c r="F107">
        <v>0.17463762376244499</v>
      </c>
      <c r="G107" t="s">
        <v>2151</v>
      </c>
      <c r="H107">
        <v>29.7</v>
      </c>
      <c r="I107">
        <v>2.7</v>
      </c>
      <c r="J107">
        <v>3000</v>
      </c>
      <c r="K107" t="s">
        <v>1799</v>
      </c>
      <c r="L107" s="6">
        <f>VALUE(IF(Crypto_Dataset[[#This Row],[Type]]="Sell", _xlfn.CONCAT("-", Crypto_Dataset[[#This Row],[Total AUD]]), Crypto_Dataset[[#This Row],[Total AUD]]))</f>
        <v>3000</v>
      </c>
      <c r="M107" s="3">
        <f>VALUE(IF(Crypto_Dataset[[#This Row],[Type]]="Sell", _xlfn.CONCAT("-", Crypto_Dataset[[#This Row],[Amount]]), Crypto_Dataset[[#This Row],[Amount]]))</f>
        <v>17008.345428150002</v>
      </c>
    </row>
    <row r="108" spans="1:13" x14ac:dyDescent="0.35">
      <c r="A108" s="8">
        <v>44242.031944444447</v>
      </c>
      <c r="B108" t="s">
        <v>1759</v>
      </c>
      <c r="C108" t="s">
        <v>1762</v>
      </c>
      <c r="D108">
        <v>6348.6420254699997</v>
      </c>
      <c r="E108">
        <v>0.78756999999999999</v>
      </c>
      <c r="F108">
        <v>0.77977227722781495</v>
      </c>
      <c r="G108" t="s">
        <v>2079</v>
      </c>
      <c r="H108">
        <v>49.5</v>
      </c>
      <c r="I108">
        <v>4.5</v>
      </c>
      <c r="J108">
        <v>5000</v>
      </c>
      <c r="K108" t="s">
        <v>1800</v>
      </c>
      <c r="L108" s="6">
        <f>VALUE(IF(Crypto_Dataset[[#This Row],[Type]]="Sell", _xlfn.CONCAT("-", Crypto_Dataset[[#This Row],[Total AUD]]), Crypto_Dataset[[#This Row],[Total AUD]]))</f>
        <v>5000</v>
      </c>
      <c r="M108" s="3">
        <f>VALUE(IF(Crypto_Dataset[[#This Row],[Type]]="Sell", _xlfn.CONCAT("-", Crypto_Dataset[[#This Row],[Amount]]), Crypto_Dataset[[#This Row],[Amount]]))</f>
        <v>6348.6420254699997</v>
      </c>
    </row>
    <row r="109" spans="1:13" x14ac:dyDescent="0.35">
      <c r="A109" s="8">
        <v>44242.03125</v>
      </c>
      <c r="B109" t="s">
        <v>1759</v>
      </c>
      <c r="C109" t="s">
        <v>1762</v>
      </c>
      <c r="D109">
        <v>6399.7051015799998</v>
      </c>
      <c r="E109">
        <v>0.78128600000000004</v>
      </c>
      <c r="F109">
        <v>0.77355049505058304</v>
      </c>
      <c r="G109" t="s">
        <v>2079</v>
      </c>
      <c r="H109">
        <v>49.5</v>
      </c>
      <c r="I109">
        <v>4.5</v>
      </c>
      <c r="J109">
        <v>5000</v>
      </c>
      <c r="K109" t="s">
        <v>1800</v>
      </c>
      <c r="L109" s="6">
        <f>VALUE(IF(Crypto_Dataset[[#This Row],[Type]]="Sell", _xlfn.CONCAT("-", Crypto_Dataset[[#This Row],[Total AUD]]), Crypto_Dataset[[#This Row],[Total AUD]]))</f>
        <v>5000</v>
      </c>
      <c r="M109" s="3">
        <f>VALUE(IF(Crypto_Dataset[[#This Row],[Type]]="Sell", _xlfn.CONCAT("-", Crypto_Dataset[[#This Row],[Amount]]), Crypto_Dataset[[#This Row],[Amount]]))</f>
        <v>6399.7051015799998</v>
      </c>
    </row>
    <row r="110" spans="1:13" x14ac:dyDescent="0.35">
      <c r="A110" s="8">
        <v>44241.888888888891</v>
      </c>
      <c r="B110" t="s">
        <v>1759</v>
      </c>
      <c r="C110" t="s">
        <v>1767</v>
      </c>
      <c r="D110">
        <v>1.53929E-3</v>
      </c>
      <c r="E110">
        <v>64964.85</v>
      </c>
      <c r="F110">
        <v>64321.798355150102</v>
      </c>
      <c r="G110" t="s">
        <v>2143</v>
      </c>
      <c r="H110">
        <v>0.99</v>
      </c>
      <c r="I110">
        <v>0.09</v>
      </c>
      <c r="J110">
        <v>100</v>
      </c>
      <c r="K110" t="s">
        <v>1786</v>
      </c>
      <c r="L110" s="6">
        <f>VALUE(IF(Crypto_Dataset[[#This Row],[Type]]="Sell", _xlfn.CONCAT("-", Crypto_Dataset[[#This Row],[Total AUD]]), Crypto_Dataset[[#This Row],[Total AUD]]))</f>
        <v>100</v>
      </c>
      <c r="M110" s="3">
        <f>VALUE(IF(Crypto_Dataset[[#This Row],[Type]]="Sell", _xlfn.CONCAT("-", Crypto_Dataset[[#This Row],[Amount]]), Crypto_Dataset[[#This Row],[Amount]]))</f>
        <v>1.53929E-3</v>
      </c>
    </row>
    <row r="111" spans="1:13" x14ac:dyDescent="0.35">
      <c r="A111" s="8">
        <v>44241.837500000001</v>
      </c>
      <c r="B111" t="s">
        <v>1795</v>
      </c>
      <c r="C111" t="s">
        <v>1762</v>
      </c>
      <c r="D111">
        <v>24545.62001368</v>
      </c>
      <c r="E111">
        <v>0.79298500000000005</v>
      </c>
      <c r="F111">
        <v>0.80099494949494898</v>
      </c>
      <c r="G111" t="s">
        <v>2152</v>
      </c>
      <c r="H111">
        <v>196.61</v>
      </c>
      <c r="I111">
        <v>17.87</v>
      </c>
      <c r="J111">
        <v>19464.310000000001</v>
      </c>
      <c r="K111" t="s">
        <v>2153</v>
      </c>
      <c r="L111" s="6">
        <f>VALUE(IF(Crypto_Dataset[[#This Row],[Type]]="Sell", _xlfn.CONCAT("-", Crypto_Dataset[[#This Row],[Total AUD]]), Crypto_Dataset[[#This Row],[Total AUD]]))</f>
        <v>-19464.310000000001</v>
      </c>
      <c r="M111" s="3">
        <f>VALUE(IF(Crypto_Dataset[[#This Row],[Type]]="Sell", _xlfn.CONCAT("-", Crypto_Dataset[[#This Row],[Amount]]), Crypto_Dataset[[#This Row],[Amount]]))</f>
        <v>-24545.62001368</v>
      </c>
    </row>
    <row r="112" spans="1:13" x14ac:dyDescent="0.35">
      <c r="A112" s="8">
        <v>44241.709722222222</v>
      </c>
      <c r="B112" t="s">
        <v>1759</v>
      </c>
      <c r="C112" t="s">
        <v>1762</v>
      </c>
      <c r="D112">
        <v>2460.4422398800002</v>
      </c>
      <c r="E112">
        <v>0.81286199999999997</v>
      </c>
      <c r="F112">
        <v>0.80481386138881905</v>
      </c>
      <c r="G112" t="s">
        <v>2154</v>
      </c>
      <c r="H112">
        <v>19.8</v>
      </c>
      <c r="I112">
        <v>1.8</v>
      </c>
      <c r="J112">
        <v>2000</v>
      </c>
      <c r="K112" t="s">
        <v>1791</v>
      </c>
      <c r="L112" s="6">
        <f>VALUE(IF(Crypto_Dataset[[#This Row],[Type]]="Sell", _xlfn.CONCAT("-", Crypto_Dataset[[#This Row],[Total AUD]]), Crypto_Dataset[[#This Row],[Total AUD]]))</f>
        <v>2000</v>
      </c>
      <c r="M112" s="3">
        <f>VALUE(IF(Crypto_Dataset[[#This Row],[Type]]="Sell", _xlfn.CONCAT("-", Crypto_Dataset[[#This Row],[Amount]]), Crypto_Dataset[[#This Row],[Amount]]))</f>
        <v>2460.4422398800002</v>
      </c>
    </row>
    <row r="113" spans="1:13" x14ac:dyDescent="0.35">
      <c r="A113" s="8">
        <v>44240.948611111111</v>
      </c>
      <c r="B113" t="s">
        <v>1759</v>
      </c>
      <c r="C113" t="s">
        <v>1767</v>
      </c>
      <c r="D113">
        <v>1.62609E-3</v>
      </c>
      <c r="E113">
        <v>61496.85</v>
      </c>
      <c r="F113">
        <v>60888.327823244101</v>
      </c>
      <c r="G113" t="s">
        <v>2143</v>
      </c>
      <c r="H113">
        <v>0.99</v>
      </c>
      <c r="I113">
        <v>0.09</v>
      </c>
      <c r="J113">
        <v>100</v>
      </c>
      <c r="K113" t="s">
        <v>1786</v>
      </c>
      <c r="L113" s="6">
        <f>VALUE(IF(Crypto_Dataset[[#This Row],[Type]]="Sell", _xlfn.CONCAT("-", Crypto_Dataset[[#This Row],[Total AUD]]), Crypto_Dataset[[#This Row],[Total AUD]]))</f>
        <v>100</v>
      </c>
      <c r="M113" s="3">
        <f>VALUE(IF(Crypto_Dataset[[#This Row],[Type]]="Sell", _xlfn.CONCAT("-", Crypto_Dataset[[#This Row],[Amount]]), Crypto_Dataset[[#This Row],[Amount]]))</f>
        <v>1.62609E-3</v>
      </c>
    </row>
    <row r="114" spans="1:13" x14ac:dyDescent="0.35">
      <c r="A114" s="8">
        <v>44240.938888888886</v>
      </c>
      <c r="B114" t="s">
        <v>1759</v>
      </c>
      <c r="C114" t="s">
        <v>1767</v>
      </c>
      <c r="D114">
        <v>1.6101100000000001E-3</v>
      </c>
      <c r="E114">
        <v>62107.360000000001</v>
      </c>
      <c r="F114">
        <v>61492.6315531851</v>
      </c>
      <c r="G114" t="s">
        <v>2143</v>
      </c>
      <c r="H114">
        <v>0.99</v>
      </c>
      <c r="I114">
        <v>0.09</v>
      </c>
      <c r="J114">
        <v>100</v>
      </c>
      <c r="K114" t="s">
        <v>1786</v>
      </c>
      <c r="L114" s="6">
        <f>VALUE(IF(Crypto_Dataset[[#This Row],[Type]]="Sell", _xlfn.CONCAT("-", Crypto_Dataset[[#This Row],[Total AUD]]), Crypto_Dataset[[#This Row],[Total AUD]]))</f>
        <v>100</v>
      </c>
      <c r="M114" s="3">
        <f>VALUE(IF(Crypto_Dataset[[#This Row],[Type]]="Sell", _xlfn.CONCAT("-", Crypto_Dataset[[#This Row],[Amount]]), Crypto_Dataset[[#This Row],[Amount]]))</f>
        <v>1.6101100000000001E-3</v>
      </c>
    </row>
    <row r="115" spans="1:13" x14ac:dyDescent="0.35">
      <c r="A115" s="8">
        <v>44240.918055555558</v>
      </c>
      <c r="B115" t="s">
        <v>1759</v>
      </c>
      <c r="C115" t="s">
        <v>1762</v>
      </c>
      <c r="D115">
        <v>6458.8634983700003</v>
      </c>
      <c r="E115">
        <v>0.77412999999999998</v>
      </c>
      <c r="F115">
        <v>0.76646534653569998</v>
      </c>
      <c r="G115" t="s">
        <v>2079</v>
      </c>
      <c r="H115">
        <v>49.5</v>
      </c>
      <c r="I115">
        <v>4.5</v>
      </c>
      <c r="J115">
        <v>5000</v>
      </c>
      <c r="K115" t="s">
        <v>1800</v>
      </c>
      <c r="L115" s="6">
        <f>VALUE(IF(Crypto_Dataset[[#This Row],[Type]]="Sell", _xlfn.CONCAT("-", Crypto_Dataset[[#This Row],[Total AUD]]), Crypto_Dataset[[#This Row],[Total AUD]]))</f>
        <v>5000</v>
      </c>
      <c r="M115" s="3">
        <f>VALUE(IF(Crypto_Dataset[[#This Row],[Type]]="Sell", _xlfn.CONCAT("-", Crypto_Dataset[[#This Row],[Amount]]), Crypto_Dataset[[#This Row],[Amount]]))</f>
        <v>6458.8634983700003</v>
      </c>
    </row>
    <row r="116" spans="1:13" x14ac:dyDescent="0.35">
      <c r="A116" s="8">
        <v>44240.917361111111</v>
      </c>
      <c r="B116" t="s">
        <v>1759</v>
      </c>
      <c r="C116" t="s">
        <v>1762</v>
      </c>
      <c r="D116">
        <v>6458.7884087900002</v>
      </c>
      <c r="E116">
        <v>0.77413900000000002</v>
      </c>
      <c r="F116">
        <v>0.76647425742692499</v>
      </c>
      <c r="G116" t="s">
        <v>2079</v>
      </c>
      <c r="H116">
        <v>49.5</v>
      </c>
      <c r="I116">
        <v>4.5</v>
      </c>
      <c r="J116">
        <v>5000</v>
      </c>
      <c r="K116" t="s">
        <v>1800</v>
      </c>
      <c r="L116" s="6">
        <f>VALUE(IF(Crypto_Dataset[[#This Row],[Type]]="Sell", _xlfn.CONCAT("-", Crypto_Dataset[[#This Row],[Total AUD]]), Crypto_Dataset[[#This Row],[Total AUD]]))</f>
        <v>5000</v>
      </c>
      <c r="M116" s="3">
        <f>VALUE(IF(Crypto_Dataset[[#This Row],[Type]]="Sell", _xlfn.CONCAT("-", Crypto_Dataset[[#This Row],[Amount]]), Crypto_Dataset[[#This Row],[Amount]]))</f>
        <v>6458.7884087900002</v>
      </c>
    </row>
    <row r="117" spans="1:13" x14ac:dyDescent="0.35">
      <c r="A117" s="8">
        <v>44240.833333333336</v>
      </c>
      <c r="B117" t="s">
        <v>1759</v>
      </c>
      <c r="C117" t="s">
        <v>1774</v>
      </c>
      <c r="D117">
        <v>103788.27192527</v>
      </c>
      <c r="E117">
        <v>1.9269999999999999E-3</v>
      </c>
      <c r="F117">
        <v>1.9079207920792501E-3</v>
      </c>
      <c r="G117" t="s">
        <v>2142</v>
      </c>
      <c r="H117">
        <v>1.98</v>
      </c>
      <c r="I117">
        <v>0.18</v>
      </c>
      <c r="J117">
        <v>200</v>
      </c>
      <c r="K117" t="s">
        <v>1794</v>
      </c>
      <c r="L117" s="6">
        <f>VALUE(IF(Crypto_Dataset[[#This Row],[Type]]="Sell", _xlfn.CONCAT("-", Crypto_Dataset[[#This Row],[Total AUD]]), Crypto_Dataset[[#This Row],[Total AUD]]))</f>
        <v>200</v>
      </c>
      <c r="M117" s="3">
        <f>VALUE(IF(Crypto_Dataset[[#This Row],[Type]]="Sell", _xlfn.CONCAT("-", Crypto_Dataset[[#This Row],[Amount]]), Crypto_Dataset[[#This Row],[Amount]]))</f>
        <v>103788.27192527</v>
      </c>
    </row>
    <row r="118" spans="1:13" x14ac:dyDescent="0.35">
      <c r="A118" s="8">
        <v>44240.831944444442</v>
      </c>
      <c r="B118" t="s">
        <v>1759</v>
      </c>
      <c r="C118" t="s">
        <v>2115</v>
      </c>
      <c r="D118">
        <v>22.070913839999999</v>
      </c>
      <c r="E118">
        <v>9.0617000000000001</v>
      </c>
      <c r="F118">
        <v>8.9719802005351799</v>
      </c>
      <c r="G118" t="s">
        <v>2142</v>
      </c>
      <c r="H118">
        <v>1.98</v>
      </c>
      <c r="I118">
        <v>0.18</v>
      </c>
      <c r="J118">
        <v>200</v>
      </c>
      <c r="K118" t="s">
        <v>1794</v>
      </c>
      <c r="L118" s="6">
        <f>VALUE(IF(Crypto_Dataset[[#This Row],[Type]]="Sell", _xlfn.CONCAT("-", Crypto_Dataset[[#This Row],[Total AUD]]), Crypto_Dataset[[#This Row],[Total AUD]]))</f>
        <v>200</v>
      </c>
      <c r="M118" s="3">
        <f>VALUE(IF(Crypto_Dataset[[#This Row],[Type]]="Sell", _xlfn.CONCAT("-", Crypto_Dataset[[#This Row],[Amount]]), Crypto_Dataset[[#This Row],[Amount]]))</f>
        <v>22.070913839999999</v>
      </c>
    </row>
    <row r="119" spans="1:13" x14ac:dyDescent="0.35">
      <c r="A119" s="8">
        <v>44240.831250000003</v>
      </c>
      <c r="B119" t="s">
        <v>1759</v>
      </c>
      <c r="C119" t="s">
        <v>1766</v>
      </c>
      <c r="D119">
        <v>1079.29586737</v>
      </c>
      <c r="E119">
        <v>0.185306</v>
      </c>
      <c r="F119">
        <v>0.183471287129753</v>
      </c>
      <c r="G119" t="s">
        <v>2142</v>
      </c>
      <c r="H119">
        <v>1.98</v>
      </c>
      <c r="I119">
        <v>0.18</v>
      </c>
      <c r="J119">
        <v>200</v>
      </c>
      <c r="K119" t="s">
        <v>1794</v>
      </c>
      <c r="L119" s="6">
        <f>VALUE(IF(Crypto_Dataset[[#This Row],[Type]]="Sell", _xlfn.CONCAT("-", Crypto_Dataset[[#This Row],[Total AUD]]), Crypto_Dataset[[#This Row],[Total AUD]]))</f>
        <v>200</v>
      </c>
      <c r="M119" s="3">
        <f>VALUE(IF(Crypto_Dataset[[#This Row],[Type]]="Sell", _xlfn.CONCAT("-", Crypto_Dataset[[#This Row],[Amount]]), Crypto_Dataset[[#This Row],[Amount]]))</f>
        <v>1079.29586737</v>
      </c>
    </row>
    <row r="120" spans="1:13" x14ac:dyDescent="0.35">
      <c r="A120" s="8">
        <v>44239.583333333336</v>
      </c>
      <c r="B120" t="s">
        <v>1795</v>
      </c>
      <c r="C120" t="s">
        <v>1762</v>
      </c>
      <c r="D120">
        <v>13858.5156421066</v>
      </c>
      <c r="E120">
        <v>0.72157800000000005</v>
      </c>
      <c r="F120">
        <v>0.728866666666666</v>
      </c>
      <c r="G120" t="s">
        <v>2155</v>
      </c>
      <c r="H120">
        <v>101.01</v>
      </c>
      <c r="I120">
        <v>9.18</v>
      </c>
      <c r="J120">
        <v>10000</v>
      </c>
      <c r="K120" t="s">
        <v>2156</v>
      </c>
      <c r="L120" s="6">
        <f>VALUE(IF(Crypto_Dataset[[#This Row],[Type]]="Sell", _xlfn.CONCAT("-", Crypto_Dataset[[#This Row],[Total AUD]]), Crypto_Dataset[[#This Row],[Total AUD]]))</f>
        <v>-10000</v>
      </c>
      <c r="M120" s="3">
        <f>VALUE(IF(Crypto_Dataset[[#This Row],[Type]]="Sell", _xlfn.CONCAT("-", Crypto_Dataset[[#This Row],[Amount]]), Crypto_Dataset[[#This Row],[Amount]]))</f>
        <v>-13858.5156421066</v>
      </c>
    </row>
    <row r="121" spans="1:13" x14ac:dyDescent="0.35">
      <c r="A121" s="8">
        <v>44239.581944444442</v>
      </c>
      <c r="B121" t="s">
        <v>1795</v>
      </c>
      <c r="C121" t="s">
        <v>1762</v>
      </c>
      <c r="D121">
        <v>6893.2334641669004</v>
      </c>
      <c r="E121">
        <v>0.72534900000000002</v>
      </c>
      <c r="F121">
        <v>0.73267575757575698</v>
      </c>
      <c r="G121" t="s">
        <v>2157</v>
      </c>
      <c r="H121">
        <v>50.51</v>
      </c>
      <c r="I121">
        <v>4.59</v>
      </c>
      <c r="J121">
        <v>5000</v>
      </c>
      <c r="K121" t="s">
        <v>2158</v>
      </c>
      <c r="L121" s="6">
        <f>VALUE(IF(Crypto_Dataset[[#This Row],[Type]]="Sell", _xlfn.CONCAT("-", Crypto_Dataset[[#This Row],[Total AUD]]), Crypto_Dataset[[#This Row],[Total AUD]]))</f>
        <v>-5000</v>
      </c>
      <c r="M121" s="3">
        <f>VALUE(IF(Crypto_Dataset[[#This Row],[Type]]="Sell", _xlfn.CONCAT("-", Crypto_Dataset[[#This Row],[Amount]]), Crypto_Dataset[[#This Row],[Amount]]))</f>
        <v>-6893.2334641669004</v>
      </c>
    </row>
    <row r="122" spans="1:13" x14ac:dyDescent="0.35">
      <c r="A122" s="8">
        <v>44228.768750000003</v>
      </c>
      <c r="B122" t="s">
        <v>1759</v>
      </c>
      <c r="C122" t="s">
        <v>1762</v>
      </c>
      <c r="D122">
        <v>5089.6801644899997</v>
      </c>
      <c r="E122">
        <v>0.78590400000000005</v>
      </c>
      <c r="F122">
        <v>0.778122772278521</v>
      </c>
      <c r="G122" t="s">
        <v>2150</v>
      </c>
      <c r="H122">
        <v>39.6</v>
      </c>
      <c r="I122">
        <v>3.6</v>
      </c>
      <c r="J122">
        <v>4000</v>
      </c>
      <c r="K122" t="s">
        <v>1798</v>
      </c>
      <c r="L122" s="6">
        <f>VALUE(IF(Crypto_Dataset[[#This Row],[Type]]="Sell", _xlfn.CONCAT("-", Crypto_Dataset[[#This Row],[Total AUD]]), Crypto_Dataset[[#This Row],[Total AUD]]))</f>
        <v>4000</v>
      </c>
      <c r="M122" s="3">
        <f>VALUE(IF(Crypto_Dataset[[#This Row],[Type]]="Sell", _xlfn.CONCAT("-", Crypto_Dataset[[#This Row],[Amount]]), Crypto_Dataset[[#This Row],[Amount]]))</f>
        <v>5089.6801644899997</v>
      </c>
    </row>
    <row r="123" spans="1:13" x14ac:dyDescent="0.35">
      <c r="A123" s="8">
        <v>44228.73541666667</v>
      </c>
      <c r="B123" t="s">
        <v>1759</v>
      </c>
      <c r="C123" t="s">
        <v>1762</v>
      </c>
      <c r="D123">
        <v>3163.8080606200001</v>
      </c>
      <c r="E123">
        <v>0.79018699999999997</v>
      </c>
      <c r="F123">
        <v>0.78236336633753001</v>
      </c>
      <c r="G123" t="s">
        <v>2080</v>
      </c>
      <c r="H123">
        <v>24.75</v>
      </c>
      <c r="I123">
        <v>2.25</v>
      </c>
      <c r="J123">
        <v>2500</v>
      </c>
      <c r="K123" t="s">
        <v>1801</v>
      </c>
      <c r="L123" s="6">
        <f>VALUE(IF(Crypto_Dataset[[#This Row],[Type]]="Sell", _xlfn.CONCAT("-", Crypto_Dataset[[#This Row],[Total AUD]]), Crypto_Dataset[[#This Row],[Total AUD]]))</f>
        <v>2500</v>
      </c>
      <c r="M123" s="3">
        <f>VALUE(IF(Crypto_Dataset[[#This Row],[Type]]="Sell", _xlfn.CONCAT("-", Crypto_Dataset[[#This Row],[Amount]]), Crypto_Dataset[[#This Row],[Amount]]))</f>
        <v>3163.8080606200001</v>
      </c>
    </row>
    <row r="124" spans="1:13" x14ac:dyDescent="0.35">
      <c r="A124" s="8">
        <v>44189.492361111108</v>
      </c>
      <c r="B124" t="s">
        <v>1759</v>
      </c>
      <c r="C124" t="s">
        <v>1762</v>
      </c>
      <c r="D124">
        <v>6801.2590490700004</v>
      </c>
      <c r="E124">
        <v>0.36757899999999999</v>
      </c>
      <c r="F124">
        <v>0.36393960396067199</v>
      </c>
      <c r="G124" t="s">
        <v>2080</v>
      </c>
      <c r="H124">
        <v>24.75</v>
      </c>
      <c r="I124">
        <v>2.25</v>
      </c>
      <c r="J124">
        <v>2500</v>
      </c>
      <c r="K124" t="s">
        <v>1801</v>
      </c>
      <c r="L124" s="6">
        <f>VALUE(IF(Crypto_Dataset[[#This Row],[Type]]="Sell", _xlfn.CONCAT("-", Crypto_Dataset[[#This Row],[Total AUD]]), Crypto_Dataset[[#This Row],[Total AUD]]))</f>
        <v>2500</v>
      </c>
      <c r="M124" s="3">
        <f>VALUE(IF(Crypto_Dataset[[#This Row],[Type]]="Sell", _xlfn.CONCAT("-", Crypto_Dataset[[#This Row],[Amount]]), Crypto_Dataset[[#This Row],[Amount]]))</f>
        <v>6801.2590490700004</v>
      </c>
    </row>
    <row r="125" spans="1:13" x14ac:dyDescent="0.35">
      <c r="A125" s="8">
        <v>44161.616666666669</v>
      </c>
      <c r="B125" t="s">
        <v>1759</v>
      </c>
      <c r="C125" t="s">
        <v>1762</v>
      </c>
      <c r="D125">
        <v>4450.5114805499998</v>
      </c>
      <c r="E125">
        <v>0.79299200000000003</v>
      </c>
      <c r="F125">
        <v>0.78514059406289705</v>
      </c>
      <c r="G125" t="s">
        <v>2159</v>
      </c>
      <c r="H125">
        <v>34.94</v>
      </c>
      <c r="I125">
        <v>3.18</v>
      </c>
      <c r="J125">
        <v>3529.22</v>
      </c>
      <c r="K125" t="s">
        <v>1802</v>
      </c>
      <c r="L125" s="6">
        <f>VALUE(IF(Crypto_Dataset[[#This Row],[Type]]="Sell", _xlfn.CONCAT("-", Crypto_Dataset[[#This Row],[Total AUD]]), Crypto_Dataset[[#This Row],[Total AUD]]))</f>
        <v>3529.22</v>
      </c>
      <c r="M125" s="3">
        <f>VALUE(IF(Crypto_Dataset[[#This Row],[Type]]="Sell", _xlfn.CONCAT("-", Crypto_Dataset[[#This Row],[Amount]]), Crypto_Dataset[[#This Row],[Amount]]))</f>
        <v>4450.5114805499998</v>
      </c>
    </row>
    <row r="126" spans="1:13" x14ac:dyDescent="0.35">
      <c r="A126" s="8">
        <v>44161.613194444442</v>
      </c>
      <c r="B126" t="s">
        <v>1759</v>
      </c>
      <c r="C126" t="s">
        <v>1762</v>
      </c>
      <c r="D126">
        <v>3914.1956132300002</v>
      </c>
      <c r="E126">
        <v>0.76644100000000004</v>
      </c>
      <c r="F126">
        <v>0.758852475247622</v>
      </c>
      <c r="G126" t="s">
        <v>2151</v>
      </c>
      <c r="H126">
        <v>29.7</v>
      </c>
      <c r="I126">
        <v>2.7</v>
      </c>
      <c r="J126">
        <v>3000</v>
      </c>
      <c r="K126" t="s">
        <v>1799</v>
      </c>
      <c r="L126" s="6">
        <f>VALUE(IF(Crypto_Dataset[[#This Row],[Type]]="Sell", _xlfn.CONCAT("-", Crypto_Dataset[[#This Row],[Total AUD]]), Crypto_Dataset[[#This Row],[Total AUD]]))</f>
        <v>3000</v>
      </c>
      <c r="M126" s="3">
        <f>VALUE(IF(Crypto_Dataset[[#This Row],[Type]]="Sell", _xlfn.CONCAT("-", Crypto_Dataset[[#This Row],[Amount]]), Crypto_Dataset[[#This Row],[Amount]]))</f>
        <v>3914.1956132300002</v>
      </c>
    </row>
    <row r="127" spans="1:13" x14ac:dyDescent="0.35">
      <c r="A127" s="8">
        <v>44161.607638888891</v>
      </c>
      <c r="B127" t="s">
        <v>1759</v>
      </c>
      <c r="C127" t="s">
        <v>1762</v>
      </c>
      <c r="D127">
        <v>6499.8206049500004</v>
      </c>
      <c r="E127">
        <v>0.76925200000000005</v>
      </c>
      <c r="F127">
        <v>0.76163564356450897</v>
      </c>
      <c r="G127" t="s">
        <v>2079</v>
      </c>
      <c r="H127">
        <v>49.5</v>
      </c>
      <c r="I127">
        <v>4.5</v>
      </c>
      <c r="J127">
        <v>5000</v>
      </c>
      <c r="K127" t="s">
        <v>1800</v>
      </c>
      <c r="L127" s="6">
        <f>VALUE(IF(Crypto_Dataset[[#This Row],[Type]]="Sell", _xlfn.CONCAT("-", Crypto_Dataset[[#This Row],[Total AUD]]), Crypto_Dataset[[#This Row],[Total AUD]]))</f>
        <v>5000</v>
      </c>
      <c r="M127" s="3">
        <f>VALUE(IF(Crypto_Dataset[[#This Row],[Type]]="Sell", _xlfn.CONCAT("-", Crypto_Dataset[[#This Row],[Amount]]), Crypto_Dataset[[#This Row],[Amount]]))</f>
        <v>6499.8206049500004</v>
      </c>
    </row>
    <row r="128" spans="1:13" x14ac:dyDescent="0.35">
      <c r="A128" s="8">
        <v>44161.397222222222</v>
      </c>
      <c r="B128" t="s">
        <v>1795</v>
      </c>
      <c r="C128" t="s">
        <v>1762</v>
      </c>
      <c r="D128">
        <v>11387.47414733</v>
      </c>
      <c r="E128">
        <v>0.836816</v>
      </c>
      <c r="F128">
        <v>0.84526868686868695</v>
      </c>
      <c r="G128" t="s">
        <v>2160</v>
      </c>
      <c r="H128">
        <v>96.25</v>
      </c>
      <c r="I128">
        <v>8.75</v>
      </c>
      <c r="J128">
        <v>9529.2199999999993</v>
      </c>
      <c r="K128" t="s">
        <v>2161</v>
      </c>
      <c r="L128" s="6">
        <f>VALUE(IF(Crypto_Dataset[[#This Row],[Type]]="Sell", _xlfn.CONCAT("-", Crypto_Dataset[[#This Row],[Total AUD]]), Crypto_Dataset[[#This Row],[Total AUD]]))</f>
        <v>-9529.2199999999993</v>
      </c>
      <c r="M128" s="3">
        <f>VALUE(IF(Crypto_Dataset[[#This Row],[Type]]="Sell", _xlfn.CONCAT("-", Crypto_Dataset[[#This Row],[Amount]]), Crypto_Dataset[[#This Row],[Amount]]))</f>
        <v>-11387.47414733</v>
      </c>
    </row>
    <row r="129" spans="1:13" x14ac:dyDescent="0.35">
      <c r="A129" s="8">
        <v>44160.276388888888</v>
      </c>
      <c r="B129" t="s">
        <v>1759</v>
      </c>
      <c r="C129" t="s">
        <v>1762</v>
      </c>
      <c r="D129">
        <v>429.73848121999998</v>
      </c>
      <c r="E129">
        <v>1.0305569999999999</v>
      </c>
      <c r="F129">
        <v>1.0203534653680999</v>
      </c>
      <c r="G129" t="s">
        <v>2162</v>
      </c>
      <c r="H129">
        <v>4.38</v>
      </c>
      <c r="I129">
        <v>0.4</v>
      </c>
      <c r="J129">
        <v>442.87</v>
      </c>
      <c r="K129" t="s">
        <v>1803</v>
      </c>
      <c r="L129" s="6">
        <f>VALUE(IF(Crypto_Dataset[[#This Row],[Type]]="Sell", _xlfn.CONCAT("-", Crypto_Dataset[[#This Row],[Total AUD]]), Crypto_Dataset[[#This Row],[Total AUD]]))</f>
        <v>442.87</v>
      </c>
      <c r="M129" s="3">
        <f>VALUE(IF(Crypto_Dataset[[#This Row],[Type]]="Sell", _xlfn.CONCAT("-", Crypto_Dataset[[#This Row],[Amount]]), Crypto_Dataset[[#This Row],[Amount]]))</f>
        <v>429.73848121999998</v>
      </c>
    </row>
    <row r="130" spans="1:13" x14ac:dyDescent="0.35">
      <c r="A130" s="8">
        <v>44160.275000000001</v>
      </c>
      <c r="B130" t="s">
        <v>1759</v>
      </c>
      <c r="C130" t="s">
        <v>1762</v>
      </c>
      <c r="D130">
        <v>6768.86361416</v>
      </c>
      <c r="E130">
        <v>1.0341469999999999</v>
      </c>
      <c r="F130">
        <v>1.0239079207931401</v>
      </c>
      <c r="G130" t="s">
        <v>2163</v>
      </c>
      <c r="H130">
        <v>69.31</v>
      </c>
      <c r="I130">
        <v>6.3</v>
      </c>
      <c r="J130">
        <v>7000</v>
      </c>
      <c r="K130" t="s">
        <v>1804</v>
      </c>
      <c r="L130" s="6">
        <f>VALUE(IF(Crypto_Dataset[[#This Row],[Type]]="Sell", _xlfn.CONCAT("-", Crypto_Dataset[[#This Row],[Total AUD]]), Crypto_Dataset[[#This Row],[Total AUD]]))</f>
        <v>7000</v>
      </c>
      <c r="M130" s="3">
        <f>VALUE(IF(Crypto_Dataset[[#This Row],[Type]]="Sell", _xlfn.CONCAT("-", Crypto_Dataset[[#This Row],[Amount]]), Crypto_Dataset[[#This Row],[Amount]]))</f>
        <v>6768.86361416</v>
      </c>
    </row>
    <row r="131" spans="1:13" x14ac:dyDescent="0.35">
      <c r="A131" s="8">
        <v>44160.027777777781</v>
      </c>
      <c r="B131" t="s">
        <v>1759</v>
      </c>
      <c r="C131" t="s">
        <v>1762</v>
      </c>
      <c r="D131">
        <v>4188.8720519500002</v>
      </c>
      <c r="E131">
        <v>0.95491099999999995</v>
      </c>
      <c r="F131">
        <v>0.945456435643652</v>
      </c>
      <c r="G131" t="s">
        <v>2150</v>
      </c>
      <c r="H131">
        <v>39.6</v>
      </c>
      <c r="I131">
        <v>3.6</v>
      </c>
      <c r="J131">
        <v>4000</v>
      </c>
      <c r="K131" t="s">
        <v>1798</v>
      </c>
      <c r="L131" s="6">
        <f>VALUE(IF(Crypto_Dataset[[#This Row],[Type]]="Sell", _xlfn.CONCAT("-", Crypto_Dataset[[#This Row],[Total AUD]]), Crypto_Dataset[[#This Row],[Total AUD]]))</f>
        <v>4000</v>
      </c>
      <c r="M131" s="3">
        <f>VALUE(IF(Crypto_Dataset[[#This Row],[Type]]="Sell", _xlfn.CONCAT("-", Crypto_Dataset[[#This Row],[Amount]]), Crypto_Dataset[[#This Row],[Amount]]))</f>
        <v>4188.8720519500002</v>
      </c>
    </row>
    <row r="132" spans="1:13" x14ac:dyDescent="0.35">
      <c r="A132" s="8">
        <v>44157.863194444442</v>
      </c>
      <c r="B132" t="s">
        <v>1795</v>
      </c>
      <c r="C132" t="s">
        <v>1762</v>
      </c>
      <c r="D132">
        <v>18014.431089279999</v>
      </c>
      <c r="E132">
        <v>0.63520600000000005</v>
      </c>
      <c r="F132">
        <v>0.64162222222222198</v>
      </c>
      <c r="G132" t="s">
        <v>2164</v>
      </c>
      <c r="H132">
        <v>115.58</v>
      </c>
      <c r="I132">
        <v>10.51</v>
      </c>
      <c r="J132">
        <v>11442.87</v>
      </c>
      <c r="K132" t="s">
        <v>2165</v>
      </c>
      <c r="L132" s="6">
        <f>VALUE(IF(Crypto_Dataset[[#This Row],[Type]]="Sell", _xlfn.CONCAT("-", Crypto_Dataset[[#This Row],[Total AUD]]), Crypto_Dataset[[#This Row],[Total AUD]]))</f>
        <v>-11442.87</v>
      </c>
      <c r="M132" s="3">
        <f>VALUE(IF(Crypto_Dataset[[#This Row],[Type]]="Sell", _xlfn.CONCAT("-", Crypto_Dataset[[#This Row],[Amount]]), Crypto_Dataset[[#This Row],[Amount]]))</f>
        <v>-18014.431089279999</v>
      </c>
    </row>
    <row r="133" spans="1:13" x14ac:dyDescent="0.35">
      <c r="A133" s="8">
        <v>43878.390972222223</v>
      </c>
      <c r="B133" t="s">
        <v>1759</v>
      </c>
      <c r="C133" t="s">
        <v>1762</v>
      </c>
      <c r="D133">
        <v>2394.1109284700001</v>
      </c>
      <c r="E133">
        <v>0.43864300000000001</v>
      </c>
      <c r="F133">
        <v>0.43430000000129598</v>
      </c>
      <c r="G133" t="s">
        <v>2166</v>
      </c>
      <c r="H133">
        <v>10.4</v>
      </c>
      <c r="I133">
        <v>0.95</v>
      </c>
      <c r="J133">
        <v>1050.1600000000001</v>
      </c>
      <c r="K133" t="s">
        <v>1805</v>
      </c>
      <c r="L133" s="6">
        <f>VALUE(IF(Crypto_Dataset[[#This Row],[Type]]="Sell", _xlfn.CONCAT("-", Crypto_Dataset[[#This Row],[Total AUD]]), Crypto_Dataset[[#This Row],[Total AUD]]))</f>
        <v>1050.1600000000001</v>
      </c>
      <c r="M133" s="3">
        <f>VALUE(IF(Crypto_Dataset[[#This Row],[Type]]="Sell", _xlfn.CONCAT("-", Crypto_Dataset[[#This Row],[Amount]]), Crypto_Dataset[[#This Row],[Amount]]))</f>
        <v>2394.1109284700001</v>
      </c>
    </row>
    <row r="134" spans="1:13" x14ac:dyDescent="0.35">
      <c r="A134" s="8">
        <v>43877.206944444442</v>
      </c>
      <c r="B134" t="s">
        <v>1759</v>
      </c>
      <c r="C134" t="s">
        <v>1762</v>
      </c>
      <c r="D134">
        <v>94.895009999999999</v>
      </c>
      <c r="E134">
        <v>0.46046046046046002</v>
      </c>
      <c r="F134">
        <v>0.46</v>
      </c>
      <c r="G134" t="s">
        <v>2167</v>
      </c>
      <c r="H134">
        <v>0.04</v>
      </c>
      <c r="I134">
        <v>0</v>
      </c>
      <c r="J134">
        <v>43.7</v>
      </c>
      <c r="K134" t="s">
        <v>1806</v>
      </c>
      <c r="L134" s="6">
        <f>VALUE(IF(Crypto_Dataset[[#This Row],[Type]]="Sell", _xlfn.CONCAT("-", Crypto_Dataset[[#This Row],[Total AUD]]), Crypto_Dataset[[#This Row],[Total AUD]]))</f>
        <v>43.7</v>
      </c>
      <c r="M134" s="3">
        <f>VALUE(IF(Crypto_Dataset[[#This Row],[Type]]="Sell", _xlfn.CONCAT("-", Crypto_Dataset[[#This Row],[Amount]]), Crypto_Dataset[[#This Row],[Amount]]))</f>
        <v>94.895009999999999</v>
      </c>
    </row>
    <row r="135" spans="1:13" x14ac:dyDescent="0.35">
      <c r="A135" s="8">
        <v>43877.206944444442</v>
      </c>
      <c r="B135" t="s">
        <v>1759</v>
      </c>
      <c r="C135" t="s">
        <v>1762</v>
      </c>
      <c r="D135">
        <v>1173.28116623814</v>
      </c>
      <c r="E135">
        <v>0.46046046041307198</v>
      </c>
      <c r="F135">
        <v>0.46</v>
      </c>
      <c r="G135" t="s">
        <v>2168</v>
      </c>
      <c r="H135">
        <v>0.54</v>
      </c>
      <c r="I135">
        <v>0.05</v>
      </c>
      <c r="J135">
        <v>540.25</v>
      </c>
      <c r="K135" t="s">
        <v>1807</v>
      </c>
      <c r="L135" s="6">
        <f>VALUE(IF(Crypto_Dataset[[#This Row],[Type]]="Sell", _xlfn.CONCAT("-", Crypto_Dataset[[#This Row],[Total AUD]]), Crypto_Dataset[[#This Row],[Total AUD]]))</f>
        <v>540.25</v>
      </c>
      <c r="M135" s="3">
        <f>VALUE(IF(Crypto_Dataset[[#This Row],[Type]]="Sell", _xlfn.CONCAT("-", Crypto_Dataset[[#This Row],[Amount]]), Crypto_Dataset[[#This Row],[Amount]]))</f>
        <v>1173.28116623814</v>
      </c>
    </row>
    <row r="136" spans="1:13" x14ac:dyDescent="0.35">
      <c r="A136" s="8">
        <v>43877.206944444442</v>
      </c>
      <c r="B136" t="s">
        <v>1759</v>
      </c>
      <c r="C136" t="s">
        <v>1762</v>
      </c>
      <c r="D136">
        <v>773.69586092873999</v>
      </c>
      <c r="E136">
        <v>0.46046045996982798</v>
      </c>
      <c r="F136">
        <v>0.46</v>
      </c>
      <c r="G136" t="s">
        <v>2169</v>
      </c>
      <c r="H136">
        <v>0.36</v>
      </c>
      <c r="I136">
        <v>0.03</v>
      </c>
      <c r="J136">
        <v>356.26</v>
      </c>
      <c r="K136" t="s">
        <v>1808</v>
      </c>
      <c r="L136" s="6">
        <f>VALUE(IF(Crypto_Dataset[[#This Row],[Type]]="Sell", _xlfn.CONCAT("-", Crypto_Dataset[[#This Row],[Total AUD]]), Crypto_Dataset[[#This Row],[Total AUD]]))</f>
        <v>356.26</v>
      </c>
      <c r="M136" s="3">
        <f>VALUE(IF(Crypto_Dataset[[#This Row],[Type]]="Sell", _xlfn.CONCAT("-", Crypto_Dataset[[#This Row],[Amount]]), Crypto_Dataset[[#This Row],[Amount]]))</f>
        <v>773.69586092873999</v>
      </c>
    </row>
    <row r="137" spans="1:13" x14ac:dyDescent="0.35">
      <c r="A137" s="8">
        <v>43875.714583333334</v>
      </c>
      <c r="B137" t="s">
        <v>1759</v>
      </c>
      <c r="C137" t="s">
        <v>1762</v>
      </c>
      <c r="D137">
        <v>20.935565478000001</v>
      </c>
      <c r="E137">
        <v>0.46046045472858699</v>
      </c>
      <c r="F137">
        <v>0.46</v>
      </c>
      <c r="G137" t="s">
        <v>2170</v>
      </c>
      <c r="H137">
        <v>0.01</v>
      </c>
      <c r="I137">
        <v>0</v>
      </c>
      <c r="J137">
        <v>9.64</v>
      </c>
      <c r="K137" t="s">
        <v>1809</v>
      </c>
      <c r="L137" s="6">
        <f>VALUE(IF(Crypto_Dataset[[#This Row],[Type]]="Sell", _xlfn.CONCAT("-", Crypto_Dataset[[#This Row],[Total AUD]]), Crypto_Dataset[[#This Row],[Total AUD]]))</f>
        <v>9.64</v>
      </c>
      <c r="M137" s="3">
        <f>VALUE(IF(Crypto_Dataset[[#This Row],[Type]]="Sell", _xlfn.CONCAT("-", Crypto_Dataset[[#This Row],[Amount]]), Crypto_Dataset[[#This Row],[Amount]]))</f>
        <v>20.935565478000001</v>
      </c>
    </row>
    <row r="138" spans="1:13" x14ac:dyDescent="0.35">
      <c r="A138" s="8">
        <v>43867.798611111109</v>
      </c>
      <c r="B138" t="s">
        <v>1759</v>
      </c>
      <c r="C138" t="s">
        <v>1762</v>
      </c>
      <c r="D138">
        <v>2334.5940141000001</v>
      </c>
      <c r="E138">
        <v>0.42834</v>
      </c>
      <c r="F138">
        <v>0.42409900990116201</v>
      </c>
      <c r="G138" t="s">
        <v>2089</v>
      </c>
      <c r="H138">
        <v>9.9</v>
      </c>
      <c r="I138">
        <v>0.9</v>
      </c>
      <c r="J138">
        <v>1000</v>
      </c>
      <c r="K138" t="s">
        <v>1810</v>
      </c>
      <c r="L138" s="6">
        <f>VALUE(IF(Crypto_Dataset[[#This Row],[Type]]="Sell", _xlfn.CONCAT("-", Crypto_Dataset[[#This Row],[Total AUD]]), Crypto_Dataset[[#This Row],[Total AUD]]))</f>
        <v>1000</v>
      </c>
      <c r="M138" s="3">
        <f>VALUE(IF(Crypto_Dataset[[#This Row],[Type]]="Sell", _xlfn.CONCAT("-", Crypto_Dataset[[#This Row],[Amount]]), Crypto_Dataset[[#This Row],[Amount]]))</f>
        <v>2334.5940141000001</v>
      </c>
    </row>
    <row r="139" spans="1:13" x14ac:dyDescent="0.35">
      <c r="A139" s="8">
        <v>43867.79791666667</v>
      </c>
      <c r="B139" t="s">
        <v>1759</v>
      </c>
      <c r="C139" t="s">
        <v>1762</v>
      </c>
      <c r="D139">
        <v>3501.3515216800001</v>
      </c>
      <c r="E139">
        <v>0.42840600000000001</v>
      </c>
      <c r="F139">
        <v>0.42416435643653599</v>
      </c>
      <c r="G139" t="s">
        <v>2171</v>
      </c>
      <c r="H139">
        <v>14.85</v>
      </c>
      <c r="I139">
        <v>1.35</v>
      </c>
      <c r="J139">
        <v>1500</v>
      </c>
      <c r="K139" t="s">
        <v>1811</v>
      </c>
      <c r="L139" s="6">
        <f>VALUE(IF(Crypto_Dataset[[#This Row],[Type]]="Sell", _xlfn.CONCAT("-", Crypto_Dataset[[#This Row],[Total AUD]]), Crypto_Dataset[[#This Row],[Total AUD]]))</f>
        <v>1500</v>
      </c>
      <c r="M139" s="3">
        <f>VALUE(IF(Crypto_Dataset[[#This Row],[Type]]="Sell", _xlfn.CONCAT("-", Crypto_Dataset[[#This Row],[Amount]]), Crypto_Dataset[[#This Row],[Amount]]))</f>
        <v>3501.3515216800001</v>
      </c>
    </row>
    <row r="140" spans="1:13" x14ac:dyDescent="0.35">
      <c r="A140" s="8">
        <v>43861.829861111109</v>
      </c>
      <c r="B140" t="s">
        <v>1759</v>
      </c>
      <c r="C140" t="s">
        <v>1762</v>
      </c>
      <c r="D140">
        <v>7721.5670223799998</v>
      </c>
      <c r="E140">
        <v>0.36892900000000001</v>
      </c>
      <c r="F140">
        <v>0.36527623762380901</v>
      </c>
      <c r="G140" t="s">
        <v>2172</v>
      </c>
      <c r="H140">
        <v>28.21</v>
      </c>
      <c r="I140">
        <v>2.56</v>
      </c>
      <c r="J140">
        <v>2848.71</v>
      </c>
      <c r="K140" t="s">
        <v>1812</v>
      </c>
      <c r="L140" s="6">
        <f>VALUE(IF(Crypto_Dataset[[#This Row],[Type]]="Sell", _xlfn.CONCAT("-", Crypto_Dataset[[#This Row],[Total AUD]]), Crypto_Dataset[[#This Row],[Total AUD]]))</f>
        <v>2848.71</v>
      </c>
      <c r="M140" s="3">
        <f>VALUE(IF(Crypto_Dataset[[#This Row],[Type]]="Sell", _xlfn.CONCAT("-", Crypto_Dataset[[#This Row],[Amount]]), Crypto_Dataset[[#This Row],[Amount]]))</f>
        <v>7721.5670223799998</v>
      </c>
    </row>
    <row r="141" spans="1:13" x14ac:dyDescent="0.35">
      <c r="A141" s="8">
        <v>43815.995833333334</v>
      </c>
      <c r="B141" t="s">
        <v>1795</v>
      </c>
      <c r="C141" t="s">
        <v>1813</v>
      </c>
      <c r="D141">
        <v>5551.73102973</v>
      </c>
      <c r="E141">
        <v>1.9594E-2</v>
      </c>
      <c r="F141">
        <v>1.97919191919191E-2</v>
      </c>
      <c r="G141" t="s">
        <v>2173</v>
      </c>
      <c r="H141">
        <v>1.1000000000000001</v>
      </c>
      <c r="I141">
        <v>0.1</v>
      </c>
      <c r="J141">
        <v>108.78</v>
      </c>
      <c r="K141" t="s">
        <v>2174</v>
      </c>
      <c r="L141" s="6">
        <f>VALUE(IF(Crypto_Dataset[[#This Row],[Type]]="Sell", _xlfn.CONCAT("-", Crypto_Dataset[[#This Row],[Total AUD]]), Crypto_Dataset[[#This Row],[Total AUD]]))</f>
        <v>-108.78</v>
      </c>
      <c r="M141" s="3">
        <f>VALUE(IF(Crypto_Dataset[[#This Row],[Type]]="Sell", _xlfn.CONCAT("-", Crypto_Dataset[[#This Row],[Amount]]), Crypto_Dataset[[#This Row],[Amount]]))</f>
        <v>-5551.73102973</v>
      </c>
    </row>
    <row r="142" spans="1:13" x14ac:dyDescent="0.35">
      <c r="A142" s="8">
        <v>43815.995833333334</v>
      </c>
      <c r="B142" t="s">
        <v>1795</v>
      </c>
      <c r="C142" t="s">
        <v>1814</v>
      </c>
      <c r="D142">
        <v>3.02862046</v>
      </c>
      <c r="E142">
        <v>61.15</v>
      </c>
      <c r="F142">
        <v>61.767676767676697</v>
      </c>
      <c r="G142" t="s">
        <v>2175</v>
      </c>
      <c r="H142">
        <v>1.87</v>
      </c>
      <c r="I142">
        <v>0.17</v>
      </c>
      <c r="J142">
        <v>185.2</v>
      </c>
      <c r="K142" t="s">
        <v>2176</v>
      </c>
      <c r="L142" s="6">
        <f>VALUE(IF(Crypto_Dataset[[#This Row],[Type]]="Sell", _xlfn.CONCAT("-", Crypto_Dataset[[#This Row],[Total AUD]]), Crypto_Dataset[[#This Row],[Total AUD]]))</f>
        <v>-185.2</v>
      </c>
      <c r="M142" s="3">
        <f>VALUE(IF(Crypto_Dataset[[#This Row],[Type]]="Sell", _xlfn.CONCAT("-", Crypto_Dataset[[#This Row],[Amount]]), Crypto_Dataset[[#This Row],[Amount]]))</f>
        <v>-3.02862046</v>
      </c>
    </row>
    <row r="143" spans="1:13" x14ac:dyDescent="0.35">
      <c r="A143" s="8">
        <v>43815.995138888888</v>
      </c>
      <c r="B143" t="s">
        <v>1795</v>
      </c>
      <c r="C143" t="s">
        <v>1762</v>
      </c>
      <c r="D143">
        <v>239.02150333</v>
      </c>
      <c r="E143">
        <v>0.30292799999999998</v>
      </c>
      <c r="F143">
        <v>0.30598787878787798</v>
      </c>
      <c r="G143" t="s">
        <v>2177</v>
      </c>
      <c r="H143">
        <v>0.73</v>
      </c>
      <c r="I143">
        <v>7.0000000000000007E-2</v>
      </c>
      <c r="J143">
        <v>72.41</v>
      </c>
      <c r="K143" t="s">
        <v>2178</v>
      </c>
      <c r="L143" s="6">
        <f>VALUE(IF(Crypto_Dataset[[#This Row],[Type]]="Sell", _xlfn.CONCAT("-", Crypto_Dataset[[#This Row],[Total AUD]]), Crypto_Dataset[[#This Row],[Total AUD]]))</f>
        <v>-72.41</v>
      </c>
      <c r="M143" s="3">
        <f>VALUE(IF(Crypto_Dataset[[#This Row],[Type]]="Sell", _xlfn.CONCAT("-", Crypto_Dataset[[#This Row],[Amount]]), Crypto_Dataset[[#This Row],[Amount]]))</f>
        <v>-239.02150333</v>
      </c>
    </row>
    <row r="144" spans="1:13" x14ac:dyDescent="0.35">
      <c r="A144" s="33">
        <v>43815.988888888889</v>
      </c>
      <c r="B144" t="s">
        <v>1795</v>
      </c>
      <c r="C144" t="s">
        <v>1760</v>
      </c>
      <c r="D144">
        <v>0.49925609999999998</v>
      </c>
      <c r="E144">
        <v>201.02</v>
      </c>
      <c r="F144">
        <v>203.050505050505</v>
      </c>
      <c r="G144" t="s">
        <v>2179</v>
      </c>
      <c r="H144">
        <v>1.01</v>
      </c>
      <c r="I144">
        <v>0.09</v>
      </c>
      <c r="J144">
        <v>100.36</v>
      </c>
      <c r="K144" t="s">
        <v>2180</v>
      </c>
      <c r="L144" s="6">
        <f>VALUE(IF(Crypto_Dataset[[#This Row],[Type]]="Sell", _xlfn.CONCAT("-", Crypto_Dataset[[#This Row],[Total AUD]]), Crypto_Dataset[[#This Row],[Total AUD]]))</f>
        <v>-100.36</v>
      </c>
      <c r="M144" s="3">
        <f>VALUE(IF(Crypto_Dataset[[#This Row],[Type]]="Sell", _xlfn.CONCAT("-", Crypto_Dataset[[#This Row],[Amount]]), Crypto_Dataset[[#This Row],[Amount]]))</f>
        <v>-0.49925609999999998</v>
      </c>
    </row>
    <row r="145" spans="1:13" x14ac:dyDescent="0.35">
      <c r="A145" s="33">
        <v>43815.988888888889</v>
      </c>
      <c r="B145" t="s">
        <v>1795</v>
      </c>
      <c r="C145" t="s">
        <v>1767</v>
      </c>
      <c r="D145">
        <v>0.23494072999999999</v>
      </c>
      <c r="E145">
        <v>10138.56</v>
      </c>
      <c r="F145">
        <v>10240.9696969696</v>
      </c>
      <c r="G145" t="s">
        <v>2181</v>
      </c>
      <c r="H145">
        <v>24.06</v>
      </c>
      <c r="I145">
        <v>2.19</v>
      </c>
      <c r="J145">
        <v>2381.96</v>
      </c>
      <c r="K145" t="s">
        <v>2182</v>
      </c>
      <c r="L145" s="6">
        <f>VALUE(IF(Crypto_Dataset[[#This Row],[Type]]="Sell", _xlfn.CONCAT("-", Crypto_Dataset[[#This Row],[Total AUD]]), Crypto_Dataset[[#This Row],[Total AUD]]))</f>
        <v>-2381.96</v>
      </c>
      <c r="M145" s="3">
        <f>VALUE(IF(Crypto_Dataset[[#This Row],[Type]]="Sell", _xlfn.CONCAT("-", Crypto_Dataset[[#This Row],[Amount]]), Crypto_Dataset[[#This Row],[Amount]]))</f>
        <v>-0.23494072999999999</v>
      </c>
    </row>
    <row r="146" spans="1:13" x14ac:dyDescent="0.35">
      <c r="A146" s="33">
        <v>43657.756944444445</v>
      </c>
      <c r="B146" t="s">
        <v>1759</v>
      </c>
      <c r="C146" t="s">
        <v>1767</v>
      </c>
      <c r="D146">
        <v>0.23494072999999999</v>
      </c>
      <c r="E146">
        <v>17025.57</v>
      </c>
      <c r="F146">
        <v>16857.000655458702</v>
      </c>
      <c r="G146" t="s">
        <v>2150</v>
      </c>
      <c r="H146">
        <v>39.6</v>
      </c>
      <c r="I146">
        <v>3.6</v>
      </c>
      <c r="J146">
        <v>4000</v>
      </c>
      <c r="K146" t="s">
        <v>1798</v>
      </c>
      <c r="L146" s="6">
        <f>VALUE(IF(Crypto_Dataset[[#This Row],[Type]]="Sell", _xlfn.CONCAT("-", Crypto_Dataset[[#This Row],[Total AUD]]), Crypto_Dataset[[#This Row],[Total AUD]]))</f>
        <v>4000</v>
      </c>
      <c r="M146" s="3">
        <f>VALUE(IF(Crypto_Dataset[[#This Row],[Type]]="Sell", _xlfn.CONCAT("-", Crypto_Dataset[[#This Row],[Amount]]), Crypto_Dataset[[#This Row],[Amount]]))</f>
        <v>0.23494072999999999</v>
      </c>
    </row>
    <row r="147" spans="1:13" x14ac:dyDescent="0.35">
      <c r="A147" s="33">
        <v>43210.493055555555</v>
      </c>
      <c r="B147" t="s">
        <v>1759</v>
      </c>
      <c r="C147" t="s">
        <v>1814</v>
      </c>
      <c r="D147">
        <v>3.02862046</v>
      </c>
      <c r="E147">
        <v>198.11</v>
      </c>
      <c r="F147">
        <v>196.148515070321</v>
      </c>
      <c r="G147" t="s">
        <v>2083</v>
      </c>
      <c r="H147">
        <v>5.94</v>
      </c>
      <c r="I147">
        <v>0.54</v>
      </c>
      <c r="J147">
        <v>600</v>
      </c>
      <c r="K147" t="s">
        <v>1815</v>
      </c>
      <c r="L147" s="6">
        <f>VALUE(IF(Crypto_Dataset[[#This Row],[Type]]="Sell", _xlfn.CONCAT("-", Crypto_Dataset[[#This Row],[Total AUD]]), Crypto_Dataset[[#This Row],[Total AUD]]))</f>
        <v>600</v>
      </c>
      <c r="M147" s="3">
        <f>VALUE(IF(Crypto_Dataset[[#This Row],[Type]]="Sell", _xlfn.CONCAT("-", Crypto_Dataset[[#This Row],[Amount]]), Crypto_Dataset[[#This Row],[Amount]]))</f>
        <v>3.02862046</v>
      </c>
    </row>
    <row r="148" spans="1:13" x14ac:dyDescent="0.35">
      <c r="A148" s="33">
        <v>43168.722916666666</v>
      </c>
      <c r="B148" t="s">
        <v>1759</v>
      </c>
      <c r="C148" t="s">
        <v>1813</v>
      </c>
      <c r="D148">
        <v>5551.73102973</v>
      </c>
      <c r="E148">
        <v>4.5031000000000002E-2</v>
      </c>
      <c r="F148">
        <v>4.3719417475767998E-2</v>
      </c>
      <c r="G148" t="s">
        <v>2183</v>
      </c>
      <c r="H148">
        <v>7.28</v>
      </c>
      <c r="I148">
        <v>0.66</v>
      </c>
      <c r="J148">
        <v>250</v>
      </c>
      <c r="K148" t="s">
        <v>1773</v>
      </c>
      <c r="L148" s="6">
        <f>VALUE(IF(Crypto_Dataset[[#This Row],[Type]]="Sell", _xlfn.CONCAT("-", Crypto_Dataset[[#This Row],[Total AUD]]), Crypto_Dataset[[#This Row],[Total AUD]]))</f>
        <v>250</v>
      </c>
      <c r="M148" s="3">
        <f>VALUE(IF(Crypto_Dataset[[#This Row],[Type]]="Sell", _xlfn.CONCAT("-", Crypto_Dataset[[#This Row],[Amount]]), Crypto_Dataset[[#This Row],[Amount]]))</f>
        <v>5551.73102973</v>
      </c>
    </row>
    <row r="149" spans="1:13" x14ac:dyDescent="0.35">
      <c r="A149" s="33">
        <v>43168.722222222219</v>
      </c>
      <c r="B149" t="s">
        <v>1759</v>
      </c>
      <c r="C149" t="s">
        <v>1762</v>
      </c>
      <c r="D149">
        <v>239.02150333</v>
      </c>
      <c r="E149">
        <v>1.0459309999999999</v>
      </c>
      <c r="F149">
        <v>1.0154669902934901</v>
      </c>
      <c r="G149" t="s">
        <v>2183</v>
      </c>
      <c r="H149">
        <v>7.28</v>
      </c>
      <c r="I149">
        <v>0.66</v>
      </c>
      <c r="J149">
        <v>250</v>
      </c>
      <c r="K149" t="s">
        <v>1773</v>
      </c>
      <c r="L149" s="6">
        <f>VALUE(IF(Crypto_Dataset[[#This Row],[Type]]="Sell", _xlfn.CONCAT("-", Crypto_Dataset[[#This Row],[Total AUD]]), Crypto_Dataset[[#This Row],[Total AUD]]))</f>
        <v>250</v>
      </c>
      <c r="M149" s="3">
        <f>VALUE(IF(Crypto_Dataset[[#This Row],[Type]]="Sell", _xlfn.CONCAT("-", Crypto_Dataset[[#This Row],[Amount]]), Crypto_Dataset[[#This Row],[Amount]]))</f>
        <v>239.02150333</v>
      </c>
    </row>
    <row r="150" spans="1:13" x14ac:dyDescent="0.35">
      <c r="A150" s="33">
        <v>43167.636111111111</v>
      </c>
      <c r="B150" t="s">
        <v>1759</v>
      </c>
      <c r="C150" t="s">
        <v>1760</v>
      </c>
      <c r="D150">
        <v>0.49925609999999998</v>
      </c>
      <c r="E150">
        <v>1001.49</v>
      </c>
      <c r="F150">
        <v>972.320404705888</v>
      </c>
      <c r="G150" t="s">
        <v>2184</v>
      </c>
      <c r="H150">
        <v>14.56</v>
      </c>
      <c r="I150">
        <v>1.32</v>
      </c>
      <c r="J150">
        <v>500</v>
      </c>
      <c r="K150" t="s">
        <v>1769</v>
      </c>
      <c r="L150" s="6">
        <f>VALUE(IF(Crypto_Dataset[[#This Row],[Type]]="Sell", _xlfn.CONCAT("-", Crypto_Dataset[[#This Row],[Total AUD]]), Crypto_Dataset[[#This Row],[Total AUD]]))</f>
        <v>500</v>
      </c>
      <c r="M150" s="3">
        <f>VALUE(IF(Crypto_Dataset[[#This Row],[Type]]="Sell", _xlfn.CONCAT("-", Crypto_Dataset[[#This Row],[Amount]]), Crypto_Dataset[[#This Row],[Amount]]))</f>
        <v>0.49925609999999998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52414D-EDB0-4306-9DF4-39F5FAD1B2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PT - RR Dashboard</vt:lpstr>
      <vt:lpstr>RR Personal Dataset</vt:lpstr>
      <vt:lpstr>Credit Card</vt:lpstr>
      <vt:lpstr>Crypto Dataset</vt:lpstr>
      <vt:lpstr>Crypto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Roozbehani, Rodean</dc:creator>
  <cp:lastModifiedBy>Rodean Roozbehani</cp:lastModifiedBy>
  <dcterms:created xsi:type="dcterms:W3CDTF">2019-10-24T06:19:27Z</dcterms:created>
  <dcterms:modified xsi:type="dcterms:W3CDTF">2025-11-28T07:50:34Z</dcterms:modified>
</cp:coreProperties>
</file>